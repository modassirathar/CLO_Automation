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0.xml" ContentType="application/vnd.openxmlformats-officedocument.drawing+xml"/>
  <Override PartName="/xl/ctrlProps/ctrlProp43.xml" ContentType="application/vnd.ms-excel.controlproperties+xml"/>
  <Override PartName="/xl/drawings/drawing11.xml" ContentType="application/vnd.openxmlformats-officedocument.drawing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fbd7cd8da16b086/00-C-Term-462/L05-PHG301-462/"/>
    </mc:Choice>
  </mc:AlternateContent>
  <xr:revisionPtr revIDLastSave="186" documentId="13_ncr:1_{E0072D0A-B195-4349-9E01-F16FB35489CF}" xr6:coauthVersionLast="47" xr6:coauthVersionMax="47" xr10:uidLastSave="{E663F377-7C84-4FA3-95B4-C288FD5E4C31}"/>
  <bookViews>
    <workbookView xWindow="-120" yWindow="-120" windowWidth="29040" windowHeight="15720" tabRatio="868" activeTab="1" xr2:uid="{00000000-000D-0000-FFFF-FFFF00000000}"/>
  </bookViews>
  <sheets>
    <sheet name="Config" sheetId="3" r:id="rId1"/>
    <sheet name="StList" sheetId="1" r:id="rId2"/>
    <sheet name="Mid1" sheetId="2" r:id="rId3"/>
    <sheet name="Mid2" sheetId="5" r:id="rId4"/>
    <sheet name="quiz 1" sheetId="6" r:id="rId5"/>
    <sheet name="quiz 2" sheetId="9" r:id="rId6"/>
    <sheet name="Assignment or Proposal" sheetId="7" r:id="rId7"/>
    <sheet name="Poster or Presentation" sheetId="10" r:id="rId8"/>
    <sheet name="practical exam or OSCE" sheetId="11" r:id="rId9"/>
    <sheet name="Final exam" sheetId="8" r:id="rId10"/>
    <sheet name="Improvements" sheetId="40" state="hidden" r:id="rId11"/>
    <sheet name="Eval" sheetId="12" r:id="rId12"/>
    <sheet name="StSoMarks" sheetId="14" state="hidden" r:id="rId13"/>
    <sheet name="DetMarks" sheetId="13" r:id="rId14"/>
    <sheet name="Stat-Rep" sheetId="25" r:id="rId15"/>
    <sheet name="Sheet2" sheetId="42" state="hidden" r:id="rId16"/>
    <sheet name="criteia of success" sheetId="43" r:id="rId17"/>
  </sheets>
  <definedNames>
    <definedName name="_xlnm._FilterDatabase" localSheetId="12" hidden="1">StSoMarks!$A$11:$Q$121</definedName>
    <definedName name="Assment_Methods">#REF!</definedName>
    <definedName name="College_Depts">#REF!</definedName>
    <definedName name="Course_Code">#REF!</definedName>
    <definedName name="Dept.">#REF!</definedName>
    <definedName name="develop_course">#REF!</definedName>
    <definedName name="Level">#REF!</definedName>
    <definedName name="_xlnm.Print_Area" localSheetId="0">Config!$A$1:$U$82</definedName>
    <definedName name="_xlnm.Print_Area" localSheetId="16">'criteia of success'!$A$1:$N$54</definedName>
    <definedName name="_xlnm.Print_Area" localSheetId="13">DetMarks!$A:$P</definedName>
    <definedName name="_xlnm.Print_Area" localSheetId="1">StList!$A:$H</definedName>
    <definedName name="_xlnm.Print_Titles" localSheetId="6">'Assignment or Proposal'!$1:$10</definedName>
    <definedName name="_xlnm.Print_Titles" localSheetId="0">Config!$1:$4</definedName>
    <definedName name="_xlnm.Print_Titles" localSheetId="13">DetMarks!$11:$11</definedName>
    <definedName name="_xlnm.Print_Titles" localSheetId="9">'Final exam'!$1:$10</definedName>
    <definedName name="_xlnm.Print_Titles" localSheetId="2">'Mid1'!$10:$10</definedName>
    <definedName name="_xlnm.Print_Titles" localSheetId="3">'Mid2'!$1:$10</definedName>
    <definedName name="_xlnm.Print_Titles" localSheetId="7">'Poster or Presentation'!$1:$10</definedName>
    <definedName name="_xlnm.Print_Titles" localSheetId="8">'practical exam or OSCE'!$1:$10</definedName>
    <definedName name="_xlnm.Print_Titles" localSheetId="4">'quiz 1'!$1:$10</definedName>
    <definedName name="_xlnm.Print_Titles" localSheetId="5">'quiz 2'!$1:$10</definedName>
    <definedName name="_xlnm.Print_Titles" localSheetId="1">StList!$2:$2</definedName>
    <definedName name="_xlnm.Print_Titles" localSheetId="12">StSoMarks!$11:$11</definedName>
    <definedName name="Teaching_Stratig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5" l="1"/>
  <c r="I7" i="43"/>
  <c r="J7" i="43"/>
  <c r="K7" i="43"/>
  <c r="L7" i="43"/>
  <c r="M7" i="43"/>
  <c r="N7" i="43"/>
  <c r="C5" i="43"/>
  <c r="C4" i="43"/>
  <c r="C3" i="43"/>
  <c r="C2" i="43"/>
  <c r="C1" i="43"/>
  <c r="D4" i="25"/>
  <c r="B1" i="10"/>
  <c r="N4" i="25"/>
  <c r="J4" i="12"/>
  <c r="M33" i="25"/>
  <c r="K33" i="25"/>
  <c r="J33" i="25"/>
  <c r="I33" i="25"/>
  <c r="H33" i="25"/>
  <c r="G33" i="25"/>
  <c r="F33" i="25"/>
  <c r="E33" i="25"/>
  <c r="M3" i="13"/>
  <c r="K3" i="13"/>
  <c r="J3" i="13"/>
  <c r="I3" i="13"/>
  <c r="H3" i="13"/>
  <c r="G3" i="13"/>
  <c r="F3" i="13"/>
  <c r="E3" i="13"/>
  <c r="K5" i="2"/>
  <c r="K5" i="5"/>
  <c r="K5" i="8"/>
  <c r="K5" i="11"/>
  <c r="K5" i="10"/>
  <c r="K5" i="7"/>
  <c r="K5" i="9"/>
  <c r="K5" i="6"/>
  <c r="K26" i="12" s="1"/>
  <c r="A33" i="12"/>
  <c r="A30" i="12"/>
  <c r="A29" i="12"/>
  <c r="A28" i="12"/>
  <c r="A27" i="12"/>
  <c r="A26" i="12"/>
  <c r="A23" i="12"/>
  <c r="A22" i="12"/>
  <c r="A18" i="12"/>
  <c r="A17" i="12"/>
  <c r="A14" i="12"/>
  <c r="A13" i="12"/>
  <c r="A12" i="12"/>
  <c r="A11" i="12"/>
  <c r="A8" i="12"/>
  <c r="A7" i="1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3" i="2"/>
  <c r="N12" i="2"/>
  <c r="N11" i="2"/>
  <c r="N12" i="5"/>
  <c r="B1" i="7"/>
  <c r="B1" i="9"/>
  <c r="B1" i="5"/>
  <c r="B1" i="8"/>
  <c r="B1" i="11"/>
  <c r="B1" i="6"/>
  <c r="B1" i="2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12" i="25" l="1"/>
  <c r="K30" i="12"/>
  <c r="K28" i="12"/>
  <c r="F11" i="13"/>
  <c r="G11" i="13"/>
  <c r="H11" i="13"/>
  <c r="I11" i="13"/>
  <c r="J11" i="13"/>
  <c r="K11" i="13"/>
  <c r="L11" i="13"/>
  <c r="M11" i="13"/>
  <c r="E11" i="13"/>
  <c r="C120" i="13"/>
  <c r="B136" i="11"/>
  <c r="H7" i="43" l="1"/>
  <c r="G7" i="43"/>
  <c r="F7" i="43"/>
  <c r="E7" i="43"/>
  <c r="D7" i="43"/>
  <c r="C7" i="43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100" i="42"/>
  <c r="A99" i="42"/>
  <c r="A98" i="42"/>
  <c r="A97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80" i="42"/>
  <c r="A79" i="42"/>
  <c r="A78" i="42"/>
  <c r="A77" i="42"/>
  <c r="A76" i="42"/>
  <c r="A75" i="42"/>
  <c r="A74" i="42"/>
  <c r="A73" i="42"/>
  <c r="A72" i="42"/>
  <c r="A71" i="42"/>
  <c r="A70" i="42"/>
  <c r="A69" i="42"/>
  <c r="A68" i="42"/>
  <c r="A67" i="42"/>
  <c r="A66" i="42"/>
  <c r="A65" i="42"/>
  <c r="A64" i="42"/>
  <c r="A63" i="42"/>
  <c r="A62" i="42"/>
  <c r="A61" i="42"/>
  <c r="A60" i="42"/>
  <c r="A59" i="42"/>
  <c r="A58" i="42"/>
  <c r="A57" i="42"/>
  <c r="A56" i="42"/>
  <c r="A55" i="42"/>
  <c r="A54" i="42"/>
  <c r="A53" i="42"/>
  <c r="A52" i="42"/>
  <c r="A51" i="42"/>
  <c r="A50" i="42"/>
  <c r="A49" i="42"/>
  <c r="A48" i="42"/>
  <c r="A47" i="42"/>
  <c r="A46" i="42"/>
  <c r="A45" i="42"/>
  <c r="A44" i="42"/>
  <c r="A43" i="42"/>
  <c r="A42" i="42"/>
  <c r="A41" i="42"/>
  <c r="A40" i="42"/>
  <c r="A39" i="42"/>
  <c r="A38" i="42"/>
  <c r="A37" i="42"/>
  <c r="A36" i="42"/>
  <c r="A35" i="42"/>
  <c r="A34" i="42"/>
  <c r="A33" i="42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 l="1"/>
  <c r="A9" i="42"/>
  <c r="A8" i="42" l="1"/>
  <c r="A7" i="42"/>
  <c r="Q6" i="42"/>
  <c r="D6" i="42"/>
  <c r="C6" i="42"/>
  <c r="B6" i="42"/>
  <c r="A6" i="42"/>
  <c r="D5" i="42"/>
  <c r="C5" i="42"/>
  <c r="B5" i="42"/>
  <c r="A5" i="42"/>
  <c r="D4" i="42"/>
  <c r="C4" i="42"/>
  <c r="B4" i="42"/>
  <c r="A4" i="42"/>
  <c r="D3" i="42"/>
  <c r="C3" i="42"/>
  <c r="B3" i="42"/>
  <c r="A3" i="42"/>
  <c r="O2" i="42"/>
  <c r="D2" i="42"/>
  <c r="C2" i="42"/>
  <c r="B2" i="42"/>
  <c r="A2" i="42"/>
  <c r="O1" i="42"/>
  <c r="D1" i="42"/>
  <c r="C1" i="42"/>
  <c r="B1" i="42"/>
  <c r="A1" i="42"/>
  <c r="N46" i="25" l="1"/>
  <c r="N45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N12" i="25" l="1"/>
  <c r="N11" i="25"/>
  <c r="N10" i="25"/>
  <c r="N9" i="25"/>
  <c r="D5" i="25" l="1"/>
  <c r="G3" i="25"/>
  <c r="E3" i="25"/>
  <c r="D3" i="25"/>
  <c r="D2" i="25"/>
  <c r="D1" i="25"/>
  <c r="C136" i="13"/>
  <c r="N122" i="13"/>
  <c r="P122" i="13" s="1"/>
  <c r="O122" i="13" s="1"/>
  <c r="D121" i="13" l="1"/>
  <c r="C121" i="13"/>
  <c r="B121" i="13"/>
  <c r="D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 l="1"/>
  <c r="C14" i="13"/>
  <c r="B14" i="13"/>
  <c r="D13" i="13"/>
  <c r="C13" i="13"/>
  <c r="B13" i="13"/>
  <c r="D12" i="13"/>
  <c r="C12" i="13"/>
  <c r="B12" i="13"/>
  <c r="L1" i="13"/>
  <c r="I1" i="13"/>
  <c r="F1" i="13"/>
  <c r="D1" i="13"/>
  <c r="B1" i="13"/>
  <c r="D136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D120" i="14"/>
  <c r="C120" i="14"/>
  <c r="B120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D118" i="14"/>
  <c r="C118" i="14"/>
  <c r="B118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D117" i="14"/>
  <c r="C117" i="14"/>
  <c r="B117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C116" i="14"/>
  <c r="B116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D115" i="14"/>
  <c r="C115" i="14"/>
  <c r="B115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D114" i="14"/>
  <c r="C114" i="14"/>
  <c r="B114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D113" i="14"/>
  <c r="C113" i="14"/>
  <c r="B113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C112" i="14"/>
  <c r="B112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B111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C110" i="14"/>
  <c r="B110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C109" i="14"/>
  <c r="B109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C108" i="14"/>
  <c r="B108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B107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B106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B105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104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B103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B102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B100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99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B98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B97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B96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B95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B94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92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91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90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89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87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B81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B80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B79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B78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B77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B76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B75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B73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B72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B71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B70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B69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B68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B67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B66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B65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B64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B63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B61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B60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B58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B57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B56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B55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B54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B53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B52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B51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B50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B49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B48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B47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B46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B45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B44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B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B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B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B22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B18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P11" i="14"/>
  <c r="P6" i="42" s="1"/>
  <c r="O11" i="14"/>
  <c r="N11" i="14"/>
  <c r="M11" i="14"/>
  <c r="L11" i="14"/>
  <c r="K11" i="14"/>
  <c r="J11" i="14"/>
  <c r="I11" i="14"/>
  <c r="H11" i="14"/>
  <c r="G11" i="14"/>
  <c r="F11" i="14"/>
  <c r="E11" i="14"/>
  <c r="L1" i="14"/>
  <c r="I1" i="14"/>
  <c r="F1" i="14"/>
  <c r="D1" i="14"/>
  <c r="B1" i="14"/>
  <c r="B49" i="12"/>
  <c r="K29" i="12"/>
  <c r="K27" i="12"/>
  <c r="M6" i="14" l="1"/>
  <c r="L45" i="25" s="1"/>
  <c r="N6" i="14"/>
  <c r="M45" i="25" s="1"/>
  <c r="I6" i="14"/>
  <c r="I1" i="42" s="1"/>
  <c r="G6" i="14"/>
  <c r="F45" i="25" s="1"/>
  <c r="J6" i="14"/>
  <c r="J1" i="42" s="1"/>
  <c r="F6" i="14"/>
  <c r="E45" i="25" s="1"/>
  <c r="E6" i="14"/>
  <c r="D45" i="25" s="1"/>
  <c r="H6" i="14"/>
  <c r="G45" i="25" s="1"/>
  <c r="K6" i="14"/>
  <c r="J45" i="25" s="1"/>
  <c r="L6" i="14"/>
  <c r="L1" i="42" s="1"/>
  <c r="P6" i="14"/>
  <c r="O45" i="25" s="1"/>
  <c r="C9" i="13"/>
  <c r="O12" i="42"/>
  <c r="O6" i="42"/>
  <c r="N6" i="42" s="1"/>
  <c r="M6" i="42" s="1"/>
  <c r="L6" i="42" s="1"/>
  <c r="K6" i="42" s="1"/>
  <c r="J6" i="42" s="1"/>
  <c r="I6" i="42" s="1"/>
  <c r="H6" i="42" s="1"/>
  <c r="G6" i="42" s="1"/>
  <c r="F6" i="42" s="1"/>
  <c r="E6" i="42" s="1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M21" i="12"/>
  <c r="L21" i="12"/>
  <c r="K21" i="12"/>
  <c r="J21" i="12"/>
  <c r="I21" i="12"/>
  <c r="H21" i="12"/>
  <c r="G21" i="12"/>
  <c r="F21" i="12"/>
  <c r="E21" i="12"/>
  <c r="D21" i="12"/>
  <c r="C21" i="12"/>
  <c r="B21" i="12"/>
  <c r="K45" i="25" l="1"/>
  <c r="M1" i="42"/>
  <c r="N1" i="42"/>
  <c r="H45" i="25"/>
  <c r="I45" i="25"/>
  <c r="F1" i="42"/>
  <c r="E1" i="42" s="1"/>
  <c r="H1" i="42"/>
  <c r="G1" i="42"/>
  <c r="K1" i="42"/>
  <c r="Q6" i="14"/>
  <c r="P45" i="25" s="1"/>
  <c r="P1" i="42"/>
  <c r="D7" i="42"/>
  <c r="C7" i="42" s="1"/>
  <c r="B7" i="42" s="1"/>
  <c r="Q1" i="42" l="1"/>
  <c r="M6" i="12" l="1"/>
  <c r="L6" i="12"/>
  <c r="K6" i="12"/>
  <c r="J6" i="12"/>
  <c r="I6" i="12"/>
  <c r="H6" i="12"/>
  <c r="G6" i="12"/>
  <c r="F6" i="12"/>
  <c r="E6" i="12"/>
  <c r="D6" i="12"/>
  <c r="C6" i="12"/>
  <c r="B6" i="12"/>
  <c r="B4" i="12"/>
  <c r="B3" i="12"/>
  <c r="B2" i="12"/>
  <c r="B1" i="12"/>
  <c r="Q121" i="11"/>
  <c r="A121" i="11"/>
  <c r="Q120" i="11"/>
  <c r="P120" i="11"/>
  <c r="O120" i="11"/>
  <c r="N120" i="11"/>
  <c r="K121" i="13" s="1"/>
  <c r="A120" i="11"/>
  <c r="Q119" i="11"/>
  <c r="P119" i="11"/>
  <c r="O119" i="11"/>
  <c r="N119" i="11"/>
  <c r="K120" i="13" s="1"/>
  <c r="A119" i="11"/>
  <c r="Q118" i="11"/>
  <c r="P118" i="11"/>
  <c r="O118" i="11"/>
  <c r="N118" i="11"/>
  <c r="K119" i="13" s="1"/>
  <c r="A118" i="11"/>
  <c r="Q117" i="11"/>
  <c r="P117" i="11"/>
  <c r="O117" i="11"/>
  <c r="N117" i="11"/>
  <c r="K118" i="13" s="1"/>
  <c r="A117" i="11"/>
  <c r="Q116" i="11"/>
  <c r="P116" i="11"/>
  <c r="O116" i="11"/>
  <c r="N116" i="11"/>
  <c r="K117" i="13" s="1"/>
  <c r="A116" i="11"/>
  <c r="Q115" i="11"/>
  <c r="P115" i="11"/>
  <c r="O115" i="11"/>
  <c r="N115" i="11"/>
  <c r="K116" i="13" s="1"/>
  <c r="A115" i="11"/>
  <c r="Q114" i="11"/>
  <c r="P114" i="11"/>
  <c r="O114" i="11"/>
  <c r="N114" i="11"/>
  <c r="K115" i="13" s="1"/>
  <c r="A114" i="11"/>
  <c r="Q113" i="11"/>
  <c r="P113" i="11"/>
  <c r="O113" i="11"/>
  <c r="N113" i="11"/>
  <c r="K114" i="13" s="1"/>
  <c r="A113" i="11"/>
  <c r="Q112" i="11"/>
  <c r="P112" i="11"/>
  <c r="O112" i="11"/>
  <c r="N112" i="11"/>
  <c r="K113" i="13" s="1"/>
  <c r="A112" i="11"/>
  <c r="Q111" i="11"/>
  <c r="P111" i="11"/>
  <c r="O111" i="11"/>
  <c r="N111" i="11"/>
  <c r="K112" i="13" s="1"/>
  <c r="A111" i="11"/>
  <c r="Q110" i="11"/>
  <c r="P110" i="11"/>
  <c r="O110" i="11"/>
  <c r="N110" i="11"/>
  <c r="K111" i="13" s="1"/>
  <c r="A110" i="11"/>
  <c r="Q109" i="11"/>
  <c r="P109" i="11"/>
  <c r="O109" i="11"/>
  <c r="N109" i="11"/>
  <c r="K110" i="13" s="1"/>
  <c r="A109" i="11"/>
  <c r="Q108" i="11"/>
  <c r="P108" i="11"/>
  <c r="O108" i="11"/>
  <c r="N108" i="11"/>
  <c r="K109" i="13" s="1"/>
  <c r="A108" i="11"/>
  <c r="Q107" i="11"/>
  <c r="P107" i="11"/>
  <c r="O107" i="11"/>
  <c r="N107" i="11"/>
  <c r="K108" i="13" s="1"/>
  <c r="A107" i="11"/>
  <c r="Q106" i="11"/>
  <c r="P106" i="11"/>
  <c r="O106" i="11"/>
  <c r="N106" i="11"/>
  <c r="K107" i="13" s="1"/>
  <c r="A106" i="11"/>
  <c r="Q105" i="11"/>
  <c r="P105" i="11"/>
  <c r="O105" i="11"/>
  <c r="N105" i="11"/>
  <c r="K106" i="13" s="1"/>
  <c r="A105" i="11"/>
  <c r="Q104" i="11"/>
  <c r="P104" i="11"/>
  <c r="O104" i="11"/>
  <c r="N104" i="11"/>
  <c r="K105" i="13" s="1"/>
  <c r="A104" i="11"/>
  <c r="Q103" i="11"/>
  <c r="P103" i="11"/>
  <c r="O103" i="11"/>
  <c r="N103" i="11"/>
  <c r="K104" i="13" s="1"/>
  <c r="A103" i="11"/>
  <c r="Q102" i="11"/>
  <c r="P102" i="11"/>
  <c r="O102" i="11"/>
  <c r="N102" i="11"/>
  <c r="K103" i="13" s="1"/>
  <c r="A102" i="11"/>
  <c r="Q101" i="11"/>
  <c r="P101" i="11"/>
  <c r="O101" i="11"/>
  <c r="N101" i="11"/>
  <c r="K102" i="13" s="1"/>
  <c r="A101" i="11"/>
  <c r="Q100" i="11"/>
  <c r="P100" i="11"/>
  <c r="O100" i="11"/>
  <c r="N100" i="11"/>
  <c r="K101" i="13" s="1"/>
  <c r="A100" i="11"/>
  <c r="Q99" i="11"/>
  <c r="P99" i="11"/>
  <c r="O99" i="11"/>
  <c r="N99" i="11"/>
  <c r="K100" i="13" s="1"/>
  <c r="A99" i="11"/>
  <c r="Q98" i="11"/>
  <c r="P98" i="11"/>
  <c r="O98" i="11"/>
  <c r="N98" i="11"/>
  <c r="K99" i="13" s="1"/>
  <c r="A98" i="11"/>
  <c r="Q97" i="11"/>
  <c r="P97" i="11"/>
  <c r="O97" i="11"/>
  <c r="N97" i="11"/>
  <c r="K98" i="13" s="1"/>
  <c r="A97" i="11"/>
  <c r="Q96" i="11"/>
  <c r="P96" i="11"/>
  <c r="O96" i="11"/>
  <c r="N96" i="11"/>
  <c r="K97" i="13" s="1"/>
  <c r="A96" i="11"/>
  <c r="Q95" i="11"/>
  <c r="P95" i="11"/>
  <c r="O95" i="11"/>
  <c r="N95" i="11"/>
  <c r="K96" i="13" s="1"/>
  <c r="A95" i="11"/>
  <c r="Q94" i="11"/>
  <c r="P94" i="11"/>
  <c r="O94" i="11"/>
  <c r="N94" i="11"/>
  <c r="K95" i="13" s="1"/>
  <c r="A94" i="11"/>
  <c r="Q93" i="11"/>
  <c r="P93" i="11"/>
  <c r="O93" i="11"/>
  <c r="N93" i="11"/>
  <c r="K94" i="13" s="1"/>
  <c r="A93" i="11"/>
  <c r="Q92" i="11"/>
  <c r="P92" i="11"/>
  <c r="O92" i="11"/>
  <c r="N92" i="11"/>
  <c r="K93" i="13" s="1"/>
  <c r="A92" i="11"/>
  <c r="Q91" i="11"/>
  <c r="P91" i="11"/>
  <c r="O91" i="11"/>
  <c r="N91" i="11"/>
  <c r="K92" i="13" s="1"/>
  <c r="A91" i="11"/>
  <c r="Q90" i="11"/>
  <c r="P90" i="11"/>
  <c r="O90" i="11"/>
  <c r="N90" i="11"/>
  <c r="K91" i="13" s="1"/>
  <c r="A90" i="11"/>
  <c r="Q89" i="11"/>
  <c r="P89" i="11"/>
  <c r="O89" i="11"/>
  <c r="N89" i="11"/>
  <c r="K90" i="13" s="1"/>
  <c r="A89" i="11"/>
  <c r="Q88" i="11"/>
  <c r="P88" i="11"/>
  <c r="O88" i="11"/>
  <c r="N88" i="11"/>
  <c r="K89" i="13" s="1"/>
  <c r="A88" i="11"/>
  <c r="Q87" i="11"/>
  <c r="P87" i="11"/>
  <c r="O87" i="11"/>
  <c r="N87" i="11"/>
  <c r="K88" i="13" s="1"/>
  <c r="A87" i="11"/>
  <c r="Q86" i="11"/>
  <c r="P86" i="11"/>
  <c r="O86" i="11"/>
  <c r="N86" i="11"/>
  <c r="K87" i="13" s="1"/>
  <c r="A86" i="11"/>
  <c r="Q85" i="11"/>
  <c r="P85" i="11"/>
  <c r="O85" i="11"/>
  <c r="N85" i="11"/>
  <c r="K86" i="13" s="1"/>
  <c r="A85" i="11"/>
  <c r="Q84" i="11"/>
  <c r="P84" i="11"/>
  <c r="O84" i="11"/>
  <c r="N84" i="11"/>
  <c r="K85" i="13" s="1"/>
  <c r="A84" i="11"/>
  <c r="Q83" i="11"/>
  <c r="P83" i="11"/>
  <c r="O83" i="11"/>
  <c r="N83" i="11"/>
  <c r="K84" i="13" s="1"/>
  <c r="A83" i="11"/>
  <c r="Q82" i="11"/>
  <c r="P82" i="11"/>
  <c r="O82" i="11"/>
  <c r="N82" i="11"/>
  <c r="K83" i="13" s="1"/>
  <c r="A82" i="11"/>
  <c r="Q81" i="11"/>
  <c r="P81" i="11"/>
  <c r="O81" i="11"/>
  <c r="N81" i="11"/>
  <c r="K82" i="13" s="1"/>
  <c r="A81" i="11"/>
  <c r="Q80" i="11"/>
  <c r="P80" i="11"/>
  <c r="O80" i="11"/>
  <c r="N80" i="11"/>
  <c r="K81" i="13" s="1"/>
  <c r="A80" i="11"/>
  <c r="Q79" i="11"/>
  <c r="P79" i="11"/>
  <c r="O79" i="11"/>
  <c r="N79" i="11"/>
  <c r="K80" i="13" s="1"/>
  <c r="A79" i="11"/>
  <c r="Q78" i="11"/>
  <c r="P78" i="11"/>
  <c r="O78" i="11"/>
  <c r="N78" i="11"/>
  <c r="K79" i="13" s="1"/>
  <c r="A78" i="11"/>
  <c r="Q77" i="11"/>
  <c r="P77" i="11"/>
  <c r="O77" i="11"/>
  <c r="N77" i="11"/>
  <c r="K78" i="13" s="1"/>
  <c r="A77" i="11"/>
  <c r="Q76" i="11"/>
  <c r="P76" i="11"/>
  <c r="O76" i="11"/>
  <c r="N76" i="11"/>
  <c r="K77" i="13" s="1"/>
  <c r="A76" i="11"/>
  <c r="Q75" i="11"/>
  <c r="P75" i="11"/>
  <c r="O75" i="11"/>
  <c r="N75" i="11"/>
  <c r="K76" i="13" s="1"/>
  <c r="A75" i="11"/>
  <c r="Q74" i="11"/>
  <c r="P74" i="11"/>
  <c r="O74" i="11"/>
  <c r="N74" i="11"/>
  <c r="K75" i="13" s="1"/>
  <c r="A74" i="11"/>
  <c r="Q73" i="11"/>
  <c r="P73" i="11"/>
  <c r="O73" i="11"/>
  <c r="N73" i="11"/>
  <c r="K74" i="13" s="1"/>
  <c r="A73" i="11"/>
  <c r="Q72" i="11"/>
  <c r="P72" i="11"/>
  <c r="O72" i="11"/>
  <c r="N72" i="11"/>
  <c r="K73" i="13" s="1"/>
  <c r="A72" i="11"/>
  <c r="Q71" i="11"/>
  <c r="P71" i="11"/>
  <c r="O71" i="11"/>
  <c r="N71" i="11"/>
  <c r="K72" i="13" s="1"/>
  <c r="A71" i="11"/>
  <c r="Q70" i="11"/>
  <c r="P70" i="11"/>
  <c r="O70" i="11"/>
  <c r="N70" i="11"/>
  <c r="K71" i="13" s="1"/>
  <c r="A70" i="11"/>
  <c r="Q69" i="11"/>
  <c r="P69" i="11"/>
  <c r="O69" i="11"/>
  <c r="N69" i="11"/>
  <c r="K70" i="13" s="1"/>
  <c r="A69" i="11"/>
  <c r="Q68" i="11"/>
  <c r="P68" i="11"/>
  <c r="O68" i="11"/>
  <c r="N68" i="11"/>
  <c r="K69" i="13" s="1"/>
  <c r="A68" i="11"/>
  <c r="Q67" i="11"/>
  <c r="P67" i="11"/>
  <c r="O67" i="11"/>
  <c r="N67" i="11"/>
  <c r="K68" i="13" s="1"/>
  <c r="A67" i="11"/>
  <c r="Q66" i="11"/>
  <c r="P66" i="11"/>
  <c r="O66" i="11"/>
  <c r="N66" i="11"/>
  <c r="K67" i="13" s="1"/>
  <c r="A66" i="11"/>
  <c r="Q65" i="11"/>
  <c r="P65" i="11"/>
  <c r="O65" i="11"/>
  <c r="N65" i="11"/>
  <c r="K66" i="13" s="1"/>
  <c r="A65" i="11"/>
  <c r="Q64" i="11"/>
  <c r="P64" i="11"/>
  <c r="O64" i="11"/>
  <c r="N64" i="11"/>
  <c r="K65" i="13" s="1"/>
  <c r="A64" i="11"/>
  <c r="Q63" i="11"/>
  <c r="P63" i="11"/>
  <c r="O63" i="11"/>
  <c r="N63" i="11"/>
  <c r="K64" i="13" s="1"/>
  <c r="A63" i="11"/>
  <c r="Q62" i="11"/>
  <c r="P62" i="11"/>
  <c r="O62" i="11"/>
  <c r="N62" i="11"/>
  <c r="K63" i="13" s="1"/>
  <c r="A62" i="11"/>
  <c r="Q61" i="11"/>
  <c r="P61" i="11"/>
  <c r="O61" i="11"/>
  <c r="N61" i="11"/>
  <c r="K62" i="13" s="1"/>
  <c r="A61" i="11"/>
  <c r="Q60" i="11"/>
  <c r="P60" i="11"/>
  <c r="O60" i="11"/>
  <c r="N60" i="11"/>
  <c r="K61" i="13" s="1"/>
  <c r="A60" i="11"/>
  <c r="Q59" i="11"/>
  <c r="P59" i="11"/>
  <c r="O59" i="11"/>
  <c r="N59" i="11"/>
  <c r="K60" i="13" s="1"/>
  <c r="A59" i="11"/>
  <c r="Q58" i="11"/>
  <c r="P58" i="11"/>
  <c r="O58" i="11"/>
  <c r="N58" i="11"/>
  <c r="K59" i="13" s="1"/>
  <c r="A58" i="11"/>
  <c r="Q57" i="11"/>
  <c r="P57" i="11"/>
  <c r="O57" i="11"/>
  <c r="N57" i="11"/>
  <c r="K58" i="13" s="1"/>
  <c r="A57" i="11"/>
  <c r="Q56" i="11"/>
  <c r="P56" i="11"/>
  <c r="O56" i="11"/>
  <c r="N56" i="11"/>
  <c r="K57" i="13" s="1"/>
  <c r="A56" i="11"/>
  <c r="Q55" i="11"/>
  <c r="P55" i="11"/>
  <c r="O55" i="11"/>
  <c r="N55" i="11"/>
  <c r="K56" i="13" s="1"/>
  <c r="A55" i="11"/>
  <c r="Q54" i="11"/>
  <c r="P54" i="11"/>
  <c r="O54" i="11"/>
  <c r="N54" i="11"/>
  <c r="K55" i="13" s="1"/>
  <c r="A54" i="11"/>
  <c r="Q53" i="11"/>
  <c r="P53" i="11"/>
  <c r="O53" i="11"/>
  <c r="N53" i="11"/>
  <c r="K54" i="13" s="1"/>
  <c r="A53" i="11"/>
  <c r="Q52" i="11"/>
  <c r="P52" i="11"/>
  <c r="O52" i="11"/>
  <c r="N52" i="11"/>
  <c r="K53" i="13" s="1"/>
  <c r="A52" i="11"/>
  <c r="Q51" i="11"/>
  <c r="P51" i="11"/>
  <c r="O51" i="11"/>
  <c r="N51" i="11"/>
  <c r="K52" i="13" s="1"/>
  <c r="A51" i="11"/>
  <c r="Q50" i="11"/>
  <c r="P50" i="11"/>
  <c r="O50" i="11"/>
  <c r="N50" i="11"/>
  <c r="K51" i="13" s="1"/>
  <c r="A50" i="11"/>
  <c r="Q49" i="11"/>
  <c r="P49" i="11"/>
  <c r="O49" i="11"/>
  <c r="N49" i="11"/>
  <c r="K50" i="13" s="1"/>
  <c r="A49" i="11"/>
  <c r="Q48" i="11"/>
  <c r="P48" i="11"/>
  <c r="O48" i="11"/>
  <c r="N48" i="11"/>
  <c r="K49" i="13" s="1"/>
  <c r="A48" i="11"/>
  <c r="Q47" i="11"/>
  <c r="P47" i="11"/>
  <c r="O47" i="11"/>
  <c r="N47" i="11"/>
  <c r="K48" i="13" s="1"/>
  <c r="A47" i="11"/>
  <c r="Q46" i="11"/>
  <c r="P46" i="11"/>
  <c r="O46" i="11"/>
  <c r="N46" i="11"/>
  <c r="K47" i="13" s="1"/>
  <c r="A46" i="11"/>
  <c r="Q45" i="11"/>
  <c r="P45" i="11"/>
  <c r="O45" i="11"/>
  <c r="N45" i="11"/>
  <c r="K46" i="13" s="1"/>
  <c r="A45" i="11"/>
  <c r="Q44" i="11"/>
  <c r="P44" i="11"/>
  <c r="O44" i="11"/>
  <c r="N44" i="11"/>
  <c r="K45" i="13" s="1"/>
  <c r="A44" i="11"/>
  <c r="Q43" i="11"/>
  <c r="P43" i="11"/>
  <c r="O43" i="11"/>
  <c r="N43" i="11"/>
  <c r="K44" i="13" s="1"/>
  <c r="A43" i="11"/>
  <c r="Q42" i="11"/>
  <c r="P42" i="11"/>
  <c r="O42" i="11"/>
  <c r="N42" i="11"/>
  <c r="K43" i="13" s="1"/>
  <c r="A42" i="11"/>
  <c r="Q41" i="11"/>
  <c r="P41" i="11"/>
  <c r="O41" i="11"/>
  <c r="N41" i="11"/>
  <c r="K42" i="13" s="1"/>
  <c r="A41" i="11"/>
  <c r="Q40" i="11"/>
  <c r="P40" i="11"/>
  <c r="O40" i="11"/>
  <c r="N40" i="11"/>
  <c r="K41" i="13" s="1"/>
  <c r="A40" i="11"/>
  <c r="Q39" i="11"/>
  <c r="P39" i="11"/>
  <c r="O39" i="11"/>
  <c r="N39" i="11"/>
  <c r="K40" i="13" s="1"/>
  <c r="A39" i="11"/>
  <c r="Q38" i="11"/>
  <c r="P38" i="11"/>
  <c r="O38" i="11"/>
  <c r="N38" i="11"/>
  <c r="K39" i="13" s="1"/>
  <c r="A38" i="11"/>
  <c r="Q37" i="11"/>
  <c r="P37" i="11"/>
  <c r="O37" i="11"/>
  <c r="N37" i="11"/>
  <c r="K38" i="13" s="1"/>
  <c r="A37" i="11"/>
  <c r="Q36" i="11"/>
  <c r="P36" i="11"/>
  <c r="O36" i="11"/>
  <c r="N36" i="11"/>
  <c r="K37" i="13" s="1"/>
  <c r="A36" i="11"/>
  <c r="Q35" i="11"/>
  <c r="P35" i="11"/>
  <c r="O35" i="11"/>
  <c r="N35" i="11"/>
  <c r="K36" i="13" s="1"/>
  <c r="A35" i="11"/>
  <c r="Q34" i="11"/>
  <c r="P34" i="11"/>
  <c r="O34" i="11"/>
  <c r="N34" i="11"/>
  <c r="K35" i="13" s="1"/>
  <c r="A34" i="11"/>
  <c r="Q33" i="11"/>
  <c r="P33" i="11"/>
  <c r="O33" i="11"/>
  <c r="N33" i="11"/>
  <c r="K34" i="13" s="1"/>
  <c r="A33" i="11"/>
  <c r="Q32" i="11"/>
  <c r="P32" i="11"/>
  <c r="O32" i="11"/>
  <c r="N32" i="11"/>
  <c r="K33" i="13" s="1"/>
  <c r="A32" i="11"/>
  <c r="Q31" i="11"/>
  <c r="P31" i="11"/>
  <c r="O31" i="11"/>
  <c r="N31" i="11"/>
  <c r="K32" i="13" s="1"/>
  <c r="A31" i="11"/>
  <c r="Q30" i="11"/>
  <c r="P30" i="11"/>
  <c r="O30" i="11"/>
  <c r="N30" i="11"/>
  <c r="K31" i="13" s="1"/>
  <c r="A30" i="11"/>
  <c r="Q29" i="11"/>
  <c r="P29" i="11"/>
  <c r="O29" i="11"/>
  <c r="N29" i="11"/>
  <c r="K30" i="13" s="1"/>
  <c r="A29" i="11"/>
  <c r="Q28" i="11"/>
  <c r="P28" i="11"/>
  <c r="O28" i="11"/>
  <c r="N28" i="11"/>
  <c r="K29" i="13" s="1"/>
  <c r="A28" i="11"/>
  <c r="Q27" i="11"/>
  <c r="P27" i="11"/>
  <c r="O27" i="11"/>
  <c r="N27" i="11"/>
  <c r="K28" i="13" s="1"/>
  <c r="A27" i="11"/>
  <c r="Q26" i="11"/>
  <c r="P26" i="11"/>
  <c r="O26" i="11"/>
  <c r="N26" i="11"/>
  <c r="K27" i="13" s="1"/>
  <c r="A26" i="11"/>
  <c r="Q25" i="11"/>
  <c r="P25" i="11"/>
  <c r="O25" i="11"/>
  <c r="N25" i="11"/>
  <c r="K26" i="13" s="1"/>
  <c r="A25" i="11"/>
  <c r="Q24" i="11"/>
  <c r="P24" i="11"/>
  <c r="O24" i="11"/>
  <c r="N24" i="11"/>
  <c r="K25" i="13" s="1"/>
  <c r="A24" i="11"/>
  <c r="Q23" i="11"/>
  <c r="P23" i="11"/>
  <c r="O23" i="11"/>
  <c r="N23" i="11"/>
  <c r="K24" i="13" s="1"/>
  <c r="A23" i="11"/>
  <c r="Q22" i="11"/>
  <c r="P22" i="11"/>
  <c r="O22" i="11"/>
  <c r="N22" i="11"/>
  <c r="K23" i="13" s="1"/>
  <c r="A22" i="11"/>
  <c r="Q21" i="11"/>
  <c r="P21" i="11"/>
  <c r="O21" i="11"/>
  <c r="N21" i="11"/>
  <c r="K22" i="13" s="1"/>
  <c r="A21" i="11"/>
  <c r="Q20" i="11"/>
  <c r="P20" i="11"/>
  <c r="O20" i="11"/>
  <c r="N20" i="11"/>
  <c r="K21" i="13" s="1"/>
  <c r="A20" i="11"/>
  <c r="Q19" i="11"/>
  <c r="P19" i="11"/>
  <c r="O19" i="11"/>
  <c r="N19" i="11"/>
  <c r="K20" i="13" s="1"/>
  <c r="A19" i="11"/>
  <c r="Q18" i="11"/>
  <c r="P18" i="11"/>
  <c r="O18" i="11"/>
  <c r="N18" i="11"/>
  <c r="K19" i="13" s="1"/>
  <c r="A18" i="11"/>
  <c r="Q17" i="11"/>
  <c r="P17" i="11"/>
  <c r="O17" i="11"/>
  <c r="N17" i="11"/>
  <c r="K18" i="13" s="1"/>
  <c r="A17" i="11"/>
  <c r="Q16" i="11"/>
  <c r="P16" i="11"/>
  <c r="O16" i="11"/>
  <c r="N16" i="11"/>
  <c r="K17" i="13" s="1"/>
  <c r="A16" i="11"/>
  <c r="Q15" i="11"/>
  <c r="P15" i="11"/>
  <c r="O15" i="11"/>
  <c r="N15" i="11"/>
  <c r="K16" i="13" s="1"/>
  <c r="A15" i="11"/>
  <c r="Q14" i="11"/>
  <c r="P14" i="11"/>
  <c r="O14" i="11"/>
  <c r="N14" i="11"/>
  <c r="K15" i="13" s="1"/>
  <c r="A14" i="11"/>
  <c r="Q13" i="11"/>
  <c r="P13" i="11"/>
  <c r="O13" i="11"/>
  <c r="N13" i="11"/>
  <c r="K14" i="13" s="1"/>
  <c r="A13" i="11"/>
  <c r="Q12" i="11"/>
  <c r="P12" i="11"/>
  <c r="O12" i="11"/>
  <c r="N12" i="11"/>
  <c r="K13" i="13" s="1"/>
  <c r="A12" i="11"/>
  <c r="Q11" i="11"/>
  <c r="P11" i="11"/>
  <c r="O11" i="11"/>
  <c r="N11" i="11"/>
  <c r="K12" i="13" s="1"/>
  <c r="A11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M5" i="11"/>
  <c r="L5" i="11"/>
  <c r="J5" i="11"/>
  <c r="I5" i="11"/>
  <c r="H5" i="11"/>
  <c r="G5" i="11"/>
  <c r="F5" i="11"/>
  <c r="E5" i="11"/>
  <c r="D5" i="11"/>
  <c r="C5" i="11"/>
  <c r="B5" i="11"/>
  <c r="L32" i="12" l="1"/>
  <c r="L29" i="12"/>
  <c r="I32" i="12"/>
  <c r="I29" i="12"/>
  <c r="M32" i="12"/>
  <c r="M29" i="12"/>
  <c r="B32" i="12"/>
  <c r="B29" i="12"/>
  <c r="J29" i="12"/>
  <c r="J32" i="12"/>
  <c r="E29" i="12"/>
  <c r="E32" i="12"/>
  <c r="D32" i="12"/>
  <c r="D29" i="12"/>
  <c r="C32" i="12"/>
  <c r="C29" i="12"/>
  <c r="G32" i="12"/>
  <c r="G29" i="12"/>
  <c r="F29" i="12"/>
  <c r="F32" i="12"/>
  <c r="N5" i="11"/>
  <c r="K5" i="13"/>
  <c r="K9" i="13"/>
  <c r="K6" i="13"/>
  <c r="K7" i="13"/>
  <c r="H32" i="12"/>
  <c r="H29" i="12"/>
  <c r="M3" i="11"/>
  <c r="L3" i="11"/>
  <c r="L8" i="11" s="1"/>
  <c r="L7" i="11" s="1"/>
  <c r="K3" i="11"/>
  <c r="K8" i="11" s="1"/>
  <c r="K7" i="11" s="1"/>
  <c r="K6" i="11" s="1"/>
  <c r="K14" i="12" s="1"/>
  <c r="J3" i="11"/>
  <c r="J8" i="11" s="1"/>
  <c r="J7" i="11" s="1"/>
  <c r="I3" i="11"/>
  <c r="I8" i="11" s="1"/>
  <c r="H3" i="11"/>
  <c r="G3" i="11"/>
  <c r="G8" i="11" s="1"/>
  <c r="F3" i="11"/>
  <c r="F8" i="11" s="1"/>
  <c r="F7" i="11" s="1"/>
  <c r="E3" i="11"/>
  <c r="E8" i="11" s="1"/>
  <c r="D3" i="11"/>
  <c r="D8" i="11" s="1"/>
  <c r="C3" i="11"/>
  <c r="C8" i="11" s="1"/>
  <c r="C7" i="11" s="1"/>
  <c r="B3" i="11"/>
  <c r="O1" i="11"/>
  <c r="L1" i="11"/>
  <c r="G1" i="11"/>
  <c r="B135" i="10"/>
  <c r="Q121" i="10"/>
  <c r="A121" i="10"/>
  <c r="Q120" i="10"/>
  <c r="P120" i="10"/>
  <c r="O120" i="10"/>
  <c r="N120" i="10"/>
  <c r="J121" i="13" s="1"/>
  <c r="A120" i="10"/>
  <c r="Q119" i="10"/>
  <c r="P119" i="10"/>
  <c r="O119" i="10"/>
  <c r="N119" i="10"/>
  <c r="J120" i="13" s="1"/>
  <c r="A119" i="10"/>
  <c r="Q118" i="10"/>
  <c r="P118" i="10"/>
  <c r="O118" i="10"/>
  <c r="N118" i="10"/>
  <c r="J119" i="13" s="1"/>
  <c r="A118" i="10"/>
  <c r="Q117" i="10"/>
  <c r="P117" i="10"/>
  <c r="O117" i="10"/>
  <c r="N117" i="10"/>
  <c r="J118" i="13" s="1"/>
  <c r="A117" i="10"/>
  <c r="Q116" i="10"/>
  <c r="P116" i="10"/>
  <c r="O116" i="10"/>
  <c r="N116" i="10"/>
  <c r="J117" i="13" s="1"/>
  <c r="A116" i="10"/>
  <c r="Q115" i="10"/>
  <c r="P115" i="10"/>
  <c r="O115" i="10"/>
  <c r="N115" i="10"/>
  <c r="J116" i="13" s="1"/>
  <c r="A115" i="10"/>
  <c r="Q114" i="10"/>
  <c r="P114" i="10"/>
  <c r="O114" i="10"/>
  <c r="N114" i="10"/>
  <c r="J115" i="13" s="1"/>
  <c r="A114" i="10"/>
  <c r="Q113" i="10"/>
  <c r="P113" i="10"/>
  <c r="O113" i="10"/>
  <c r="N113" i="10"/>
  <c r="J114" i="13" s="1"/>
  <c r="A113" i="10"/>
  <c r="Q112" i="10"/>
  <c r="P112" i="10"/>
  <c r="O112" i="10"/>
  <c r="N112" i="10"/>
  <c r="J113" i="13" s="1"/>
  <c r="A112" i="10"/>
  <c r="Q111" i="10"/>
  <c r="P111" i="10"/>
  <c r="O111" i="10"/>
  <c r="N111" i="10"/>
  <c r="J112" i="13" s="1"/>
  <c r="A111" i="10"/>
  <c r="Q110" i="10"/>
  <c r="P110" i="10"/>
  <c r="O110" i="10"/>
  <c r="N110" i="10"/>
  <c r="J111" i="13" s="1"/>
  <c r="A110" i="10"/>
  <c r="Q109" i="10"/>
  <c r="P109" i="10"/>
  <c r="O109" i="10"/>
  <c r="N109" i="10"/>
  <c r="J110" i="13" s="1"/>
  <c r="A109" i="10"/>
  <c r="Q108" i="10"/>
  <c r="P108" i="10"/>
  <c r="O108" i="10"/>
  <c r="N108" i="10"/>
  <c r="J109" i="13" s="1"/>
  <c r="A108" i="10"/>
  <c r="Q107" i="10"/>
  <c r="P107" i="10"/>
  <c r="O107" i="10"/>
  <c r="N107" i="10"/>
  <c r="J108" i="13" s="1"/>
  <c r="A107" i="10"/>
  <c r="Q106" i="10"/>
  <c r="P106" i="10"/>
  <c r="O106" i="10"/>
  <c r="N106" i="10"/>
  <c r="J107" i="13" s="1"/>
  <c r="A106" i="10"/>
  <c r="Q105" i="10"/>
  <c r="P105" i="10"/>
  <c r="O105" i="10"/>
  <c r="N105" i="10"/>
  <c r="J106" i="13" s="1"/>
  <c r="A105" i="10"/>
  <c r="Q104" i="10"/>
  <c r="P104" i="10"/>
  <c r="O104" i="10"/>
  <c r="N104" i="10"/>
  <c r="J105" i="13" s="1"/>
  <c r="A104" i="10"/>
  <c r="Q103" i="10"/>
  <c r="P103" i="10"/>
  <c r="O103" i="10"/>
  <c r="N103" i="10"/>
  <c r="J104" i="13" s="1"/>
  <c r="A103" i="10"/>
  <c r="Q102" i="10"/>
  <c r="P102" i="10"/>
  <c r="O102" i="10"/>
  <c r="N102" i="10"/>
  <c r="J103" i="13" s="1"/>
  <c r="A102" i="10"/>
  <c r="Q101" i="10"/>
  <c r="P101" i="10"/>
  <c r="O101" i="10"/>
  <c r="N101" i="10"/>
  <c r="J102" i="13" s="1"/>
  <c r="A101" i="10"/>
  <c r="Q100" i="10"/>
  <c r="P100" i="10"/>
  <c r="O100" i="10"/>
  <c r="N100" i="10"/>
  <c r="J101" i="13" s="1"/>
  <c r="A100" i="10"/>
  <c r="Q99" i="10"/>
  <c r="P99" i="10"/>
  <c r="O99" i="10"/>
  <c r="N99" i="10"/>
  <c r="J100" i="13" s="1"/>
  <c r="A99" i="10"/>
  <c r="Q98" i="10"/>
  <c r="P98" i="10"/>
  <c r="O98" i="10"/>
  <c r="N98" i="10"/>
  <c r="J99" i="13" s="1"/>
  <c r="A98" i="10"/>
  <c r="Q97" i="10"/>
  <c r="P97" i="10"/>
  <c r="O97" i="10"/>
  <c r="N97" i="10"/>
  <c r="J98" i="13" s="1"/>
  <c r="A97" i="10"/>
  <c r="Q96" i="10"/>
  <c r="P96" i="10"/>
  <c r="O96" i="10"/>
  <c r="N96" i="10"/>
  <c r="J97" i="13" s="1"/>
  <c r="A96" i="10"/>
  <c r="Q95" i="10"/>
  <c r="P95" i="10"/>
  <c r="O95" i="10"/>
  <c r="N95" i="10"/>
  <c r="J96" i="13" s="1"/>
  <c r="A95" i="10"/>
  <c r="Q94" i="10"/>
  <c r="P94" i="10"/>
  <c r="O94" i="10"/>
  <c r="N94" i="10"/>
  <c r="J95" i="13" s="1"/>
  <c r="A94" i="10"/>
  <c r="Q93" i="10"/>
  <c r="P93" i="10"/>
  <c r="O93" i="10"/>
  <c r="N93" i="10"/>
  <c r="J94" i="13" s="1"/>
  <c r="A93" i="10"/>
  <c r="Q92" i="10"/>
  <c r="P92" i="10"/>
  <c r="O92" i="10"/>
  <c r="N92" i="10"/>
  <c r="J93" i="13" s="1"/>
  <c r="A92" i="10"/>
  <c r="Q91" i="10"/>
  <c r="P91" i="10"/>
  <c r="O91" i="10"/>
  <c r="N91" i="10"/>
  <c r="J92" i="13" s="1"/>
  <c r="A91" i="10"/>
  <c r="Q90" i="10"/>
  <c r="P90" i="10"/>
  <c r="O90" i="10"/>
  <c r="N90" i="10"/>
  <c r="J91" i="13" s="1"/>
  <c r="A90" i="10"/>
  <c r="Q89" i="10"/>
  <c r="P89" i="10"/>
  <c r="O89" i="10"/>
  <c r="N89" i="10"/>
  <c r="J90" i="13" s="1"/>
  <c r="A89" i="10"/>
  <c r="Q88" i="10"/>
  <c r="P88" i="10"/>
  <c r="O88" i="10"/>
  <c r="N88" i="10"/>
  <c r="J89" i="13" s="1"/>
  <c r="A88" i="10"/>
  <c r="Q87" i="10"/>
  <c r="P87" i="10"/>
  <c r="O87" i="10"/>
  <c r="N87" i="10"/>
  <c r="J88" i="13" s="1"/>
  <c r="A87" i="10"/>
  <c r="Q86" i="10"/>
  <c r="P86" i="10"/>
  <c r="O86" i="10"/>
  <c r="N86" i="10"/>
  <c r="J87" i="13" s="1"/>
  <c r="A86" i="10"/>
  <c r="Q85" i="10"/>
  <c r="P85" i="10"/>
  <c r="O85" i="10"/>
  <c r="N85" i="10"/>
  <c r="J86" i="13" s="1"/>
  <c r="A85" i="10"/>
  <c r="Q84" i="10"/>
  <c r="P84" i="10"/>
  <c r="O84" i="10"/>
  <c r="N84" i="10"/>
  <c r="J85" i="13" s="1"/>
  <c r="A84" i="10"/>
  <c r="Q83" i="10"/>
  <c r="P83" i="10"/>
  <c r="O83" i="10"/>
  <c r="N83" i="10"/>
  <c r="J84" i="13" s="1"/>
  <c r="A83" i="10"/>
  <c r="Q82" i="10"/>
  <c r="P82" i="10"/>
  <c r="O82" i="10"/>
  <c r="N82" i="10"/>
  <c r="J83" i="13" s="1"/>
  <c r="A82" i="10"/>
  <c r="Q81" i="10"/>
  <c r="P81" i="10"/>
  <c r="O81" i="10"/>
  <c r="N81" i="10"/>
  <c r="J82" i="13" s="1"/>
  <c r="A81" i="10"/>
  <c r="Q80" i="10"/>
  <c r="P80" i="10"/>
  <c r="O80" i="10"/>
  <c r="N80" i="10"/>
  <c r="J81" i="13" s="1"/>
  <c r="A80" i="10"/>
  <c r="Q79" i="10"/>
  <c r="P79" i="10"/>
  <c r="O79" i="10"/>
  <c r="N79" i="10"/>
  <c r="J80" i="13" s="1"/>
  <c r="A79" i="10"/>
  <c r="Q78" i="10"/>
  <c r="P78" i="10"/>
  <c r="O78" i="10"/>
  <c r="N78" i="10"/>
  <c r="J79" i="13" s="1"/>
  <c r="A78" i="10"/>
  <c r="Q77" i="10"/>
  <c r="P77" i="10"/>
  <c r="O77" i="10"/>
  <c r="N77" i="10"/>
  <c r="J78" i="13" s="1"/>
  <c r="A77" i="10"/>
  <c r="Q76" i="10"/>
  <c r="P76" i="10"/>
  <c r="O76" i="10"/>
  <c r="N76" i="10"/>
  <c r="J77" i="13" s="1"/>
  <c r="A76" i="10"/>
  <c r="Q75" i="10"/>
  <c r="P75" i="10"/>
  <c r="O75" i="10"/>
  <c r="N75" i="10"/>
  <c r="J76" i="13" s="1"/>
  <c r="A75" i="10"/>
  <c r="Q74" i="10"/>
  <c r="P74" i="10"/>
  <c r="O74" i="10"/>
  <c r="N74" i="10"/>
  <c r="J75" i="13" s="1"/>
  <c r="A74" i="10"/>
  <c r="Q73" i="10"/>
  <c r="P73" i="10"/>
  <c r="O73" i="10"/>
  <c r="N73" i="10"/>
  <c r="J74" i="13" s="1"/>
  <c r="A73" i="10"/>
  <c r="Q72" i="10"/>
  <c r="P72" i="10"/>
  <c r="O72" i="10"/>
  <c r="N72" i="10"/>
  <c r="J73" i="13" s="1"/>
  <c r="A72" i="10"/>
  <c r="Q71" i="10"/>
  <c r="P71" i="10"/>
  <c r="O71" i="10"/>
  <c r="N71" i="10"/>
  <c r="J72" i="13" s="1"/>
  <c r="A71" i="10"/>
  <c r="Q70" i="10"/>
  <c r="P70" i="10"/>
  <c r="O70" i="10"/>
  <c r="N70" i="10"/>
  <c r="J71" i="13" s="1"/>
  <c r="A70" i="10"/>
  <c r="Q69" i="10"/>
  <c r="P69" i="10"/>
  <c r="O69" i="10"/>
  <c r="N69" i="10"/>
  <c r="J70" i="13" s="1"/>
  <c r="A69" i="10"/>
  <c r="Q68" i="10"/>
  <c r="P68" i="10"/>
  <c r="O68" i="10"/>
  <c r="N68" i="10"/>
  <c r="J69" i="13" s="1"/>
  <c r="A68" i="10"/>
  <c r="Q67" i="10"/>
  <c r="P67" i="10"/>
  <c r="O67" i="10"/>
  <c r="N67" i="10"/>
  <c r="J68" i="13" s="1"/>
  <c r="A67" i="10"/>
  <c r="Q66" i="10"/>
  <c r="P66" i="10"/>
  <c r="O66" i="10"/>
  <c r="N66" i="10"/>
  <c r="J67" i="13" s="1"/>
  <c r="A66" i="10"/>
  <c r="Q65" i="10"/>
  <c r="P65" i="10"/>
  <c r="O65" i="10"/>
  <c r="N65" i="10"/>
  <c r="J66" i="13" s="1"/>
  <c r="A65" i="10"/>
  <c r="Q64" i="10"/>
  <c r="P64" i="10"/>
  <c r="O64" i="10"/>
  <c r="N64" i="10"/>
  <c r="J65" i="13" s="1"/>
  <c r="A64" i="10"/>
  <c r="Q63" i="10"/>
  <c r="P63" i="10"/>
  <c r="O63" i="10"/>
  <c r="N63" i="10"/>
  <c r="J64" i="13" s="1"/>
  <c r="A63" i="10"/>
  <c r="Q62" i="10"/>
  <c r="P62" i="10"/>
  <c r="O62" i="10"/>
  <c r="N62" i="10"/>
  <c r="J63" i="13" s="1"/>
  <c r="A62" i="10"/>
  <c r="Q61" i="10"/>
  <c r="P61" i="10"/>
  <c r="O61" i="10"/>
  <c r="N61" i="10"/>
  <c r="J62" i="13" s="1"/>
  <c r="A61" i="10"/>
  <c r="Q60" i="10"/>
  <c r="P60" i="10"/>
  <c r="O60" i="10"/>
  <c r="N60" i="10"/>
  <c r="J61" i="13" s="1"/>
  <c r="A60" i="10"/>
  <c r="Q59" i="10"/>
  <c r="P59" i="10"/>
  <c r="O59" i="10"/>
  <c r="N59" i="10"/>
  <c r="J60" i="13" s="1"/>
  <c r="A59" i="10"/>
  <c r="Q58" i="10"/>
  <c r="P58" i="10"/>
  <c r="O58" i="10"/>
  <c r="N58" i="10"/>
  <c r="J59" i="13" s="1"/>
  <c r="A58" i="10"/>
  <c r="Q57" i="10"/>
  <c r="P57" i="10"/>
  <c r="O57" i="10"/>
  <c r="N57" i="10"/>
  <c r="J58" i="13" s="1"/>
  <c r="A57" i="10"/>
  <c r="Q56" i="10"/>
  <c r="P56" i="10"/>
  <c r="O56" i="10"/>
  <c r="N56" i="10"/>
  <c r="J57" i="13" s="1"/>
  <c r="A56" i="10"/>
  <c r="Q55" i="10"/>
  <c r="P55" i="10"/>
  <c r="O55" i="10"/>
  <c r="N55" i="10"/>
  <c r="J56" i="13" s="1"/>
  <c r="A55" i="10"/>
  <c r="Q54" i="10"/>
  <c r="P54" i="10"/>
  <c r="O54" i="10"/>
  <c r="N54" i="10"/>
  <c r="J55" i="13" s="1"/>
  <c r="A54" i="10"/>
  <c r="Q53" i="10"/>
  <c r="P53" i="10"/>
  <c r="O53" i="10"/>
  <c r="N53" i="10"/>
  <c r="J54" i="13" s="1"/>
  <c r="A53" i="10"/>
  <c r="Q52" i="10"/>
  <c r="P52" i="10"/>
  <c r="O52" i="10"/>
  <c r="N52" i="10"/>
  <c r="J53" i="13" s="1"/>
  <c r="A52" i="10"/>
  <c r="Q51" i="10"/>
  <c r="P51" i="10"/>
  <c r="O51" i="10"/>
  <c r="N51" i="10"/>
  <c r="J52" i="13" s="1"/>
  <c r="A51" i="10"/>
  <c r="Q50" i="10"/>
  <c r="P50" i="10"/>
  <c r="O50" i="10"/>
  <c r="N50" i="10"/>
  <c r="J51" i="13" s="1"/>
  <c r="A50" i="10"/>
  <c r="Q49" i="10"/>
  <c r="P49" i="10"/>
  <c r="O49" i="10"/>
  <c r="N49" i="10"/>
  <c r="J50" i="13" s="1"/>
  <c r="A49" i="10"/>
  <c r="Q48" i="10"/>
  <c r="P48" i="10"/>
  <c r="O48" i="10"/>
  <c r="N48" i="10"/>
  <c r="J49" i="13" s="1"/>
  <c r="A48" i="10"/>
  <c r="Q47" i="10"/>
  <c r="P47" i="10"/>
  <c r="O47" i="10"/>
  <c r="N47" i="10"/>
  <c r="J48" i="13" s="1"/>
  <c r="A47" i="10"/>
  <c r="Q46" i="10"/>
  <c r="P46" i="10"/>
  <c r="O46" i="10"/>
  <c r="N46" i="10"/>
  <c r="J47" i="13" s="1"/>
  <c r="A46" i="10"/>
  <c r="Q45" i="10"/>
  <c r="P45" i="10"/>
  <c r="O45" i="10"/>
  <c r="N45" i="10"/>
  <c r="J46" i="13" s="1"/>
  <c r="A45" i="10"/>
  <c r="Q44" i="10"/>
  <c r="P44" i="10"/>
  <c r="O44" i="10"/>
  <c r="N44" i="10"/>
  <c r="J45" i="13" s="1"/>
  <c r="A44" i="10"/>
  <c r="Q43" i="10"/>
  <c r="P43" i="10"/>
  <c r="O43" i="10"/>
  <c r="N43" i="10"/>
  <c r="J44" i="13" s="1"/>
  <c r="A43" i="10"/>
  <c r="Q42" i="10"/>
  <c r="P42" i="10"/>
  <c r="O42" i="10"/>
  <c r="N42" i="10"/>
  <c r="J43" i="13" s="1"/>
  <c r="A42" i="10"/>
  <c r="Q41" i="10"/>
  <c r="P41" i="10"/>
  <c r="O41" i="10"/>
  <c r="N41" i="10"/>
  <c r="J42" i="13" s="1"/>
  <c r="A41" i="10"/>
  <c r="Q40" i="10"/>
  <c r="P40" i="10"/>
  <c r="O40" i="10"/>
  <c r="N40" i="10"/>
  <c r="J41" i="13" s="1"/>
  <c r="A40" i="10"/>
  <c r="Q39" i="10"/>
  <c r="P39" i="10"/>
  <c r="O39" i="10"/>
  <c r="N39" i="10"/>
  <c r="J40" i="13" s="1"/>
  <c r="A39" i="10"/>
  <c r="Q38" i="10"/>
  <c r="P38" i="10"/>
  <c r="O38" i="10"/>
  <c r="N38" i="10"/>
  <c r="J39" i="13" s="1"/>
  <c r="A38" i="10"/>
  <c r="Q37" i="10"/>
  <c r="P37" i="10"/>
  <c r="O37" i="10"/>
  <c r="N37" i="10"/>
  <c r="J38" i="13" s="1"/>
  <c r="A37" i="10"/>
  <c r="Q36" i="10"/>
  <c r="P36" i="10"/>
  <c r="O36" i="10"/>
  <c r="N36" i="10"/>
  <c r="J37" i="13" s="1"/>
  <c r="A36" i="10"/>
  <c r="Q35" i="10"/>
  <c r="P35" i="10"/>
  <c r="O35" i="10"/>
  <c r="N35" i="10"/>
  <c r="J36" i="13" s="1"/>
  <c r="A35" i="10"/>
  <c r="Q34" i="10"/>
  <c r="P34" i="10"/>
  <c r="O34" i="10"/>
  <c r="N34" i="10"/>
  <c r="J35" i="13" s="1"/>
  <c r="A34" i="10"/>
  <c r="Q33" i="10"/>
  <c r="P33" i="10"/>
  <c r="O33" i="10"/>
  <c r="N33" i="10"/>
  <c r="J34" i="13" s="1"/>
  <c r="A33" i="10"/>
  <c r="Q32" i="10"/>
  <c r="P32" i="10"/>
  <c r="O32" i="10"/>
  <c r="N32" i="10"/>
  <c r="J33" i="13" s="1"/>
  <c r="A32" i="10"/>
  <c r="Q31" i="10"/>
  <c r="P31" i="10"/>
  <c r="O31" i="10"/>
  <c r="N31" i="10"/>
  <c r="J32" i="13" s="1"/>
  <c r="A31" i="10"/>
  <c r="Q30" i="10"/>
  <c r="P30" i="10"/>
  <c r="O30" i="10"/>
  <c r="N30" i="10"/>
  <c r="J31" i="13" s="1"/>
  <c r="A30" i="10"/>
  <c r="Q29" i="10"/>
  <c r="P29" i="10"/>
  <c r="O29" i="10"/>
  <c r="N29" i="10"/>
  <c r="J30" i="13" s="1"/>
  <c r="A29" i="10"/>
  <c r="Q28" i="10"/>
  <c r="P28" i="10"/>
  <c r="O28" i="10"/>
  <c r="N28" i="10"/>
  <c r="J29" i="13" s="1"/>
  <c r="A28" i="10"/>
  <c r="Q27" i="10"/>
  <c r="P27" i="10"/>
  <c r="O27" i="10"/>
  <c r="N27" i="10"/>
  <c r="J28" i="13" s="1"/>
  <c r="A27" i="10"/>
  <c r="Q26" i="10"/>
  <c r="P26" i="10"/>
  <c r="O26" i="10"/>
  <c r="N26" i="10"/>
  <c r="J27" i="13" s="1"/>
  <c r="A26" i="10"/>
  <c r="Q25" i="10"/>
  <c r="P25" i="10"/>
  <c r="O25" i="10"/>
  <c r="N25" i="10"/>
  <c r="J26" i="13" s="1"/>
  <c r="A25" i="10"/>
  <c r="Q24" i="10"/>
  <c r="P24" i="10"/>
  <c r="O24" i="10"/>
  <c r="N24" i="10"/>
  <c r="J25" i="13" s="1"/>
  <c r="A24" i="10"/>
  <c r="Q23" i="10"/>
  <c r="P23" i="10"/>
  <c r="O23" i="10"/>
  <c r="N23" i="10"/>
  <c r="J24" i="13" s="1"/>
  <c r="A23" i="10"/>
  <c r="Q22" i="10"/>
  <c r="P22" i="10"/>
  <c r="O22" i="10"/>
  <c r="N22" i="10"/>
  <c r="J23" i="13" s="1"/>
  <c r="A22" i="10"/>
  <c r="Q21" i="10"/>
  <c r="P21" i="10"/>
  <c r="O21" i="10"/>
  <c r="N21" i="10"/>
  <c r="J22" i="13" s="1"/>
  <c r="A21" i="10"/>
  <c r="Q20" i="10"/>
  <c r="P20" i="10"/>
  <c r="O20" i="10"/>
  <c r="N20" i="10"/>
  <c r="J21" i="13" s="1"/>
  <c r="A20" i="10"/>
  <c r="Q19" i="10"/>
  <c r="P19" i="10"/>
  <c r="O19" i="10"/>
  <c r="N19" i="10"/>
  <c r="J20" i="13" s="1"/>
  <c r="A19" i="10"/>
  <c r="Q18" i="10"/>
  <c r="P18" i="10"/>
  <c r="O18" i="10"/>
  <c r="N18" i="10"/>
  <c r="J19" i="13" s="1"/>
  <c r="A18" i="10"/>
  <c r="Q17" i="10"/>
  <c r="P17" i="10"/>
  <c r="O17" i="10"/>
  <c r="N17" i="10"/>
  <c r="J18" i="13" s="1"/>
  <c r="A17" i="10"/>
  <c r="Q16" i="10"/>
  <c r="P16" i="10"/>
  <c r="O16" i="10"/>
  <c r="N16" i="10"/>
  <c r="J17" i="13" s="1"/>
  <c r="A16" i="10"/>
  <c r="Q15" i="10"/>
  <c r="P15" i="10"/>
  <c r="O15" i="10"/>
  <c r="N15" i="10"/>
  <c r="J16" i="13" s="1"/>
  <c r="A15" i="10"/>
  <c r="Q14" i="10"/>
  <c r="P14" i="10"/>
  <c r="O14" i="10"/>
  <c r="N14" i="10"/>
  <c r="J15" i="13" s="1"/>
  <c r="A14" i="10"/>
  <c r="Q13" i="10"/>
  <c r="P13" i="10"/>
  <c r="O13" i="10"/>
  <c r="N13" i="10"/>
  <c r="J14" i="13" s="1"/>
  <c r="A13" i="10"/>
  <c r="Q12" i="10"/>
  <c r="P12" i="10"/>
  <c r="O12" i="10"/>
  <c r="N12" i="10"/>
  <c r="J13" i="13" s="1"/>
  <c r="A12" i="10"/>
  <c r="Q11" i="10"/>
  <c r="P11" i="10"/>
  <c r="O11" i="10"/>
  <c r="N11" i="10"/>
  <c r="J12" i="13" s="1"/>
  <c r="A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5" i="10"/>
  <c r="M30" i="12" s="1"/>
  <c r="L5" i="10"/>
  <c r="L30" i="12" s="1"/>
  <c r="J5" i="10"/>
  <c r="J30" i="12" s="1"/>
  <c r="I5" i="10"/>
  <c r="H5" i="10"/>
  <c r="H30" i="12" s="1"/>
  <c r="G5" i="10"/>
  <c r="F5" i="10"/>
  <c r="F30" i="12" s="1"/>
  <c r="E5" i="10"/>
  <c r="E30" i="12" s="1"/>
  <c r="D5" i="10"/>
  <c r="D30" i="12" s="1"/>
  <c r="C5" i="10"/>
  <c r="C30" i="12" s="1"/>
  <c r="B5" i="10"/>
  <c r="M3" i="10"/>
  <c r="M8" i="10" s="1"/>
  <c r="L3" i="10"/>
  <c r="L8" i="10" s="1"/>
  <c r="K3" i="10"/>
  <c r="K8" i="10" s="1"/>
  <c r="K7" i="10" s="1"/>
  <c r="K6" i="10" s="1"/>
  <c r="K17" i="12" s="1"/>
  <c r="J3" i="10"/>
  <c r="J8" i="10" s="1"/>
  <c r="I3" i="10"/>
  <c r="I8" i="10" s="1"/>
  <c r="H3" i="10"/>
  <c r="H8" i="10" s="1"/>
  <c r="G3" i="10"/>
  <c r="G8" i="10" s="1"/>
  <c r="F3" i="10"/>
  <c r="F8" i="10" s="1"/>
  <c r="E3" i="10"/>
  <c r="E8" i="10" s="1"/>
  <c r="D3" i="10"/>
  <c r="D8" i="10" s="1"/>
  <c r="C3" i="10"/>
  <c r="C8" i="10" s="1"/>
  <c r="C7" i="10" s="1"/>
  <c r="B3" i="10"/>
  <c r="B9" i="10" s="1"/>
  <c r="O1" i="10"/>
  <c r="L1" i="10"/>
  <c r="G1" i="10"/>
  <c r="B135" i="9"/>
  <c r="Q121" i="9"/>
  <c r="A121" i="9"/>
  <c r="Q120" i="9"/>
  <c r="P120" i="9"/>
  <c r="O120" i="9"/>
  <c r="N120" i="9"/>
  <c r="I121" i="13" s="1"/>
  <c r="A120" i="9"/>
  <c r="Q119" i="9"/>
  <c r="P119" i="9"/>
  <c r="O119" i="9"/>
  <c r="N119" i="9"/>
  <c r="I120" i="13" s="1"/>
  <c r="A119" i="9"/>
  <c r="Q118" i="9"/>
  <c r="P118" i="9"/>
  <c r="O118" i="9"/>
  <c r="N118" i="9"/>
  <c r="I119" i="13" s="1"/>
  <c r="A118" i="9"/>
  <c r="Q117" i="9"/>
  <c r="P117" i="9"/>
  <c r="O117" i="9"/>
  <c r="N117" i="9"/>
  <c r="I118" i="13" s="1"/>
  <c r="A117" i="9"/>
  <c r="Q116" i="9"/>
  <c r="P116" i="9"/>
  <c r="O116" i="9"/>
  <c r="N116" i="9"/>
  <c r="I117" i="13" s="1"/>
  <c r="A116" i="9"/>
  <c r="Q115" i="9"/>
  <c r="P115" i="9"/>
  <c r="O115" i="9"/>
  <c r="N115" i="9"/>
  <c r="I116" i="13" s="1"/>
  <c r="A115" i="9"/>
  <c r="Q114" i="9"/>
  <c r="P114" i="9"/>
  <c r="O114" i="9"/>
  <c r="N114" i="9"/>
  <c r="I115" i="13" s="1"/>
  <c r="A114" i="9"/>
  <c r="Q113" i="9"/>
  <c r="P113" i="9"/>
  <c r="O113" i="9"/>
  <c r="N113" i="9"/>
  <c r="I114" i="13" s="1"/>
  <c r="A113" i="9"/>
  <c r="Q112" i="9"/>
  <c r="P112" i="9"/>
  <c r="O112" i="9"/>
  <c r="N112" i="9"/>
  <c r="I113" i="13" s="1"/>
  <c r="A112" i="9"/>
  <c r="Q111" i="9"/>
  <c r="P111" i="9"/>
  <c r="O111" i="9"/>
  <c r="N111" i="9"/>
  <c r="I112" i="13" s="1"/>
  <c r="A111" i="9"/>
  <c r="Q110" i="9"/>
  <c r="P110" i="9"/>
  <c r="O110" i="9"/>
  <c r="N110" i="9"/>
  <c r="I111" i="13" s="1"/>
  <c r="A110" i="9"/>
  <c r="Q109" i="9"/>
  <c r="P109" i="9"/>
  <c r="O109" i="9"/>
  <c r="N109" i="9"/>
  <c r="I110" i="13" s="1"/>
  <c r="A109" i="9"/>
  <c r="Q108" i="9"/>
  <c r="P108" i="9"/>
  <c r="O108" i="9"/>
  <c r="N108" i="9"/>
  <c r="I109" i="13" s="1"/>
  <c r="A108" i="9"/>
  <c r="Q107" i="9"/>
  <c r="P107" i="9"/>
  <c r="O107" i="9"/>
  <c r="N107" i="9"/>
  <c r="I108" i="13" s="1"/>
  <c r="A107" i="9"/>
  <c r="Q106" i="9"/>
  <c r="P106" i="9"/>
  <c r="O106" i="9"/>
  <c r="N106" i="9"/>
  <c r="I107" i="13" s="1"/>
  <c r="A106" i="9"/>
  <c r="Q105" i="9"/>
  <c r="P105" i="9"/>
  <c r="O105" i="9"/>
  <c r="N105" i="9"/>
  <c r="I106" i="13" s="1"/>
  <c r="A105" i="9"/>
  <c r="Q104" i="9"/>
  <c r="P104" i="9"/>
  <c r="O104" i="9"/>
  <c r="N104" i="9"/>
  <c r="I105" i="13" s="1"/>
  <c r="A104" i="9"/>
  <c r="Q103" i="9"/>
  <c r="P103" i="9"/>
  <c r="O103" i="9"/>
  <c r="N103" i="9"/>
  <c r="I104" i="13" s="1"/>
  <c r="A103" i="9"/>
  <c r="Q102" i="9"/>
  <c r="P102" i="9"/>
  <c r="O102" i="9"/>
  <c r="N102" i="9"/>
  <c r="I103" i="13" s="1"/>
  <c r="A102" i="9"/>
  <c r="Q101" i="9"/>
  <c r="P101" i="9"/>
  <c r="O101" i="9"/>
  <c r="N101" i="9"/>
  <c r="I102" i="13" s="1"/>
  <c r="A101" i="9"/>
  <c r="Q100" i="9"/>
  <c r="P100" i="9"/>
  <c r="O100" i="9"/>
  <c r="N100" i="9"/>
  <c r="I101" i="13" s="1"/>
  <c r="A100" i="9"/>
  <c r="Q99" i="9"/>
  <c r="P99" i="9"/>
  <c r="O99" i="9"/>
  <c r="N99" i="9"/>
  <c r="I100" i="13" s="1"/>
  <c r="A99" i="9"/>
  <c r="Q98" i="9"/>
  <c r="P98" i="9"/>
  <c r="O98" i="9"/>
  <c r="N98" i="9"/>
  <c r="I99" i="13" s="1"/>
  <c r="A98" i="9"/>
  <c r="Q97" i="9"/>
  <c r="P97" i="9"/>
  <c r="O97" i="9"/>
  <c r="N97" i="9"/>
  <c r="I98" i="13" s="1"/>
  <c r="A97" i="9"/>
  <c r="Q96" i="9"/>
  <c r="P96" i="9"/>
  <c r="O96" i="9"/>
  <c r="N96" i="9"/>
  <c r="I97" i="13" s="1"/>
  <c r="A96" i="9"/>
  <c r="Q95" i="9"/>
  <c r="P95" i="9"/>
  <c r="O95" i="9"/>
  <c r="N95" i="9"/>
  <c r="I96" i="13" s="1"/>
  <c r="A95" i="9"/>
  <c r="Q94" i="9"/>
  <c r="P94" i="9"/>
  <c r="O94" i="9"/>
  <c r="N94" i="9"/>
  <c r="I95" i="13" s="1"/>
  <c r="A94" i="9"/>
  <c r="Q93" i="9"/>
  <c r="P93" i="9"/>
  <c r="O93" i="9"/>
  <c r="N93" i="9"/>
  <c r="I94" i="13" s="1"/>
  <c r="A93" i="9"/>
  <c r="Q92" i="9"/>
  <c r="P92" i="9"/>
  <c r="O92" i="9"/>
  <c r="N92" i="9"/>
  <c r="I93" i="13" s="1"/>
  <c r="A92" i="9"/>
  <c r="Q91" i="9"/>
  <c r="P91" i="9"/>
  <c r="O91" i="9"/>
  <c r="N91" i="9"/>
  <c r="I92" i="13" s="1"/>
  <c r="A91" i="9"/>
  <c r="Q90" i="9"/>
  <c r="P90" i="9"/>
  <c r="O90" i="9"/>
  <c r="N90" i="9"/>
  <c r="I91" i="13" s="1"/>
  <c r="A90" i="9"/>
  <c r="Q89" i="9"/>
  <c r="P89" i="9"/>
  <c r="O89" i="9"/>
  <c r="N89" i="9"/>
  <c r="I90" i="13" s="1"/>
  <c r="A89" i="9"/>
  <c r="Q88" i="9"/>
  <c r="P88" i="9"/>
  <c r="O88" i="9"/>
  <c r="N88" i="9"/>
  <c r="I89" i="13" s="1"/>
  <c r="A88" i="9"/>
  <c r="Q87" i="9"/>
  <c r="P87" i="9"/>
  <c r="O87" i="9"/>
  <c r="N87" i="9"/>
  <c r="I88" i="13" s="1"/>
  <c r="A87" i="9"/>
  <c r="Q86" i="9"/>
  <c r="P86" i="9"/>
  <c r="O86" i="9"/>
  <c r="N86" i="9"/>
  <c r="I87" i="13" s="1"/>
  <c r="A86" i="9"/>
  <c r="Q85" i="9"/>
  <c r="P85" i="9"/>
  <c r="O85" i="9"/>
  <c r="N85" i="9"/>
  <c r="I86" i="13" s="1"/>
  <c r="A85" i="9"/>
  <c r="Q84" i="9"/>
  <c r="P84" i="9"/>
  <c r="O84" i="9"/>
  <c r="N84" i="9"/>
  <c r="I85" i="13" s="1"/>
  <c r="A84" i="9"/>
  <c r="Q83" i="9"/>
  <c r="P83" i="9"/>
  <c r="O83" i="9"/>
  <c r="N83" i="9"/>
  <c r="I84" i="13" s="1"/>
  <c r="A83" i="9"/>
  <c r="Q82" i="9"/>
  <c r="P82" i="9"/>
  <c r="O82" i="9"/>
  <c r="N82" i="9"/>
  <c r="I83" i="13" s="1"/>
  <c r="A82" i="9"/>
  <c r="Q81" i="9"/>
  <c r="P81" i="9"/>
  <c r="O81" i="9"/>
  <c r="N81" i="9"/>
  <c r="I82" i="13" s="1"/>
  <c r="A81" i="9"/>
  <c r="Q80" i="9"/>
  <c r="P80" i="9"/>
  <c r="O80" i="9"/>
  <c r="N80" i="9"/>
  <c r="I81" i="13" s="1"/>
  <c r="A80" i="9"/>
  <c r="Q79" i="9"/>
  <c r="P79" i="9"/>
  <c r="O79" i="9"/>
  <c r="N79" i="9"/>
  <c r="I80" i="13" s="1"/>
  <c r="A79" i="9"/>
  <c r="Q78" i="9"/>
  <c r="P78" i="9"/>
  <c r="O78" i="9"/>
  <c r="N78" i="9"/>
  <c r="I79" i="13" s="1"/>
  <c r="A78" i="9"/>
  <c r="Q77" i="9"/>
  <c r="P77" i="9"/>
  <c r="O77" i="9"/>
  <c r="N77" i="9"/>
  <c r="I78" i="13" s="1"/>
  <c r="A77" i="9"/>
  <c r="Q76" i="9"/>
  <c r="P76" i="9"/>
  <c r="O76" i="9"/>
  <c r="N76" i="9"/>
  <c r="I77" i="13" s="1"/>
  <c r="A76" i="9"/>
  <c r="Q75" i="9"/>
  <c r="P75" i="9"/>
  <c r="O75" i="9"/>
  <c r="N75" i="9"/>
  <c r="I76" i="13" s="1"/>
  <c r="A75" i="9"/>
  <c r="Q74" i="9"/>
  <c r="P74" i="9"/>
  <c r="O74" i="9"/>
  <c r="N74" i="9"/>
  <c r="I75" i="13" s="1"/>
  <c r="A74" i="9"/>
  <c r="Q73" i="9"/>
  <c r="P73" i="9"/>
  <c r="O73" i="9"/>
  <c r="N73" i="9"/>
  <c r="I74" i="13" s="1"/>
  <c r="A73" i="9"/>
  <c r="Q72" i="9"/>
  <c r="P72" i="9"/>
  <c r="O72" i="9"/>
  <c r="N72" i="9"/>
  <c r="I73" i="13" s="1"/>
  <c r="A72" i="9"/>
  <c r="Q71" i="9"/>
  <c r="P71" i="9"/>
  <c r="O71" i="9"/>
  <c r="N71" i="9"/>
  <c r="I72" i="13" s="1"/>
  <c r="A71" i="9"/>
  <c r="Q70" i="9"/>
  <c r="P70" i="9"/>
  <c r="O70" i="9"/>
  <c r="N70" i="9"/>
  <c r="I71" i="13" s="1"/>
  <c r="A70" i="9"/>
  <c r="Q69" i="9"/>
  <c r="P69" i="9"/>
  <c r="O69" i="9"/>
  <c r="N69" i="9"/>
  <c r="I70" i="13" s="1"/>
  <c r="A69" i="9"/>
  <c r="Q68" i="9"/>
  <c r="P68" i="9"/>
  <c r="O68" i="9"/>
  <c r="N68" i="9"/>
  <c r="I69" i="13" s="1"/>
  <c r="A68" i="9"/>
  <c r="Q67" i="9"/>
  <c r="P67" i="9"/>
  <c r="O67" i="9"/>
  <c r="N67" i="9"/>
  <c r="I68" i="13" s="1"/>
  <c r="A67" i="9"/>
  <c r="Q66" i="9"/>
  <c r="P66" i="9"/>
  <c r="O66" i="9"/>
  <c r="N66" i="9"/>
  <c r="I67" i="13" s="1"/>
  <c r="A66" i="9"/>
  <c r="Q65" i="9"/>
  <c r="P65" i="9"/>
  <c r="O65" i="9"/>
  <c r="N65" i="9"/>
  <c r="I66" i="13" s="1"/>
  <c r="A65" i="9"/>
  <c r="Q64" i="9"/>
  <c r="P64" i="9"/>
  <c r="O64" i="9"/>
  <c r="N64" i="9"/>
  <c r="I65" i="13" s="1"/>
  <c r="A64" i="9"/>
  <c r="Q63" i="9"/>
  <c r="P63" i="9"/>
  <c r="O63" i="9"/>
  <c r="N63" i="9"/>
  <c r="I64" i="13" s="1"/>
  <c r="A63" i="9"/>
  <c r="Q62" i="9"/>
  <c r="P62" i="9"/>
  <c r="O62" i="9"/>
  <c r="N62" i="9"/>
  <c r="I63" i="13" s="1"/>
  <c r="A62" i="9"/>
  <c r="Q61" i="9"/>
  <c r="P61" i="9"/>
  <c r="O61" i="9"/>
  <c r="N61" i="9"/>
  <c r="I62" i="13" s="1"/>
  <c r="A61" i="9"/>
  <c r="Q60" i="9"/>
  <c r="P60" i="9"/>
  <c r="O60" i="9"/>
  <c r="N60" i="9"/>
  <c r="I61" i="13" s="1"/>
  <c r="A60" i="9"/>
  <c r="Q59" i="9"/>
  <c r="P59" i="9"/>
  <c r="O59" i="9"/>
  <c r="N59" i="9"/>
  <c r="I60" i="13" s="1"/>
  <c r="A59" i="9"/>
  <c r="Q58" i="9"/>
  <c r="P58" i="9"/>
  <c r="O58" i="9"/>
  <c r="N58" i="9"/>
  <c r="I59" i="13" s="1"/>
  <c r="A58" i="9"/>
  <c r="Q57" i="9"/>
  <c r="P57" i="9"/>
  <c r="O57" i="9"/>
  <c r="N57" i="9"/>
  <c r="I58" i="13" s="1"/>
  <c r="A57" i="9"/>
  <c r="Q56" i="9"/>
  <c r="P56" i="9"/>
  <c r="O56" i="9"/>
  <c r="N56" i="9"/>
  <c r="I57" i="13" s="1"/>
  <c r="A56" i="9"/>
  <c r="Q55" i="9"/>
  <c r="P55" i="9"/>
  <c r="O55" i="9"/>
  <c r="N55" i="9"/>
  <c r="I56" i="13" s="1"/>
  <c r="A55" i="9"/>
  <c r="Q54" i="9"/>
  <c r="P54" i="9"/>
  <c r="O54" i="9"/>
  <c r="N54" i="9"/>
  <c r="I55" i="13" s="1"/>
  <c r="A54" i="9"/>
  <c r="Q53" i="9"/>
  <c r="P53" i="9"/>
  <c r="O53" i="9"/>
  <c r="N53" i="9"/>
  <c r="I54" i="13" s="1"/>
  <c r="A53" i="9"/>
  <c r="Q52" i="9"/>
  <c r="P52" i="9"/>
  <c r="O52" i="9"/>
  <c r="N52" i="9"/>
  <c r="I53" i="13" s="1"/>
  <c r="A52" i="9"/>
  <c r="Q51" i="9"/>
  <c r="P51" i="9"/>
  <c r="O51" i="9"/>
  <c r="N51" i="9"/>
  <c r="I52" i="13" s="1"/>
  <c r="A51" i="9"/>
  <c r="Q50" i="9"/>
  <c r="P50" i="9"/>
  <c r="O50" i="9"/>
  <c r="N50" i="9"/>
  <c r="I51" i="13" s="1"/>
  <c r="A50" i="9"/>
  <c r="Q49" i="9"/>
  <c r="P49" i="9"/>
  <c r="O49" i="9"/>
  <c r="N49" i="9"/>
  <c r="I50" i="13" s="1"/>
  <c r="A49" i="9"/>
  <c r="Q48" i="9"/>
  <c r="P48" i="9"/>
  <c r="O48" i="9"/>
  <c r="N48" i="9"/>
  <c r="I49" i="13" s="1"/>
  <c r="A48" i="9"/>
  <c r="Q47" i="9"/>
  <c r="P47" i="9"/>
  <c r="O47" i="9"/>
  <c r="N47" i="9"/>
  <c r="I48" i="13" s="1"/>
  <c r="A47" i="9"/>
  <c r="Q46" i="9"/>
  <c r="P46" i="9"/>
  <c r="O46" i="9"/>
  <c r="N46" i="9"/>
  <c r="I47" i="13" s="1"/>
  <c r="A46" i="9"/>
  <c r="Q45" i="9"/>
  <c r="P45" i="9"/>
  <c r="O45" i="9"/>
  <c r="N45" i="9"/>
  <c r="I46" i="13" s="1"/>
  <c r="A45" i="9"/>
  <c r="Q44" i="9"/>
  <c r="P44" i="9"/>
  <c r="O44" i="9"/>
  <c r="N44" i="9"/>
  <c r="I45" i="13" s="1"/>
  <c r="A44" i="9"/>
  <c r="Q43" i="9"/>
  <c r="P43" i="9"/>
  <c r="O43" i="9"/>
  <c r="N43" i="9"/>
  <c r="I44" i="13" s="1"/>
  <c r="A43" i="9"/>
  <c r="Q42" i="9"/>
  <c r="P42" i="9"/>
  <c r="O42" i="9"/>
  <c r="N42" i="9"/>
  <c r="I43" i="13" s="1"/>
  <c r="A42" i="9"/>
  <c r="Q41" i="9"/>
  <c r="P41" i="9"/>
  <c r="O41" i="9"/>
  <c r="N41" i="9"/>
  <c r="I42" i="13" s="1"/>
  <c r="A41" i="9"/>
  <c r="Q40" i="9"/>
  <c r="P40" i="9"/>
  <c r="O40" i="9"/>
  <c r="N40" i="9"/>
  <c r="I41" i="13" s="1"/>
  <c r="A40" i="9"/>
  <c r="Q39" i="9"/>
  <c r="P39" i="9"/>
  <c r="O39" i="9"/>
  <c r="N39" i="9"/>
  <c r="I40" i="13" s="1"/>
  <c r="A39" i="9"/>
  <c r="Q38" i="9"/>
  <c r="P38" i="9"/>
  <c r="O38" i="9"/>
  <c r="N38" i="9"/>
  <c r="I39" i="13" s="1"/>
  <c r="A38" i="9"/>
  <c r="Q37" i="9"/>
  <c r="P37" i="9"/>
  <c r="O37" i="9"/>
  <c r="N37" i="9"/>
  <c r="I38" i="13" s="1"/>
  <c r="A37" i="9"/>
  <c r="Q36" i="9"/>
  <c r="P36" i="9"/>
  <c r="O36" i="9"/>
  <c r="N36" i="9"/>
  <c r="I37" i="13" s="1"/>
  <c r="A36" i="9"/>
  <c r="Q35" i="9"/>
  <c r="P35" i="9"/>
  <c r="O35" i="9"/>
  <c r="N35" i="9"/>
  <c r="I36" i="13" s="1"/>
  <c r="A35" i="9"/>
  <c r="Q34" i="9"/>
  <c r="P34" i="9"/>
  <c r="O34" i="9"/>
  <c r="N34" i="9"/>
  <c r="I35" i="13" s="1"/>
  <c r="A34" i="9"/>
  <c r="Q33" i="9"/>
  <c r="P33" i="9"/>
  <c r="O33" i="9"/>
  <c r="N33" i="9"/>
  <c r="I34" i="13" s="1"/>
  <c r="A33" i="9"/>
  <c r="Q32" i="9"/>
  <c r="P32" i="9"/>
  <c r="O32" i="9"/>
  <c r="N32" i="9"/>
  <c r="I33" i="13" s="1"/>
  <c r="A32" i="9"/>
  <c r="Q31" i="9"/>
  <c r="P31" i="9"/>
  <c r="O31" i="9"/>
  <c r="N31" i="9"/>
  <c r="I32" i="13" s="1"/>
  <c r="A31" i="9"/>
  <c r="Q30" i="9"/>
  <c r="P30" i="9"/>
  <c r="O30" i="9"/>
  <c r="N30" i="9"/>
  <c r="I31" i="13" s="1"/>
  <c r="A30" i="9"/>
  <c r="Q29" i="9"/>
  <c r="P29" i="9"/>
  <c r="O29" i="9"/>
  <c r="N29" i="9"/>
  <c r="I30" i="13" s="1"/>
  <c r="A29" i="9"/>
  <c r="Q28" i="9"/>
  <c r="P28" i="9"/>
  <c r="O28" i="9"/>
  <c r="N28" i="9"/>
  <c r="I29" i="13" s="1"/>
  <c r="A28" i="9"/>
  <c r="Q27" i="9"/>
  <c r="P27" i="9"/>
  <c r="O27" i="9"/>
  <c r="N27" i="9"/>
  <c r="I28" i="13" s="1"/>
  <c r="A27" i="9"/>
  <c r="Q26" i="9"/>
  <c r="P26" i="9"/>
  <c r="O26" i="9"/>
  <c r="N26" i="9"/>
  <c r="I27" i="13" s="1"/>
  <c r="A26" i="9"/>
  <c r="Q25" i="9"/>
  <c r="P25" i="9"/>
  <c r="O25" i="9"/>
  <c r="N25" i="9"/>
  <c r="I26" i="13" s="1"/>
  <c r="A25" i="9"/>
  <c r="Q24" i="9"/>
  <c r="P24" i="9"/>
  <c r="O24" i="9"/>
  <c r="N24" i="9"/>
  <c r="I25" i="13" s="1"/>
  <c r="A24" i="9"/>
  <c r="Q23" i="9"/>
  <c r="P23" i="9"/>
  <c r="O23" i="9"/>
  <c r="N23" i="9"/>
  <c r="I24" i="13" s="1"/>
  <c r="A23" i="9"/>
  <c r="Q22" i="9"/>
  <c r="P22" i="9"/>
  <c r="O22" i="9"/>
  <c r="N22" i="9"/>
  <c r="I23" i="13" s="1"/>
  <c r="A22" i="9"/>
  <c r="Q21" i="9"/>
  <c r="P21" i="9"/>
  <c r="O21" i="9"/>
  <c r="N21" i="9"/>
  <c r="I22" i="13" s="1"/>
  <c r="A21" i="9"/>
  <c r="Q20" i="9"/>
  <c r="P20" i="9"/>
  <c r="O20" i="9"/>
  <c r="N20" i="9"/>
  <c r="I21" i="13" s="1"/>
  <c r="A20" i="9"/>
  <c r="Q19" i="9"/>
  <c r="P19" i="9"/>
  <c r="O19" i="9"/>
  <c r="N19" i="9"/>
  <c r="I20" i="13" s="1"/>
  <c r="A19" i="9"/>
  <c r="Q18" i="9"/>
  <c r="P18" i="9"/>
  <c r="O18" i="9"/>
  <c r="N18" i="9"/>
  <c r="I19" i="13" s="1"/>
  <c r="A18" i="9"/>
  <c r="Q17" i="9"/>
  <c r="P17" i="9"/>
  <c r="O17" i="9"/>
  <c r="N17" i="9"/>
  <c r="I18" i="13" s="1"/>
  <c r="A17" i="9"/>
  <c r="Q16" i="9"/>
  <c r="P16" i="9"/>
  <c r="O16" i="9"/>
  <c r="N16" i="9"/>
  <c r="I17" i="13" s="1"/>
  <c r="A16" i="9"/>
  <c r="Q15" i="9"/>
  <c r="P15" i="9"/>
  <c r="O15" i="9"/>
  <c r="N15" i="9"/>
  <c r="I16" i="13" s="1"/>
  <c r="A15" i="9"/>
  <c r="Q14" i="9"/>
  <c r="P14" i="9"/>
  <c r="O14" i="9"/>
  <c r="N14" i="9"/>
  <c r="I15" i="13" s="1"/>
  <c r="A14" i="9"/>
  <c r="Q13" i="9"/>
  <c r="P13" i="9"/>
  <c r="O13" i="9"/>
  <c r="N13" i="9"/>
  <c r="I14" i="13" s="1"/>
  <c r="A13" i="9"/>
  <c r="Q12" i="9"/>
  <c r="P12" i="9"/>
  <c r="O12" i="9"/>
  <c r="N12" i="9"/>
  <c r="I13" i="13" s="1"/>
  <c r="A12" i="9"/>
  <c r="Q11" i="9"/>
  <c r="P11" i="9"/>
  <c r="O11" i="9"/>
  <c r="N11" i="9"/>
  <c r="I12" i="13" s="1"/>
  <c r="A11" i="9"/>
  <c r="M10" i="9"/>
  <c r="L10" i="9"/>
  <c r="K10" i="9"/>
  <c r="J10" i="9"/>
  <c r="I10" i="9"/>
  <c r="H10" i="9"/>
  <c r="G10" i="9"/>
  <c r="F10" i="9"/>
  <c r="E10" i="9"/>
  <c r="D10" i="9"/>
  <c r="C10" i="9"/>
  <c r="B10" i="9"/>
  <c r="M5" i="9"/>
  <c r="L5" i="9"/>
  <c r="J5" i="9"/>
  <c r="I5" i="9"/>
  <c r="H5" i="9"/>
  <c r="G5" i="9"/>
  <c r="G25" i="12" s="1"/>
  <c r="F5" i="9"/>
  <c r="E5" i="9"/>
  <c r="D5" i="9"/>
  <c r="C5" i="9"/>
  <c r="B5" i="9"/>
  <c r="M3" i="9"/>
  <c r="M8" i="9" s="1"/>
  <c r="L3" i="9"/>
  <c r="L8" i="9" s="1"/>
  <c r="K3" i="9"/>
  <c r="J3" i="9"/>
  <c r="J8" i="9" s="1"/>
  <c r="I3" i="9"/>
  <c r="I9" i="9" s="1"/>
  <c r="H3" i="9"/>
  <c r="H9" i="9" s="1"/>
  <c r="G3" i="9"/>
  <c r="G8" i="9" s="1"/>
  <c r="F3" i="9"/>
  <c r="F8" i="9" s="1"/>
  <c r="F7" i="9" s="1"/>
  <c r="E3" i="9"/>
  <c r="E8" i="9" s="1"/>
  <c r="D3" i="9"/>
  <c r="D8" i="9" s="1"/>
  <c r="C3" i="9"/>
  <c r="C9" i="9" s="1"/>
  <c r="B3" i="9"/>
  <c r="O1" i="9"/>
  <c r="L1" i="9"/>
  <c r="G1" i="9"/>
  <c r="B135" i="8"/>
  <c r="Q121" i="8"/>
  <c r="N121" i="8"/>
  <c r="A121" i="8"/>
  <c r="Q120" i="8"/>
  <c r="P120" i="8"/>
  <c r="O120" i="8"/>
  <c r="N120" i="8"/>
  <c r="M121" i="13" s="1"/>
  <c r="A120" i="8"/>
  <c r="Q119" i="8"/>
  <c r="P119" i="8"/>
  <c r="O119" i="8"/>
  <c r="N119" i="8"/>
  <c r="M120" i="13" s="1"/>
  <c r="A119" i="8"/>
  <c r="Q118" i="8"/>
  <c r="P118" i="8"/>
  <c r="O118" i="8"/>
  <c r="N118" i="8"/>
  <c r="M119" i="13" s="1"/>
  <c r="A118" i="8"/>
  <c r="Q117" i="8"/>
  <c r="P117" i="8"/>
  <c r="O117" i="8"/>
  <c r="N117" i="8"/>
  <c r="M118" i="13" s="1"/>
  <c r="A117" i="8"/>
  <c r="Q116" i="8"/>
  <c r="P116" i="8"/>
  <c r="O116" i="8"/>
  <c r="N116" i="8"/>
  <c r="M117" i="13" s="1"/>
  <c r="A116" i="8"/>
  <c r="Q115" i="8"/>
  <c r="P115" i="8"/>
  <c r="O115" i="8"/>
  <c r="N115" i="8"/>
  <c r="M116" i="13" s="1"/>
  <c r="A115" i="8"/>
  <c r="Q114" i="8"/>
  <c r="P114" i="8"/>
  <c r="O114" i="8"/>
  <c r="N114" i="8"/>
  <c r="M115" i="13" s="1"/>
  <c r="A114" i="8"/>
  <c r="Q113" i="8"/>
  <c r="P113" i="8"/>
  <c r="O113" i="8"/>
  <c r="N113" i="8"/>
  <c r="M114" i="13" s="1"/>
  <c r="A113" i="8"/>
  <c r="Q112" i="8"/>
  <c r="P112" i="8"/>
  <c r="O112" i="8"/>
  <c r="N112" i="8"/>
  <c r="M113" i="13" s="1"/>
  <c r="A112" i="8"/>
  <c r="Q111" i="8"/>
  <c r="P111" i="8"/>
  <c r="O111" i="8"/>
  <c r="N111" i="8"/>
  <c r="M112" i="13" s="1"/>
  <c r="A111" i="8"/>
  <c r="Q110" i="8"/>
  <c r="P110" i="8"/>
  <c r="O110" i="8"/>
  <c r="N110" i="8"/>
  <c r="M111" i="13" s="1"/>
  <c r="A110" i="8"/>
  <c r="Q109" i="8"/>
  <c r="P109" i="8"/>
  <c r="O109" i="8"/>
  <c r="N109" i="8"/>
  <c r="M110" i="13" s="1"/>
  <c r="A109" i="8"/>
  <c r="Q108" i="8"/>
  <c r="P108" i="8"/>
  <c r="O108" i="8"/>
  <c r="N108" i="8"/>
  <c r="M109" i="13" s="1"/>
  <c r="A108" i="8"/>
  <c r="Q107" i="8"/>
  <c r="P107" i="8"/>
  <c r="O107" i="8"/>
  <c r="N107" i="8"/>
  <c r="M108" i="13" s="1"/>
  <c r="A107" i="8"/>
  <c r="Q106" i="8"/>
  <c r="P106" i="8"/>
  <c r="O106" i="8"/>
  <c r="N106" i="8"/>
  <c r="M107" i="13" s="1"/>
  <c r="A106" i="8"/>
  <c r="Q105" i="8"/>
  <c r="P105" i="8"/>
  <c r="O105" i="8"/>
  <c r="N105" i="8"/>
  <c r="M106" i="13" s="1"/>
  <c r="A105" i="8"/>
  <c r="Q104" i="8"/>
  <c r="P104" i="8"/>
  <c r="O104" i="8"/>
  <c r="N104" i="8"/>
  <c r="M105" i="13" s="1"/>
  <c r="A104" i="8"/>
  <c r="Q103" i="8"/>
  <c r="P103" i="8"/>
  <c r="O103" i="8"/>
  <c r="N103" i="8"/>
  <c r="M104" i="13" s="1"/>
  <c r="A103" i="8"/>
  <c r="Q102" i="8"/>
  <c r="P102" i="8"/>
  <c r="O102" i="8"/>
  <c r="N102" i="8"/>
  <c r="M103" i="13" s="1"/>
  <c r="A102" i="8"/>
  <c r="Q101" i="8"/>
  <c r="P101" i="8"/>
  <c r="O101" i="8"/>
  <c r="N101" i="8"/>
  <c r="M102" i="13" s="1"/>
  <c r="A101" i="8"/>
  <c r="Q100" i="8"/>
  <c r="P100" i="8"/>
  <c r="O100" i="8"/>
  <c r="N100" i="8"/>
  <c r="M101" i="13" s="1"/>
  <c r="A100" i="8"/>
  <c r="Q99" i="8"/>
  <c r="P99" i="8"/>
  <c r="O99" i="8"/>
  <c r="N99" i="8"/>
  <c r="M100" i="13" s="1"/>
  <c r="A99" i="8"/>
  <c r="Q98" i="8"/>
  <c r="P98" i="8"/>
  <c r="O98" i="8"/>
  <c r="N98" i="8"/>
  <c r="M99" i="13" s="1"/>
  <c r="A98" i="8"/>
  <c r="Q97" i="8"/>
  <c r="P97" i="8"/>
  <c r="O97" i="8"/>
  <c r="N97" i="8"/>
  <c r="M98" i="13" s="1"/>
  <c r="A97" i="8"/>
  <c r="Q96" i="8"/>
  <c r="P96" i="8"/>
  <c r="O96" i="8"/>
  <c r="N96" i="8"/>
  <c r="M97" i="13" s="1"/>
  <c r="A96" i="8"/>
  <c r="Q95" i="8"/>
  <c r="P95" i="8"/>
  <c r="O95" i="8"/>
  <c r="N95" i="8"/>
  <c r="M96" i="13" s="1"/>
  <c r="A95" i="8"/>
  <c r="Q94" i="8"/>
  <c r="P94" i="8"/>
  <c r="O94" i="8"/>
  <c r="N94" i="8"/>
  <c r="M95" i="13" s="1"/>
  <c r="A94" i="8"/>
  <c r="Q93" i="8"/>
  <c r="P93" i="8"/>
  <c r="O93" i="8"/>
  <c r="N93" i="8"/>
  <c r="M94" i="13" s="1"/>
  <c r="A93" i="8"/>
  <c r="Q92" i="8"/>
  <c r="P92" i="8"/>
  <c r="O92" i="8"/>
  <c r="N92" i="8"/>
  <c r="M93" i="13" s="1"/>
  <c r="A92" i="8"/>
  <c r="Q91" i="8"/>
  <c r="P91" i="8"/>
  <c r="O91" i="8"/>
  <c r="N91" i="8"/>
  <c r="M92" i="13" s="1"/>
  <c r="A91" i="8"/>
  <c r="Q90" i="8"/>
  <c r="P90" i="8"/>
  <c r="O90" i="8"/>
  <c r="N90" i="8"/>
  <c r="M91" i="13" s="1"/>
  <c r="A90" i="8"/>
  <c r="Q89" i="8"/>
  <c r="P89" i="8"/>
  <c r="O89" i="8"/>
  <c r="N89" i="8"/>
  <c r="M90" i="13" s="1"/>
  <c r="A89" i="8"/>
  <c r="Q88" i="8"/>
  <c r="P88" i="8"/>
  <c r="O88" i="8"/>
  <c r="N88" i="8"/>
  <c r="M89" i="13" s="1"/>
  <c r="A88" i="8"/>
  <c r="Q87" i="8"/>
  <c r="P87" i="8"/>
  <c r="O87" i="8"/>
  <c r="N87" i="8"/>
  <c r="M88" i="13" s="1"/>
  <c r="A87" i="8"/>
  <c r="Q86" i="8"/>
  <c r="P86" i="8"/>
  <c r="O86" i="8"/>
  <c r="N86" i="8"/>
  <c r="M87" i="13" s="1"/>
  <c r="A86" i="8"/>
  <c r="Q85" i="8"/>
  <c r="P85" i="8"/>
  <c r="O85" i="8"/>
  <c r="N85" i="8"/>
  <c r="M86" i="13" s="1"/>
  <c r="A85" i="8"/>
  <c r="Q84" i="8"/>
  <c r="P84" i="8"/>
  <c r="O84" i="8"/>
  <c r="N84" i="8"/>
  <c r="M85" i="13" s="1"/>
  <c r="A84" i="8"/>
  <c r="Q83" i="8"/>
  <c r="P83" i="8"/>
  <c r="O83" i="8"/>
  <c r="N83" i="8"/>
  <c r="M84" i="13" s="1"/>
  <c r="A83" i="8"/>
  <c r="Q82" i="8"/>
  <c r="P82" i="8"/>
  <c r="O82" i="8"/>
  <c r="N82" i="8"/>
  <c r="M83" i="13" s="1"/>
  <c r="A82" i="8"/>
  <c r="Q81" i="8"/>
  <c r="P81" i="8"/>
  <c r="O81" i="8"/>
  <c r="N81" i="8"/>
  <c r="M82" i="13" s="1"/>
  <c r="A81" i="8"/>
  <c r="Q80" i="8"/>
  <c r="P80" i="8"/>
  <c r="O80" i="8"/>
  <c r="N80" i="8"/>
  <c r="M81" i="13" s="1"/>
  <c r="A80" i="8"/>
  <c r="Q79" i="8"/>
  <c r="P79" i="8"/>
  <c r="O79" i="8"/>
  <c r="N79" i="8"/>
  <c r="M80" i="13" s="1"/>
  <c r="A79" i="8"/>
  <c r="Q78" i="8"/>
  <c r="P78" i="8"/>
  <c r="O78" i="8"/>
  <c r="N78" i="8"/>
  <c r="M79" i="13" s="1"/>
  <c r="A78" i="8"/>
  <c r="Q77" i="8"/>
  <c r="P77" i="8"/>
  <c r="O77" i="8"/>
  <c r="N77" i="8"/>
  <c r="M78" i="13" s="1"/>
  <c r="A77" i="8"/>
  <c r="Q76" i="8"/>
  <c r="P76" i="8"/>
  <c r="O76" i="8"/>
  <c r="N76" i="8"/>
  <c r="M77" i="13" s="1"/>
  <c r="A76" i="8"/>
  <c r="Q75" i="8"/>
  <c r="P75" i="8"/>
  <c r="O75" i="8"/>
  <c r="N75" i="8"/>
  <c r="M76" i="13" s="1"/>
  <c r="A75" i="8"/>
  <c r="Q74" i="8"/>
  <c r="P74" i="8"/>
  <c r="O74" i="8"/>
  <c r="N74" i="8"/>
  <c r="M75" i="13" s="1"/>
  <c r="A74" i="8"/>
  <c r="Q73" i="8"/>
  <c r="P73" i="8"/>
  <c r="O73" i="8"/>
  <c r="N73" i="8"/>
  <c r="M74" i="13" s="1"/>
  <c r="A73" i="8"/>
  <c r="Q72" i="8"/>
  <c r="P72" i="8"/>
  <c r="O72" i="8"/>
  <c r="N72" i="8"/>
  <c r="M73" i="13" s="1"/>
  <c r="A72" i="8"/>
  <c r="Q71" i="8"/>
  <c r="P71" i="8"/>
  <c r="O71" i="8"/>
  <c r="N71" i="8"/>
  <c r="M72" i="13" s="1"/>
  <c r="A71" i="8"/>
  <c r="Q70" i="8"/>
  <c r="P70" i="8"/>
  <c r="O70" i="8"/>
  <c r="N70" i="8"/>
  <c r="M71" i="13" s="1"/>
  <c r="A70" i="8"/>
  <c r="Q69" i="8"/>
  <c r="P69" i="8"/>
  <c r="O69" i="8"/>
  <c r="N69" i="8"/>
  <c r="M70" i="13" s="1"/>
  <c r="A69" i="8"/>
  <c r="Q68" i="8"/>
  <c r="P68" i="8"/>
  <c r="O68" i="8"/>
  <c r="N68" i="8"/>
  <c r="M69" i="13" s="1"/>
  <c r="A68" i="8"/>
  <c r="Q67" i="8"/>
  <c r="P67" i="8"/>
  <c r="O67" i="8"/>
  <c r="N67" i="8"/>
  <c r="M68" i="13" s="1"/>
  <c r="A67" i="8"/>
  <c r="Q66" i="8"/>
  <c r="P66" i="8"/>
  <c r="O66" i="8"/>
  <c r="N66" i="8"/>
  <c r="M67" i="13" s="1"/>
  <c r="A66" i="8"/>
  <c r="Q65" i="8"/>
  <c r="P65" i="8"/>
  <c r="O65" i="8"/>
  <c r="N65" i="8"/>
  <c r="M66" i="13" s="1"/>
  <c r="A65" i="8"/>
  <c r="Q64" i="8"/>
  <c r="P64" i="8"/>
  <c r="O64" i="8"/>
  <c r="N64" i="8"/>
  <c r="M65" i="13" s="1"/>
  <c r="A64" i="8"/>
  <c r="Q63" i="8"/>
  <c r="P63" i="8"/>
  <c r="O63" i="8"/>
  <c r="N63" i="8"/>
  <c r="M64" i="13" s="1"/>
  <c r="A63" i="8"/>
  <c r="Q62" i="8"/>
  <c r="P62" i="8"/>
  <c r="O62" i="8"/>
  <c r="N62" i="8"/>
  <c r="M63" i="13" s="1"/>
  <c r="A62" i="8"/>
  <c r="Q61" i="8"/>
  <c r="P61" i="8"/>
  <c r="O61" i="8"/>
  <c r="N61" i="8"/>
  <c r="M62" i="13" s="1"/>
  <c r="A61" i="8"/>
  <c r="Q60" i="8"/>
  <c r="P60" i="8"/>
  <c r="O60" i="8"/>
  <c r="N60" i="8"/>
  <c r="M61" i="13" s="1"/>
  <c r="A60" i="8"/>
  <c r="Q59" i="8"/>
  <c r="P59" i="8"/>
  <c r="O59" i="8"/>
  <c r="N59" i="8"/>
  <c r="M60" i="13" s="1"/>
  <c r="A59" i="8"/>
  <c r="Q58" i="8"/>
  <c r="P58" i="8"/>
  <c r="O58" i="8"/>
  <c r="N58" i="8"/>
  <c r="M59" i="13" s="1"/>
  <c r="A58" i="8"/>
  <c r="Q57" i="8"/>
  <c r="P57" i="8"/>
  <c r="O57" i="8"/>
  <c r="N57" i="8"/>
  <c r="M58" i="13" s="1"/>
  <c r="A57" i="8"/>
  <c r="Q56" i="8"/>
  <c r="P56" i="8"/>
  <c r="O56" i="8"/>
  <c r="N56" i="8"/>
  <c r="M57" i="13" s="1"/>
  <c r="A56" i="8"/>
  <c r="Q55" i="8"/>
  <c r="P55" i="8"/>
  <c r="O55" i="8"/>
  <c r="N55" i="8"/>
  <c r="M56" i="13" s="1"/>
  <c r="A55" i="8"/>
  <c r="Q54" i="8"/>
  <c r="P54" i="8"/>
  <c r="O54" i="8"/>
  <c r="N54" i="8"/>
  <c r="M55" i="13" s="1"/>
  <c r="A54" i="8"/>
  <c r="Q53" i="8"/>
  <c r="P53" i="8"/>
  <c r="O53" i="8"/>
  <c r="N53" i="8"/>
  <c r="M54" i="13" s="1"/>
  <c r="A53" i="8"/>
  <c r="Q52" i="8"/>
  <c r="P52" i="8"/>
  <c r="O52" i="8"/>
  <c r="N52" i="8"/>
  <c r="M53" i="13" s="1"/>
  <c r="A52" i="8"/>
  <c r="Q51" i="8"/>
  <c r="P51" i="8"/>
  <c r="O51" i="8"/>
  <c r="N51" i="8"/>
  <c r="M52" i="13" s="1"/>
  <c r="A51" i="8"/>
  <c r="Q50" i="8"/>
  <c r="P50" i="8"/>
  <c r="O50" i="8"/>
  <c r="N50" i="8"/>
  <c r="M51" i="13" s="1"/>
  <c r="A50" i="8"/>
  <c r="Q49" i="8"/>
  <c r="P49" i="8"/>
  <c r="O49" i="8"/>
  <c r="N49" i="8"/>
  <c r="M50" i="13" s="1"/>
  <c r="A49" i="8"/>
  <c r="Q48" i="8"/>
  <c r="P48" i="8"/>
  <c r="O48" i="8"/>
  <c r="N48" i="8"/>
  <c r="M49" i="13" s="1"/>
  <c r="A48" i="8"/>
  <c r="Q47" i="8"/>
  <c r="P47" i="8"/>
  <c r="O47" i="8"/>
  <c r="N47" i="8"/>
  <c r="M48" i="13" s="1"/>
  <c r="A47" i="8"/>
  <c r="Q46" i="8"/>
  <c r="P46" i="8"/>
  <c r="O46" i="8"/>
  <c r="N46" i="8"/>
  <c r="M47" i="13" s="1"/>
  <c r="A46" i="8"/>
  <c r="Q45" i="8"/>
  <c r="P45" i="8"/>
  <c r="O45" i="8"/>
  <c r="N45" i="8"/>
  <c r="M46" i="13" s="1"/>
  <c r="A45" i="8"/>
  <c r="Q44" i="8"/>
  <c r="P44" i="8"/>
  <c r="O44" i="8"/>
  <c r="N44" i="8"/>
  <c r="M45" i="13" s="1"/>
  <c r="A44" i="8"/>
  <c r="Q43" i="8"/>
  <c r="P43" i="8"/>
  <c r="O43" i="8"/>
  <c r="N43" i="8"/>
  <c r="M44" i="13" s="1"/>
  <c r="A43" i="8"/>
  <c r="Q42" i="8"/>
  <c r="P42" i="8"/>
  <c r="O42" i="8"/>
  <c r="N42" i="8"/>
  <c r="M43" i="13" s="1"/>
  <c r="A42" i="8"/>
  <c r="Q41" i="8"/>
  <c r="P41" i="8"/>
  <c r="O41" i="8"/>
  <c r="N41" i="8"/>
  <c r="M42" i="13" s="1"/>
  <c r="A41" i="8"/>
  <c r="Q40" i="8"/>
  <c r="P40" i="8"/>
  <c r="O40" i="8"/>
  <c r="N40" i="8"/>
  <c r="M41" i="13" s="1"/>
  <c r="A40" i="8"/>
  <c r="Q39" i="8"/>
  <c r="P39" i="8"/>
  <c r="O39" i="8"/>
  <c r="N39" i="8"/>
  <c r="M40" i="13" s="1"/>
  <c r="A39" i="8"/>
  <c r="Q38" i="8"/>
  <c r="P38" i="8"/>
  <c r="O38" i="8"/>
  <c r="N38" i="8"/>
  <c r="M39" i="13" s="1"/>
  <c r="A38" i="8"/>
  <c r="Q37" i="8"/>
  <c r="P37" i="8"/>
  <c r="O37" i="8"/>
  <c r="N37" i="8"/>
  <c r="M38" i="13" s="1"/>
  <c r="A37" i="8"/>
  <c r="Q36" i="8"/>
  <c r="P36" i="8"/>
  <c r="O36" i="8"/>
  <c r="N36" i="8"/>
  <c r="M37" i="13" s="1"/>
  <c r="A36" i="8"/>
  <c r="Q35" i="8"/>
  <c r="P35" i="8"/>
  <c r="O35" i="8"/>
  <c r="N35" i="8"/>
  <c r="M36" i="13" s="1"/>
  <c r="A35" i="8"/>
  <c r="Q34" i="8"/>
  <c r="P34" i="8"/>
  <c r="O34" i="8"/>
  <c r="N34" i="8"/>
  <c r="M35" i="13" s="1"/>
  <c r="A34" i="8"/>
  <c r="Q33" i="8"/>
  <c r="P33" i="8"/>
  <c r="O33" i="8"/>
  <c r="N33" i="8"/>
  <c r="M34" i="13" s="1"/>
  <c r="A33" i="8"/>
  <c r="Q32" i="8"/>
  <c r="P32" i="8"/>
  <c r="O32" i="8"/>
  <c r="N32" i="8"/>
  <c r="M33" i="13" s="1"/>
  <c r="A32" i="8"/>
  <c r="Q31" i="8"/>
  <c r="P31" i="8"/>
  <c r="O31" i="8"/>
  <c r="N31" i="8"/>
  <c r="M32" i="13" s="1"/>
  <c r="A31" i="8"/>
  <c r="Q30" i="8"/>
  <c r="P30" i="8"/>
  <c r="O30" i="8"/>
  <c r="N30" i="8"/>
  <c r="M31" i="13" s="1"/>
  <c r="A30" i="8"/>
  <c r="Q29" i="8"/>
  <c r="P29" i="8"/>
  <c r="O29" i="8"/>
  <c r="N29" i="8"/>
  <c r="M30" i="13" s="1"/>
  <c r="A29" i="8"/>
  <c r="Q28" i="8"/>
  <c r="P28" i="8"/>
  <c r="O28" i="8"/>
  <c r="N28" i="8"/>
  <c r="M29" i="13" s="1"/>
  <c r="A28" i="8"/>
  <c r="Q27" i="8"/>
  <c r="P27" i="8"/>
  <c r="O27" i="8"/>
  <c r="N27" i="8"/>
  <c r="M28" i="13" s="1"/>
  <c r="A27" i="8"/>
  <c r="Q26" i="8"/>
  <c r="P26" i="8"/>
  <c r="O26" i="8"/>
  <c r="N26" i="8"/>
  <c r="M27" i="13" s="1"/>
  <c r="A26" i="8"/>
  <c r="Q25" i="8"/>
  <c r="P25" i="8"/>
  <c r="O25" i="8"/>
  <c r="N25" i="8"/>
  <c r="M26" i="13" s="1"/>
  <c r="A25" i="8"/>
  <c r="Q24" i="8"/>
  <c r="P24" i="8"/>
  <c r="O24" i="8"/>
  <c r="N24" i="8"/>
  <c r="M25" i="13" s="1"/>
  <c r="A24" i="8"/>
  <c r="Q23" i="8"/>
  <c r="P23" i="8"/>
  <c r="O23" i="8"/>
  <c r="N23" i="8"/>
  <c r="M24" i="13" s="1"/>
  <c r="A23" i="8"/>
  <c r="Q22" i="8"/>
  <c r="P22" i="8"/>
  <c r="O22" i="8"/>
  <c r="N22" i="8"/>
  <c r="M23" i="13" s="1"/>
  <c r="A22" i="8"/>
  <c r="Q21" i="8"/>
  <c r="P21" i="8"/>
  <c r="O21" i="8"/>
  <c r="N21" i="8"/>
  <c r="M22" i="13" s="1"/>
  <c r="A21" i="8"/>
  <c r="Q20" i="8"/>
  <c r="P20" i="8"/>
  <c r="O20" i="8"/>
  <c r="N20" i="8"/>
  <c r="M21" i="13" s="1"/>
  <c r="A20" i="8"/>
  <c r="Q19" i="8"/>
  <c r="P19" i="8"/>
  <c r="O19" i="8"/>
  <c r="N19" i="8"/>
  <c r="M20" i="13" s="1"/>
  <c r="A19" i="8"/>
  <c r="Q18" i="8"/>
  <c r="P18" i="8"/>
  <c r="O18" i="8"/>
  <c r="N18" i="8"/>
  <c r="M19" i="13" s="1"/>
  <c r="A18" i="8"/>
  <c r="Q17" i="8"/>
  <c r="P17" i="8"/>
  <c r="O17" i="8"/>
  <c r="N17" i="8"/>
  <c r="M18" i="13" s="1"/>
  <c r="A17" i="8"/>
  <c r="Q16" i="8"/>
  <c r="P16" i="8"/>
  <c r="O16" i="8"/>
  <c r="N16" i="8"/>
  <c r="M17" i="13" s="1"/>
  <c r="A16" i="8"/>
  <c r="Q15" i="8"/>
  <c r="P15" i="8"/>
  <c r="O15" i="8"/>
  <c r="N15" i="8"/>
  <c r="M16" i="13" s="1"/>
  <c r="A15" i="8"/>
  <c r="Q14" i="8"/>
  <c r="P14" i="8"/>
  <c r="O14" i="8"/>
  <c r="N14" i="8"/>
  <c r="M15" i="13" s="1"/>
  <c r="A14" i="8"/>
  <c r="Q13" i="8"/>
  <c r="P13" i="8"/>
  <c r="O13" i="8"/>
  <c r="N13" i="8"/>
  <c r="M14" i="13" s="1"/>
  <c r="A13" i="8"/>
  <c r="Q12" i="8"/>
  <c r="P12" i="8"/>
  <c r="O12" i="8"/>
  <c r="N12" i="8"/>
  <c r="M13" i="13" s="1"/>
  <c r="A12" i="8"/>
  <c r="Q11" i="8"/>
  <c r="P11" i="8"/>
  <c r="O11" i="8"/>
  <c r="N11" i="8"/>
  <c r="M12" i="13" s="1"/>
  <c r="A11" i="8"/>
  <c r="M10" i="8"/>
  <c r="L10" i="8"/>
  <c r="K10" i="8"/>
  <c r="J10" i="8"/>
  <c r="I10" i="8"/>
  <c r="H10" i="8"/>
  <c r="G10" i="8"/>
  <c r="F10" i="8"/>
  <c r="E10" i="8"/>
  <c r="D10" i="8"/>
  <c r="C10" i="8"/>
  <c r="B10" i="8"/>
  <c r="K9" i="9" l="1"/>
  <c r="K8" i="9"/>
  <c r="K7" i="9" s="1"/>
  <c r="K6" i="9" s="1"/>
  <c r="K12" i="12" s="1"/>
  <c r="G31" i="12"/>
  <c r="G30" i="12"/>
  <c r="I31" i="12"/>
  <c r="H31" i="12" s="1"/>
  <c r="I30" i="12"/>
  <c r="B31" i="12"/>
  <c r="B30" i="12"/>
  <c r="N29" i="12"/>
  <c r="C8" i="9"/>
  <c r="C7" i="9" s="1"/>
  <c r="N3" i="9"/>
  <c r="B2" i="9" s="1"/>
  <c r="F31" i="12"/>
  <c r="E31" i="12" s="1"/>
  <c r="D31" i="12" s="1"/>
  <c r="C31" i="12" s="1"/>
  <c r="N5" i="10"/>
  <c r="J9" i="13"/>
  <c r="J5" i="13"/>
  <c r="J7" i="13"/>
  <c r="J6" i="13"/>
  <c r="D25" i="12"/>
  <c r="D27" i="12"/>
  <c r="C25" i="12"/>
  <c r="C27" i="12"/>
  <c r="L27" i="12"/>
  <c r="L25" i="12"/>
  <c r="H27" i="12"/>
  <c r="G27" i="12" s="1"/>
  <c r="H25" i="12"/>
  <c r="M27" i="12"/>
  <c r="M25" i="12"/>
  <c r="B27" i="12"/>
  <c r="B25" i="12"/>
  <c r="J27" i="12"/>
  <c r="J25" i="12"/>
  <c r="E27" i="12"/>
  <c r="E25" i="12"/>
  <c r="I25" i="12"/>
  <c r="I27" i="12"/>
  <c r="N32" i="12"/>
  <c r="F25" i="12"/>
  <c r="F27" i="12"/>
  <c r="I7" i="13"/>
  <c r="I5" i="13"/>
  <c r="I9" i="13"/>
  <c r="N5" i="9"/>
  <c r="I6" i="13"/>
  <c r="M7" i="13"/>
  <c r="M5" i="13"/>
  <c r="M9" i="13"/>
  <c r="P9" i="13" s="1"/>
  <c r="P40" i="25" s="1"/>
  <c r="M40" i="25" s="1"/>
  <c r="I8" i="9"/>
  <c r="I7" i="9" s="1"/>
  <c r="E7" i="9"/>
  <c r="D7" i="9" s="1"/>
  <c r="G9" i="9"/>
  <c r="J9" i="9"/>
  <c r="E7" i="11"/>
  <c r="D7" i="11" s="1"/>
  <c r="I7" i="11"/>
  <c r="F9" i="9"/>
  <c r="E9" i="9" s="1"/>
  <c r="D9" i="9" s="1"/>
  <c r="B8" i="11"/>
  <c r="B9" i="11" s="1"/>
  <c r="B8" i="9"/>
  <c r="B7" i="9" s="1"/>
  <c r="B9" i="9"/>
  <c r="N3" i="11"/>
  <c r="M9" i="11"/>
  <c r="L9" i="11" s="1"/>
  <c r="K9" i="11" s="1"/>
  <c r="J9" i="11" s="1"/>
  <c r="I9" i="11" s="1"/>
  <c r="M8" i="11"/>
  <c r="M7" i="11" s="1"/>
  <c r="H8" i="11"/>
  <c r="H7" i="11" s="1"/>
  <c r="G7" i="11" s="1"/>
  <c r="H8" i="9"/>
  <c r="H7" i="9" s="1"/>
  <c r="G7" i="9" s="1"/>
  <c r="N3" i="10"/>
  <c r="B2" i="10" s="1"/>
  <c r="B8" i="10"/>
  <c r="N8" i="10" s="1"/>
  <c r="M5" i="8"/>
  <c r="M33" i="12" s="1"/>
  <c r="L5" i="8"/>
  <c r="L33" i="12" s="1"/>
  <c r="J5" i="8"/>
  <c r="J33" i="12" s="1"/>
  <c r="I5" i="8"/>
  <c r="I33" i="12" s="1"/>
  <c r="H5" i="8"/>
  <c r="H33" i="12" s="1"/>
  <c r="G5" i="8"/>
  <c r="G33" i="12" s="1"/>
  <c r="F5" i="8"/>
  <c r="F33" i="12" s="1"/>
  <c r="E5" i="8"/>
  <c r="E33" i="12" s="1"/>
  <c r="D5" i="8"/>
  <c r="D33" i="12" s="1"/>
  <c r="C5" i="8"/>
  <c r="C33" i="12" s="1"/>
  <c r="B5" i="8"/>
  <c r="B33" i="12" s="1"/>
  <c r="M3" i="8"/>
  <c r="M8" i="8" s="1"/>
  <c r="L3" i="8"/>
  <c r="L8" i="8" s="1"/>
  <c r="K3" i="8"/>
  <c r="K8" i="8" s="1"/>
  <c r="K7" i="8" s="1"/>
  <c r="K6" i="8" s="1"/>
  <c r="J3" i="8"/>
  <c r="J8" i="8" s="1"/>
  <c r="I3" i="8"/>
  <c r="I8" i="8" s="1"/>
  <c r="I7" i="8" s="1"/>
  <c r="H3" i="8"/>
  <c r="H8" i="8" s="1"/>
  <c r="H7" i="8" s="1"/>
  <c r="G3" i="8"/>
  <c r="F3" i="8"/>
  <c r="E3" i="8"/>
  <c r="D3" i="8"/>
  <c r="C3" i="8"/>
  <c r="C8" i="8" s="1"/>
  <c r="B3" i="8"/>
  <c r="B8" i="8" s="1"/>
  <c r="O1" i="8"/>
  <c r="L1" i="8"/>
  <c r="G1" i="8"/>
  <c r="B135" i="7"/>
  <c r="Q121" i="7"/>
  <c r="N121" i="7"/>
  <c r="A121" i="7"/>
  <c r="Q120" i="7"/>
  <c r="P120" i="7"/>
  <c r="O120" i="7"/>
  <c r="N120" i="7"/>
  <c r="H121" i="13" s="1"/>
  <c r="A120" i="7"/>
  <c r="Q119" i="7"/>
  <c r="P119" i="7"/>
  <c r="O119" i="7"/>
  <c r="N119" i="7"/>
  <c r="H120" i="13" s="1"/>
  <c r="A119" i="7"/>
  <c r="Q118" i="7"/>
  <c r="P118" i="7"/>
  <c r="O118" i="7"/>
  <c r="N118" i="7"/>
  <c r="H119" i="13" s="1"/>
  <c r="A118" i="7"/>
  <c r="Q117" i="7"/>
  <c r="P117" i="7"/>
  <c r="O117" i="7"/>
  <c r="N117" i="7"/>
  <c r="H118" i="13" s="1"/>
  <c r="A117" i="7"/>
  <c r="Q116" i="7"/>
  <c r="P116" i="7"/>
  <c r="O116" i="7"/>
  <c r="N116" i="7"/>
  <c r="H117" i="13" s="1"/>
  <c r="A116" i="7"/>
  <c r="Q115" i="7"/>
  <c r="P115" i="7"/>
  <c r="O115" i="7"/>
  <c r="N115" i="7"/>
  <c r="H116" i="13" s="1"/>
  <c r="A115" i="7"/>
  <c r="Q114" i="7"/>
  <c r="P114" i="7"/>
  <c r="O114" i="7"/>
  <c r="N114" i="7"/>
  <c r="H115" i="13" s="1"/>
  <c r="A114" i="7"/>
  <c r="Q113" i="7"/>
  <c r="P113" i="7"/>
  <c r="O113" i="7"/>
  <c r="N113" i="7"/>
  <c r="H114" i="13" s="1"/>
  <c r="A113" i="7"/>
  <c r="Q112" i="7"/>
  <c r="P112" i="7"/>
  <c r="O112" i="7"/>
  <c r="N112" i="7"/>
  <c r="H113" i="13" s="1"/>
  <c r="A112" i="7"/>
  <c r="Q111" i="7"/>
  <c r="P111" i="7"/>
  <c r="O111" i="7"/>
  <c r="N111" i="7"/>
  <c r="H112" i="13" s="1"/>
  <c r="A111" i="7"/>
  <c r="Q110" i="7"/>
  <c r="P110" i="7"/>
  <c r="O110" i="7"/>
  <c r="N110" i="7"/>
  <c r="H111" i="13" s="1"/>
  <c r="A110" i="7"/>
  <c r="Q109" i="7"/>
  <c r="P109" i="7"/>
  <c r="O109" i="7"/>
  <c r="N109" i="7"/>
  <c r="H110" i="13" s="1"/>
  <c r="A109" i="7"/>
  <c r="Q108" i="7"/>
  <c r="P108" i="7"/>
  <c r="O108" i="7"/>
  <c r="N108" i="7"/>
  <c r="H109" i="13" s="1"/>
  <c r="A108" i="7"/>
  <c r="Q107" i="7"/>
  <c r="P107" i="7"/>
  <c r="O107" i="7"/>
  <c r="N107" i="7"/>
  <c r="H108" i="13" s="1"/>
  <c r="A107" i="7"/>
  <c r="Q106" i="7"/>
  <c r="P106" i="7"/>
  <c r="O106" i="7"/>
  <c r="N106" i="7"/>
  <c r="H107" i="13" s="1"/>
  <c r="A106" i="7"/>
  <c r="Q105" i="7"/>
  <c r="P105" i="7"/>
  <c r="O105" i="7"/>
  <c r="N105" i="7"/>
  <c r="H106" i="13" s="1"/>
  <c r="A105" i="7"/>
  <c r="Q104" i="7"/>
  <c r="P104" i="7"/>
  <c r="O104" i="7"/>
  <c r="N104" i="7"/>
  <c r="H105" i="13" s="1"/>
  <c r="A104" i="7"/>
  <c r="Q103" i="7"/>
  <c r="P103" i="7"/>
  <c r="O103" i="7"/>
  <c r="N103" i="7"/>
  <c r="H104" i="13" s="1"/>
  <c r="A103" i="7"/>
  <c r="Q102" i="7"/>
  <c r="P102" i="7"/>
  <c r="O102" i="7"/>
  <c r="N102" i="7"/>
  <c r="H103" i="13" s="1"/>
  <c r="A102" i="7"/>
  <c r="Q101" i="7"/>
  <c r="P101" i="7"/>
  <c r="O101" i="7"/>
  <c r="N101" i="7"/>
  <c r="H102" i="13" s="1"/>
  <c r="A101" i="7"/>
  <c r="Q100" i="7"/>
  <c r="P100" i="7"/>
  <c r="O100" i="7"/>
  <c r="N100" i="7"/>
  <c r="H101" i="13" s="1"/>
  <c r="A100" i="7"/>
  <c r="Q99" i="7"/>
  <c r="P99" i="7"/>
  <c r="O99" i="7"/>
  <c r="N99" i="7"/>
  <c r="H100" i="13" s="1"/>
  <c r="A99" i="7"/>
  <c r="Q98" i="7"/>
  <c r="P98" i="7"/>
  <c r="O98" i="7"/>
  <c r="N98" i="7"/>
  <c r="H99" i="13" s="1"/>
  <c r="A98" i="7"/>
  <c r="Q97" i="7"/>
  <c r="P97" i="7"/>
  <c r="O97" i="7"/>
  <c r="N97" i="7"/>
  <c r="H98" i="13" s="1"/>
  <c r="A97" i="7"/>
  <c r="Q96" i="7"/>
  <c r="P96" i="7"/>
  <c r="O96" i="7"/>
  <c r="N96" i="7"/>
  <c r="H97" i="13" s="1"/>
  <c r="A96" i="7"/>
  <c r="Q95" i="7"/>
  <c r="P95" i="7"/>
  <c r="O95" i="7"/>
  <c r="N95" i="7"/>
  <c r="H96" i="13" s="1"/>
  <c r="A95" i="7"/>
  <c r="Q94" i="7"/>
  <c r="P94" i="7"/>
  <c r="O94" i="7"/>
  <c r="N94" i="7"/>
  <c r="H95" i="13" s="1"/>
  <c r="A94" i="7"/>
  <c r="Q93" i="7"/>
  <c r="P93" i="7"/>
  <c r="O93" i="7"/>
  <c r="N93" i="7"/>
  <c r="H94" i="13" s="1"/>
  <c r="A93" i="7"/>
  <c r="Q92" i="7"/>
  <c r="P92" i="7"/>
  <c r="O92" i="7"/>
  <c r="N92" i="7"/>
  <c r="H93" i="13" s="1"/>
  <c r="A92" i="7"/>
  <c r="Q91" i="7"/>
  <c r="P91" i="7"/>
  <c r="O91" i="7"/>
  <c r="N91" i="7"/>
  <c r="H92" i="13" s="1"/>
  <c r="A91" i="7"/>
  <c r="Q90" i="7"/>
  <c r="P90" i="7"/>
  <c r="O90" i="7"/>
  <c r="N90" i="7"/>
  <c r="H91" i="13" s="1"/>
  <c r="A90" i="7"/>
  <c r="Q89" i="7"/>
  <c r="P89" i="7"/>
  <c r="O89" i="7"/>
  <c r="N89" i="7"/>
  <c r="H90" i="13" s="1"/>
  <c r="A89" i="7"/>
  <c r="Q88" i="7"/>
  <c r="P88" i="7"/>
  <c r="O88" i="7"/>
  <c r="N88" i="7"/>
  <c r="H89" i="13" s="1"/>
  <c r="A88" i="7"/>
  <c r="Q87" i="7"/>
  <c r="P87" i="7"/>
  <c r="O87" i="7"/>
  <c r="N87" i="7"/>
  <c r="H88" i="13" s="1"/>
  <c r="A87" i="7"/>
  <c r="Q86" i="7"/>
  <c r="P86" i="7"/>
  <c r="O86" i="7"/>
  <c r="N86" i="7"/>
  <c r="H87" i="13" s="1"/>
  <c r="A86" i="7"/>
  <c r="Q85" i="7"/>
  <c r="P85" i="7"/>
  <c r="O85" i="7"/>
  <c r="N85" i="7"/>
  <c r="H86" i="13" s="1"/>
  <c r="A85" i="7"/>
  <c r="Q84" i="7"/>
  <c r="P84" i="7"/>
  <c r="O84" i="7"/>
  <c r="N84" i="7"/>
  <c r="H85" i="13" s="1"/>
  <c r="A84" i="7"/>
  <c r="Q83" i="7"/>
  <c r="P83" i="7"/>
  <c r="O83" i="7"/>
  <c r="N83" i="7"/>
  <c r="H84" i="13" s="1"/>
  <c r="A83" i="7"/>
  <c r="Q82" i="7"/>
  <c r="P82" i="7"/>
  <c r="O82" i="7"/>
  <c r="N82" i="7"/>
  <c r="H83" i="13" s="1"/>
  <c r="A82" i="7"/>
  <c r="Q81" i="7"/>
  <c r="P81" i="7"/>
  <c r="O81" i="7"/>
  <c r="N81" i="7"/>
  <c r="H82" i="13" s="1"/>
  <c r="A81" i="7"/>
  <c r="Q80" i="7"/>
  <c r="P80" i="7"/>
  <c r="O80" i="7"/>
  <c r="N80" i="7"/>
  <c r="H81" i="13" s="1"/>
  <c r="A80" i="7"/>
  <c r="Q79" i="7"/>
  <c r="P79" i="7"/>
  <c r="O79" i="7"/>
  <c r="N79" i="7"/>
  <c r="H80" i="13" s="1"/>
  <c r="A79" i="7"/>
  <c r="Q78" i="7"/>
  <c r="P78" i="7"/>
  <c r="O78" i="7"/>
  <c r="N78" i="7"/>
  <c r="H79" i="13" s="1"/>
  <c r="A78" i="7"/>
  <c r="Q77" i="7"/>
  <c r="P77" i="7"/>
  <c r="O77" i="7"/>
  <c r="N77" i="7"/>
  <c r="H78" i="13" s="1"/>
  <c r="A77" i="7"/>
  <c r="Q76" i="7"/>
  <c r="P76" i="7"/>
  <c r="O76" i="7"/>
  <c r="N76" i="7"/>
  <c r="H77" i="13" s="1"/>
  <c r="A76" i="7"/>
  <c r="Q75" i="7"/>
  <c r="P75" i="7"/>
  <c r="O75" i="7"/>
  <c r="N75" i="7"/>
  <c r="H76" i="13" s="1"/>
  <c r="A75" i="7"/>
  <c r="Q74" i="7"/>
  <c r="P74" i="7"/>
  <c r="O74" i="7"/>
  <c r="N74" i="7"/>
  <c r="H75" i="13" s="1"/>
  <c r="A74" i="7"/>
  <c r="Q73" i="7"/>
  <c r="P73" i="7"/>
  <c r="O73" i="7"/>
  <c r="N73" i="7"/>
  <c r="H74" i="13" s="1"/>
  <c r="A73" i="7"/>
  <c r="Q72" i="7"/>
  <c r="P72" i="7"/>
  <c r="O72" i="7"/>
  <c r="N72" i="7"/>
  <c r="H73" i="13" s="1"/>
  <c r="A72" i="7"/>
  <c r="Q71" i="7"/>
  <c r="P71" i="7"/>
  <c r="O71" i="7"/>
  <c r="N71" i="7"/>
  <c r="H72" i="13" s="1"/>
  <c r="A71" i="7"/>
  <c r="Q70" i="7"/>
  <c r="P70" i="7"/>
  <c r="O70" i="7"/>
  <c r="N70" i="7"/>
  <c r="H71" i="13" s="1"/>
  <c r="A70" i="7"/>
  <c r="Q69" i="7"/>
  <c r="P69" i="7"/>
  <c r="O69" i="7"/>
  <c r="N69" i="7"/>
  <c r="H70" i="13" s="1"/>
  <c r="A69" i="7"/>
  <c r="Q68" i="7"/>
  <c r="P68" i="7"/>
  <c r="O68" i="7"/>
  <c r="N68" i="7"/>
  <c r="H69" i="13" s="1"/>
  <c r="A68" i="7"/>
  <c r="Q67" i="7"/>
  <c r="P67" i="7"/>
  <c r="O67" i="7"/>
  <c r="N67" i="7"/>
  <c r="H68" i="13" s="1"/>
  <c r="A67" i="7"/>
  <c r="Q66" i="7"/>
  <c r="P66" i="7"/>
  <c r="O66" i="7"/>
  <c r="N66" i="7"/>
  <c r="H67" i="13" s="1"/>
  <c r="A66" i="7"/>
  <c r="Q65" i="7"/>
  <c r="P65" i="7"/>
  <c r="O65" i="7"/>
  <c r="N65" i="7"/>
  <c r="H66" i="13" s="1"/>
  <c r="A65" i="7"/>
  <c r="Q64" i="7"/>
  <c r="P64" i="7"/>
  <c r="O64" i="7"/>
  <c r="N64" i="7"/>
  <c r="H65" i="13" s="1"/>
  <c r="A64" i="7"/>
  <c r="Q63" i="7"/>
  <c r="P63" i="7"/>
  <c r="O63" i="7"/>
  <c r="N63" i="7"/>
  <c r="H64" i="13" s="1"/>
  <c r="A63" i="7"/>
  <c r="Q62" i="7"/>
  <c r="P62" i="7"/>
  <c r="O62" i="7"/>
  <c r="N62" i="7"/>
  <c r="H63" i="13" s="1"/>
  <c r="A62" i="7"/>
  <c r="Q61" i="7"/>
  <c r="P61" i="7"/>
  <c r="O61" i="7"/>
  <c r="N61" i="7"/>
  <c r="H62" i="13" s="1"/>
  <c r="A61" i="7"/>
  <c r="Q60" i="7"/>
  <c r="P60" i="7"/>
  <c r="O60" i="7"/>
  <c r="N60" i="7"/>
  <c r="H61" i="13" s="1"/>
  <c r="A60" i="7"/>
  <c r="Q59" i="7"/>
  <c r="P59" i="7"/>
  <c r="O59" i="7"/>
  <c r="N59" i="7"/>
  <c r="H60" i="13" s="1"/>
  <c r="A59" i="7"/>
  <c r="Q58" i="7"/>
  <c r="P58" i="7"/>
  <c r="O58" i="7"/>
  <c r="N58" i="7"/>
  <c r="H59" i="13" s="1"/>
  <c r="A58" i="7"/>
  <c r="Q57" i="7"/>
  <c r="P57" i="7"/>
  <c r="O57" i="7"/>
  <c r="N57" i="7"/>
  <c r="H58" i="13" s="1"/>
  <c r="A57" i="7"/>
  <c r="Q56" i="7"/>
  <c r="P56" i="7"/>
  <c r="O56" i="7"/>
  <c r="N56" i="7"/>
  <c r="H57" i="13" s="1"/>
  <c r="A56" i="7"/>
  <c r="Q55" i="7"/>
  <c r="P55" i="7"/>
  <c r="O55" i="7"/>
  <c r="N55" i="7"/>
  <c r="H56" i="13" s="1"/>
  <c r="A55" i="7"/>
  <c r="Q54" i="7"/>
  <c r="P54" i="7"/>
  <c r="O54" i="7"/>
  <c r="N54" i="7"/>
  <c r="H55" i="13" s="1"/>
  <c r="A54" i="7"/>
  <c r="Q53" i="7"/>
  <c r="P53" i="7"/>
  <c r="O53" i="7"/>
  <c r="N53" i="7"/>
  <c r="H54" i="13" s="1"/>
  <c r="A53" i="7"/>
  <c r="Q52" i="7"/>
  <c r="P52" i="7"/>
  <c r="O52" i="7"/>
  <c r="N52" i="7"/>
  <c r="H53" i="13" s="1"/>
  <c r="A52" i="7"/>
  <c r="Q51" i="7"/>
  <c r="P51" i="7"/>
  <c r="O51" i="7"/>
  <c r="N51" i="7"/>
  <c r="H52" i="13" s="1"/>
  <c r="A51" i="7"/>
  <c r="Q50" i="7"/>
  <c r="P50" i="7"/>
  <c r="O50" i="7"/>
  <c r="N50" i="7"/>
  <c r="H51" i="13" s="1"/>
  <c r="A50" i="7"/>
  <c r="Q49" i="7"/>
  <c r="P49" i="7"/>
  <c r="O49" i="7"/>
  <c r="N49" i="7"/>
  <c r="H50" i="13" s="1"/>
  <c r="A49" i="7"/>
  <c r="Q48" i="7"/>
  <c r="P48" i="7"/>
  <c r="O48" i="7"/>
  <c r="N48" i="7"/>
  <c r="H49" i="13" s="1"/>
  <c r="A48" i="7"/>
  <c r="Q47" i="7"/>
  <c r="P47" i="7"/>
  <c r="O47" i="7"/>
  <c r="N47" i="7"/>
  <c r="H48" i="13" s="1"/>
  <c r="A47" i="7"/>
  <c r="Q46" i="7"/>
  <c r="P46" i="7"/>
  <c r="O46" i="7"/>
  <c r="N46" i="7"/>
  <c r="H47" i="13" s="1"/>
  <c r="A46" i="7"/>
  <c r="Q45" i="7"/>
  <c r="P45" i="7"/>
  <c r="O45" i="7"/>
  <c r="N45" i="7"/>
  <c r="H46" i="13" s="1"/>
  <c r="A45" i="7"/>
  <c r="Q44" i="7"/>
  <c r="P44" i="7"/>
  <c r="O44" i="7"/>
  <c r="N44" i="7"/>
  <c r="H45" i="13" s="1"/>
  <c r="A44" i="7"/>
  <c r="Q43" i="7"/>
  <c r="P43" i="7"/>
  <c r="O43" i="7"/>
  <c r="N43" i="7"/>
  <c r="H44" i="13" s="1"/>
  <c r="A43" i="7"/>
  <c r="Q42" i="7"/>
  <c r="P42" i="7"/>
  <c r="O42" i="7"/>
  <c r="N42" i="7"/>
  <c r="H43" i="13" s="1"/>
  <c r="A42" i="7"/>
  <c r="Q41" i="7"/>
  <c r="P41" i="7"/>
  <c r="O41" i="7"/>
  <c r="N41" i="7"/>
  <c r="H42" i="13" s="1"/>
  <c r="A41" i="7"/>
  <c r="Q40" i="7"/>
  <c r="P40" i="7"/>
  <c r="O40" i="7"/>
  <c r="N40" i="7"/>
  <c r="H41" i="13" s="1"/>
  <c r="A40" i="7"/>
  <c r="Q39" i="7"/>
  <c r="P39" i="7"/>
  <c r="O39" i="7"/>
  <c r="N39" i="7"/>
  <c r="H40" i="13" s="1"/>
  <c r="A39" i="7"/>
  <c r="Q38" i="7"/>
  <c r="P38" i="7"/>
  <c r="O38" i="7"/>
  <c r="N38" i="7"/>
  <c r="H39" i="13" s="1"/>
  <c r="A38" i="7"/>
  <c r="Q37" i="7"/>
  <c r="P37" i="7"/>
  <c r="O37" i="7"/>
  <c r="N37" i="7"/>
  <c r="H38" i="13" s="1"/>
  <c r="A37" i="7"/>
  <c r="Q36" i="7"/>
  <c r="P36" i="7"/>
  <c r="O36" i="7"/>
  <c r="N36" i="7"/>
  <c r="H37" i="13" s="1"/>
  <c r="A36" i="7"/>
  <c r="Q35" i="7"/>
  <c r="P35" i="7"/>
  <c r="O35" i="7"/>
  <c r="N35" i="7"/>
  <c r="H36" i="13" s="1"/>
  <c r="A35" i="7"/>
  <c r="Q34" i="7"/>
  <c r="P34" i="7"/>
  <c r="O34" i="7"/>
  <c r="N34" i="7"/>
  <c r="H35" i="13" s="1"/>
  <c r="A34" i="7"/>
  <c r="Q33" i="7"/>
  <c r="P33" i="7"/>
  <c r="O33" i="7"/>
  <c r="N33" i="7"/>
  <c r="H34" i="13" s="1"/>
  <c r="A33" i="7"/>
  <c r="Q32" i="7"/>
  <c r="P32" i="7"/>
  <c r="O32" i="7"/>
  <c r="N32" i="7"/>
  <c r="H33" i="13" s="1"/>
  <c r="A32" i="7"/>
  <c r="Q31" i="7"/>
  <c r="P31" i="7"/>
  <c r="O31" i="7"/>
  <c r="N31" i="7"/>
  <c r="H32" i="13" s="1"/>
  <c r="A31" i="7"/>
  <c r="Q30" i="7"/>
  <c r="P30" i="7"/>
  <c r="O30" i="7"/>
  <c r="N30" i="7"/>
  <c r="H31" i="13" s="1"/>
  <c r="A30" i="7"/>
  <c r="Q29" i="7"/>
  <c r="P29" i="7"/>
  <c r="O29" i="7"/>
  <c r="N29" i="7"/>
  <c r="H30" i="13" s="1"/>
  <c r="A29" i="7"/>
  <c r="Q28" i="7"/>
  <c r="P28" i="7"/>
  <c r="O28" i="7"/>
  <c r="N28" i="7"/>
  <c r="H29" i="13" s="1"/>
  <c r="A28" i="7"/>
  <c r="Q27" i="7"/>
  <c r="P27" i="7"/>
  <c r="O27" i="7"/>
  <c r="N27" i="7"/>
  <c r="H28" i="13" s="1"/>
  <c r="A27" i="7"/>
  <c r="Q26" i="7"/>
  <c r="P26" i="7"/>
  <c r="O26" i="7"/>
  <c r="N26" i="7"/>
  <c r="H27" i="13" s="1"/>
  <c r="A26" i="7"/>
  <c r="Q25" i="7"/>
  <c r="P25" i="7"/>
  <c r="O25" i="7"/>
  <c r="N25" i="7"/>
  <c r="H26" i="13" s="1"/>
  <c r="A25" i="7"/>
  <c r="Q24" i="7"/>
  <c r="P24" i="7"/>
  <c r="O24" i="7"/>
  <c r="N24" i="7"/>
  <c r="H25" i="13" s="1"/>
  <c r="A24" i="7"/>
  <c r="Q23" i="7"/>
  <c r="P23" i="7"/>
  <c r="O23" i="7"/>
  <c r="N23" i="7"/>
  <c r="H24" i="13" s="1"/>
  <c r="A23" i="7"/>
  <c r="Q22" i="7"/>
  <c r="P22" i="7"/>
  <c r="O22" i="7"/>
  <c r="N22" i="7"/>
  <c r="H23" i="13" s="1"/>
  <c r="A22" i="7"/>
  <c r="Q21" i="7"/>
  <c r="P21" i="7"/>
  <c r="O21" i="7"/>
  <c r="N21" i="7"/>
  <c r="H22" i="13" s="1"/>
  <c r="A21" i="7"/>
  <c r="Q20" i="7"/>
  <c r="P20" i="7"/>
  <c r="O20" i="7"/>
  <c r="N20" i="7"/>
  <c r="H21" i="13" s="1"/>
  <c r="A20" i="7"/>
  <c r="Q19" i="7"/>
  <c r="P19" i="7"/>
  <c r="O19" i="7"/>
  <c r="N19" i="7"/>
  <c r="H20" i="13" s="1"/>
  <c r="A19" i="7"/>
  <c r="Q18" i="7"/>
  <c r="P18" i="7"/>
  <c r="O18" i="7"/>
  <c r="N18" i="7"/>
  <c r="H19" i="13" s="1"/>
  <c r="A18" i="7"/>
  <c r="Q17" i="7"/>
  <c r="P17" i="7"/>
  <c r="O17" i="7"/>
  <c r="N17" i="7"/>
  <c r="H18" i="13" s="1"/>
  <c r="A17" i="7"/>
  <c r="Q16" i="7"/>
  <c r="P16" i="7"/>
  <c r="O16" i="7"/>
  <c r="N16" i="7"/>
  <c r="H17" i="13" s="1"/>
  <c r="A16" i="7"/>
  <c r="Q15" i="7"/>
  <c r="P15" i="7"/>
  <c r="O15" i="7"/>
  <c r="N15" i="7"/>
  <c r="H16" i="13" s="1"/>
  <c r="A15" i="7"/>
  <c r="Q14" i="7"/>
  <c r="P14" i="7"/>
  <c r="O14" i="7"/>
  <c r="N14" i="7"/>
  <c r="H15" i="13" s="1"/>
  <c r="A14" i="7"/>
  <c r="Q13" i="7"/>
  <c r="P13" i="7"/>
  <c r="O13" i="7"/>
  <c r="N13" i="7"/>
  <c r="H14" i="13" s="1"/>
  <c r="A13" i="7"/>
  <c r="Q12" i="7"/>
  <c r="P12" i="7"/>
  <c r="O12" i="7"/>
  <c r="C7" i="8" l="1"/>
  <c r="N27" i="12"/>
  <c r="N25" i="12"/>
  <c r="N8" i="11"/>
  <c r="N9" i="11" s="1"/>
  <c r="K38" i="25" s="1"/>
  <c r="N5" i="8"/>
  <c r="G9" i="8"/>
  <c r="G8" i="8"/>
  <c r="G7" i="8" s="1"/>
  <c r="F8" i="8"/>
  <c r="F7" i="8" s="1"/>
  <c r="K4" i="13"/>
  <c r="J4" i="13" s="1"/>
  <c r="I4" i="13" s="1"/>
  <c r="B2" i="11"/>
  <c r="N3" i="8"/>
  <c r="N9" i="10"/>
  <c r="E8" i="8"/>
  <c r="E7" i="8" s="1"/>
  <c r="B7" i="11"/>
  <c r="N7" i="11" s="1"/>
  <c r="N6" i="11" s="1"/>
  <c r="M6" i="11" s="1"/>
  <c r="B7" i="10"/>
  <c r="D8" i="8"/>
  <c r="D7" i="8" s="1"/>
  <c r="B7" i="8"/>
  <c r="H9" i="11"/>
  <c r="G9" i="11" s="1"/>
  <c r="F9" i="11" s="1"/>
  <c r="E9" i="11" s="1"/>
  <c r="D9" i="11" s="1"/>
  <c r="C9" i="11" s="1"/>
  <c r="N8" i="9"/>
  <c r="N9" i="9" s="1"/>
  <c r="N12" i="7"/>
  <c r="H13" i="13" s="1"/>
  <c r="A12" i="7"/>
  <c r="Q11" i="7"/>
  <c r="P11" i="7"/>
  <c r="O11" i="7"/>
  <c r="N11" i="7"/>
  <c r="H12" i="13" s="1"/>
  <c r="A11" i="7"/>
  <c r="M10" i="7"/>
  <c r="L10" i="7"/>
  <c r="K10" i="7"/>
  <c r="J10" i="7"/>
  <c r="I10" i="7"/>
  <c r="H10" i="7"/>
  <c r="G10" i="7"/>
  <c r="F10" i="7"/>
  <c r="E10" i="7"/>
  <c r="D10" i="7"/>
  <c r="C10" i="7"/>
  <c r="B10" i="7"/>
  <c r="M5" i="7"/>
  <c r="M28" i="12" s="1"/>
  <c r="L5" i="7"/>
  <c r="L28" i="12" s="1"/>
  <c r="J5" i="7"/>
  <c r="J28" i="12" s="1"/>
  <c r="I5" i="7"/>
  <c r="I28" i="12" s="1"/>
  <c r="H5" i="7"/>
  <c r="H28" i="12" s="1"/>
  <c r="G5" i="7"/>
  <c r="G28" i="12" s="1"/>
  <c r="F5" i="7"/>
  <c r="F28" i="12" s="1"/>
  <c r="E5" i="7"/>
  <c r="E28" i="12" s="1"/>
  <c r="D5" i="7"/>
  <c r="D28" i="12" s="1"/>
  <c r="C5" i="7"/>
  <c r="C28" i="12" s="1"/>
  <c r="B5" i="7"/>
  <c r="B28" i="12" s="1"/>
  <c r="M3" i="7"/>
  <c r="M8" i="7" s="1"/>
  <c r="L3" i="7"/>
  <c r="L8" i="7" s="1"/>
  <c r="L7" i="7" s="1"/>
  <c r="K3" i="7"/>
  <c r="K8" i="7" s="1"/>
  <c r="K7" i="7" s="1"/>
  <c r="K6" i="7" s="1"/>
  <c r="K13" i="12" s="1"/>
  <c r="J3" i="7"/>
  <c r="J8" i="7" s="1"/>
  <c r="I3" i="7"/>
  <c r="I9" i="7" s="1"/>
  <c r="H3" i="7"/>
  <c r="H8" i="7" s="1"/>
  <c r="G3" i="7"/>
  <c r="G8" i="7" s="1"/>
  <c r="G7" i="7" s="1"/>
  <c r="F3" i="7"/>
  <c r="F8" i="7" s="1"/>
  <c r="F7" i="7" s="1"/>
  <c r="E3" i="7"/>
  <c r="E8" i="7" s="1"/>
  <c r="D3" i="7"/>
  <c r="D8" i="7" s="1"/>
  <c r="C3" i="7"/>
  <c r="C8" i="7" s="1"/>
  <c r="B3" i="7"/>
  <c r="O1" i="7"/>
  <c r="L1" i="7"/>
  <c r="G1" i="7"/>
  <c r="B135" i="6"/>
  <c r="Q121" i="6"/>
  <c r="N121" i="6"/>
  <c r="A121" i="6"/>
  <c r="Q120" i="6"/>
  <c r="P120" i="6"/>
  <c r="O120" i="6"/>
  <c r="N120" i="6"/>
  <c r="G121" i="13" s="1"/>
  <c r="A120" i="6"/>
  <c r="Q119" i="6"/>
  <c r="P119" i="6"/>
  <c r="O119" i="6"/>
  <c r="N119" i="6"/>
  <c r="G120" i="13" s="1"/>
  <c r="A119" i="6"/>
  <c r="Q118" i="6"/>
  <c r="P118" i="6"/>
  <c r="O118" i="6"/>
  <c r="N118" i="6"/>
  <c r="G119" i="13" s="1"/>
  <c r="A118" i="6"/>
  <c r="Q117" i="6"/>
  <c r="P117" i="6"/>
  <c r="O117" i="6"/>
  <c r="N117" i="6"/>
  <c r="G118" i="13" s="1"/>
  <c r="A117" i="6"/>
  <c r="Q116" i="6"/>
  <c r="P116" i="6"/>
  <c r="O116" i="6"/>
  <c r="N116" i="6"/>
  <c r="G117" i="13" s="1"/>
  <c r="A116" i="6"/>
  <c r="Q115" i="6"/>
  <c r="P115" i="6"/>
  <c r="O115" i="6"/>
  <c r="N115" i="6"/>
  <c r="G116" i="13" s="1"/>
  <c r="A115" i="6"/>
  <c r="Q114" i="6"/>
  <c r="P114" i="6"/>
  <c r="O114" i="6"/>
  <c r="N114" i="6"/>
  <c r="G115" i="13" s="1"/>
  <c r="A114" i="6"/>
  <c r="Q113" i="6"/>
  <c r="P113" i="6"/>
  <c r="O113" i="6"/>
  <c r="N113" i="6"/>
  <c r="G114" i="13" s="1"/>
  <c r="A113" i="6"/>
  <c r="Q112" i="6"/>
  <c r="P112" i="6"/>
  <c r="O112" i="6"/>
  <c r="N112" i="6"/>
  <c r="G113" i="13" s="1"/>
  <c r="A112" i="6"/>
  <c r="Q111" i="6"/>
  <c r="P111" i="6"/>
  <c r="O111" i="6"/>
  <c r="N111" i="6"/>
  <c r="G112" i="13" s="1"/>
  <c r="A111" i="6"/>
  <c r="Q110" i="6"/>
  <c r="P110" i="6"/>
  <c r="O110" i="6"/>
  <c r="N110" i="6"/>
  <c r="G111" i="13" s="1"/>
  <c r="A110" i="6"/>
  <c r="Q109" i="6"/>
  <c r="P109" i="6"/>
  <c r="O109" i="6"/>
  <c r="N109" i="6"/>
  <c r="G110" i="13" s="1"/>
  <c r="A109" i="6"/>
  <c r="Q108" i="6"/>
  <c r="P108" i="6"/>
  <c r="O108" i="6"/>
  <c r="N108" i="6"/>
  <c r="G109" i="13" s="1"/>
  <c r="A108" i="6"/>
  <c r="Q107" i="6"/>
  <c r="P107" i="6"/>
  <c r="O107" i="6"/>
  <c r="N107" i="6"/>
  <c r="G108" i="13" s="1"/>
  <c r="A107" i="6"/>
  <c r="Q106" i="6"/>
  <c r="P106" i="6"/>
  <c r="O106" i="6"/>
  <c r="N106" i="6"/>
  <c r="G107" i="13" s="1"/>
  <c r="A106" i="6"/>
  <c r="Q105" i="6"/>
  <c r="P105" i="6"/>
  <c r="O105" i="6"/>
  <c r="N105" i="6"/>
  <c r="G106" i="13" s="1"/>
  <c r="A105" i="6"/>
  <c r="Q104" i="6"/>
  <c r="P104" i="6"/>
  <c r="O104" i="6"/>
  <c r="N104" i="6"/>
  <c r="G105" i="13" s="1"/>
  <c r="A104" i="6"/>
  <c r="Q103" i="6"/>
  <c r="P103" i="6"/>
  <c r="O103" i="6"/>
  <c r="N103" i="6"/>
  <c r="G104" i="13" s="1"/>
  <c r="A103" i="6"/>
  <c r="Q102" i="6"/>
  <c r="P102" i="6"/>
  <c r="O102" i="6"/>
  <c r="N102" i="6"/>
  <c r="G103" i="13" s="1"/>
  <c r="A102" i="6"/>
  <c r="Q101" i="6"/>
  <c r="P101" i="6"/>
  <c r="O101" i="6"/>
  <c r="N101" i="6"/>
  <c r="G102" i="13" s="1"/>
  <c r="A101" i="6"/>
  <c r="Q100" i="6"/>
  <c r="P100" i="6"/>
  <c r="O100" i="6"/>
  <c r="N100" i="6"/>
  <c r="G101" i="13" s="1"/>
  <c r="A100" i="6"/>
  <c r="Q99" i="6"/>
  <c r="P99" i="6"/>
  <c r="O99" i="6"/>
  <c r="N99" i="6"/>
  <c r="G100" i="13" s="1"/>
  <c r="A99" i="6"/>
  <c r="Q98" i="6"/>
  <c r="P98" i="6"/>
  <c r="O98" i="6"/>
  <c r="N98" i="6"/>
  <c r="G99" i="13" s="1"/>
  <c r="A98" i="6"/>
  <c r="Q97" i="6"/>
  <c r="P97" i="6"/>
  <c r="O97" i="6"/>
  <c r="N97" i="6"/>
  <c r="G98" i="13" s="1"/>
  <c r="A97" i="6"/>
  <c r="Q96" i="6"/>
  <c r="P96" i="6"/>
  <c r="O96" i="6"/>
  <c r="N96" i="6"/>
  <c r="G97" i="13" s="1"/>
  <c r="A96" i="6"/>
  <c r="Q95" i="6"/>
  <c r="P95" i="6"/>
  <c r="O95" i="6"/>
  <c r="N95" i="6"/>
  <c r="G96" i="13" s="1"/>
  <c r="A95" i="6"/>
  <c r="Q94" i="6"/>
  <c r="P94" i="6"/>
  <c r="O94" i="6"/>
  <c r="N94" i="6"/>
  <c r="G95" i="13" s="1"/>
  <c r="A94" i="6"/>
  <c r="Q93" i="6"/>
  <c r="P93" i="6"/>
  <c r="O93" i="6"/>
  <c r="N93" i="6"/>
  <c r="G94" i="13" s="1"/>
  <c r="A93" i="6"/>
  <c r="Q92" i="6"/>
  <c r="P92" i="6"/>
  <c r="O92" i="6"/>
  <c r="N92" i="6"/>
  <c r="G93" i="13" s="1"/>
  <c r="A92" i="6"/>
  <c r="Q91" i="6"/>
  <c r="P91" i="6"/>
  <c r="O91" i="6"/>
  <c r="N91" i="6"/>
  <c r="G92" i="13" s="1"/>
  <c r="A91" i="6"/>
  <c r="Q90" i="6"/>
  <c r="P90" i="6"/>
  <c r="O90" i="6"/>
  <c r="N90" i="6"/>
  <c r="G91" i="13" s="1"/>
  <c r="A90" i="6"/>
  <c r="Q89" i="6"/>
  <c r="P89" i="6"/>
  <c r="O89" i="6"/>
  <c r="N89" i="6"/>
  <c r="G90" i="13" s="1"/>
  <c r="A89" i="6"/>
  <c r="Q88" i="6"/>
  <c r="P88" i="6"/>
  <c r="O88" i="6"/>
  <c r="N88" i="6"/>
  <c r="G89" i="13" s="1"/>
  <c r="A88" i="6"/>
  <c r="Q87" i="6"/>
  <c r="P87" i="6"/>
  <c r="O87" i="6"/>
  <c r="N87" i="6"/>
  <c r="G88" i="13" s="1"/>
  <c r="A87" i="6"/>
  <c r="Q86" i="6"/>
  <c r="P86" i="6"/>
  <c r="O86" i="6"/>
  <c r="N86" i="6"/>
  <c r="G87" i="13" s="1"/>
  <c r="A86" i="6"/>
  <c r="Q85" i="6"/>
  <c r="P85" i="6"/>
  <c r="O85" i="6"/>
  <c r="N85" i="6"/>
  <c r="G86" i="13" s="1"/>
  <c r="A85" i="6"/>
  <c r="Q84" i="6"/>
  <c r="P84" i="6"/>
  <c r="O84" i="6"/>
  <c r="N84" i="6"/>
  <c r="G85" i="13" s="1"/>
  <c r="A84" i="6"/>
  <c r="Q83" i="6"/>
  <c r="P83" i="6"/>
  <c r="O83" i="6"/>
  <c r="N83" i="6"/>
  <c r="G84" i="13" s="1"/>
  <c r="A83" i="6"/>
  <c r="Q82" i="6"/>
  <c r="P82" i="6"/>
  <c r="O82" i="6"/>
  <c r="N82" i="6"/>
  <c r="G83" i="13" s="1"/>
  <c r="A82" i="6"/>
  <c r="Q81" i="6"/>
  <c r="P81" i="6"/>
  <c r="O81" i="6"/>
  <c r="N81" i="6"/>
  <c r="G82" i="13" s="1"/>
  <c r="A81" i="6"/>
  <c r="Q80" i="6"/>
  <c r="P80" i="6"/>
  <c r="O80" i="6"/>
  <c r="N80" i="6"/>
  <c r="G81" i="13" s="1"/>
  <c r="A80" i="6"/>
  <c r="Q79" i="6"/>
  <c r="P79" i="6"/>
  <c r="O79" i="6"/>
  <c r="N79" i="6"/>
  <c r="G80" i="13" s="1"/>
  <c r="A79" i="6"/>
  <c r="Q78" i="6"/>
  <c r="P78" i="6"/>
  <c r="O78" i="6"/>
  <c r="N78" i="6"/>
  <c r="G79" i="13" s="1"/>
  <c r="A78" i="6"/>
  <c r="Q77" i="6"/>
  <c r="P77" i="6"/>
  <c r="O77" i="6"/>
  <c r="N77" i="6"/>
  <c r="G78" i="13" s="1"/>
  <c r="A77" i="6"/>
  <c r="Q76" i="6"/>
  <c r="P76" i="6"/>
  <c r="O76" i="6"/>
  <c r="N76" i="6"/>
  <c r="G77" i="13" s="1"/>
  <c r="A76" i="6"/>
  <c r="Q75" i="6"/>
  <c r="P75" i="6"/>
  <c r="O75" i="6"/>
  <c r="N75" i="6"/>
  <c r="G76" i="13" s="1"/>
  <c r="A75" i="6"/>
  <c r="Q74" i="6"/>
  <c r="P74" i="6"/>
  <c r="O74" i="6"/>
  <c r="N74" i="6"/>
  <c r="G75" i="13" s="1"/>
  <c r="A74" i="6"/>
  <c r="Q73" i="6"/>
  <c r="P73" i="6"/>
  <c r="O73" i="6"/>
  <c r="N73" i="6"/>
  <c r="G74" i="13" s="1"/>
  <c r="A73" i="6"/>
  <c r="Q72" i="6"/>
  <c r="P72" i="6"/>
  <c r="O72" i="6"/>
  <c r="N72" i="6"/>
  <c r="G73" i="13" s="1"/>
  <c r="A72" i="6"/>
  <c r="Q71" i="6"/>
  <c r="P71" i="6"/>
  <c r="O71" i="6"/>
  <c r="N71" i="6"/>
  <c r="G72" i="13" s="1"/>
  <c r="A71" i="6"/>
  <c r="Q70" i="6"/>
  <c r="P70" i="6"/>
  <c r="O70" i="6"/>
  <c r="N70" i="6"/>
  <c r="G71" i="13" s="1"/>
  <c r="A70" i="6"/>
  <c r="Q69" i="6"/>
  <c r="P69" i="6"/>
  <c r="O69" i="6"/>
  <c r="N69" i="6"/>
  <c r="G70" i="13" s="1"/>
  <c r="A69" i="6"/>
  <c r="Q68" i="6"/>
  <c r="P68" i="6"/>
  <c r="O68" i="6"/>
  <c r="N68" i="6"/>
  <c r="G69" i="13" s="1"/>
  <c r="A68" i="6"/>
  <c r="Q67" i="6"/>
  <c r="P67" i="6"/>
  <c r="O67" i="6"/>
  <c r="N67" i="6"/>
  <c r="G68" i="13" s="1"/>
  <c r="A67" i="6"/>
  <c r="Q66" i="6"/>
  <c r="P66" i="6"/>
  <c r="O66" i="6"/>
  <c r="N66" i="6"/>
  <c r="G67" i="13" s="1"/>
  <c r="A66" i="6"/>
  <c r="Q65" i="6"/>
  <c r="P65" i="6"/>
  <c r="O65" i="6"/>
  <c r="N65" i="6"/>
  <c r="G66" i="13" s="1"/>
  <c r="A65" i="6"/>
  <c r="Q64" i="6"/>
  <c r="P64" i="6"/>
  <c r="O64" i="6"/>
  <c r="N64" i="6"/>
  <c r="G65" i="13" s="1"/>
  <c r="A64" i="6"/>
  <c r="Q63" i="6"/>
  <c r="P63" i="6"/>
  <c r="O63" i="6"/>
  <c r="N63" i="6"/>
  <c r="G64" i="13" s="1"/>
  <c r="A63" i="6"/>
  <c r="Q62" i="6"/>
  <c r="P62" i="6"/>
  <c r="O62" i="6"/>
  <c r="N62" i="6"/>
  <c r="G63" i="13" s="1"/>
  <c r="A62" i="6"/>
  <c r="Q61" i="6"/>
  <c r="P61" i="6"/>
  <c r="O61" i="6"/>
  <c r="N61" i="6"/>
  <c r="G62" i="13" s="1"/>
  <c r="A61" i="6"/>
  <c r="Q60" i="6"/>
  <c r="P60" i="6"/>
  <c r="O60" i="6"/>
  <c r="N60" i="6"/>
  <c r="G61" i="13" s="1"/>
  <c r="A60" i="6"/>
  <c r="Q59" i="6"/>
  <c r="P59" i="6"/>
  <c r="O59" i="6"/>
  <c r="N59" i="6"/>
  <c r="G60" i="13" s="1"/>
  <c r="A59" i="6"/>
  <c r="Q58" i="6"/>
  <c r="P58" i="6"/>
  <c r="O58" i="6"/>
  <c r="N58" i="6"/>
  <c r="G59" i="13" s="1"/>
  <c r="A58" i="6"/>
  <c r="Q57" i="6"/>
  <c r="P57" i="6"/>
  <c r="O57" i="6"/>
  <c r="N57" i="6"/>
  <c r="G58" i="13" s="1"/>
  <c r="A57" i="6"/>
  <c r="Q56" i="6"/>
  <c r="P56" i="6"/>
  <c r="O56" i="6"/>
  <c r="N56" i="6"/>
  <c r="G57" i="13" s="1"/>
  <c r="A56" i="6"/>
  <c r="Q55" i="6"/>
  <c r="P55" i="6"/>
  <c r="O55" i="6"/>
  <c r="N55" i="6"/>
  <c r="G56" i="13" s="1"/>
  <c r="A55" i="6"/>
  <c r="Q54" i="6"/>
  <c r="P54" i="6"/>
  <c r="O54" i="6"/>
  <c r="N54" i="6"/>
  <c r="G55" i="13" s="1"/>
  <c r="A54" i="6"/>
  <c r="Q53" i="6"/>
  <c r="P53" i="6"/>
  <c r="O53" i="6"/>
  <c r="N53" i="6"/>
  <c r="G54" i="13" s="1"/>
  <c r="A53" i="6"/>
  <c r="Q52" i="6"/>
  <c r="P52" i="6"/>
  <c r="O52" i="6"/>
  <c r="N52" i="6"/>
  <c r="G53" i="13" s="1"/>
  <c r="A52" i="6"/>
  <c r="Q51" i="6"/>
  <c r="P51" i="6"/>
  <c r="O51" i="6"/>
  <c r="N51" i="6"/>
  <c r="G52" i="13" s="1"/>
  <c r="A51" i="6"/>
  <c r="Q50" i="6"/>
  <c r="P50" i="6"/>
  <c r="O50" i="6"/>
  <c r="N50" i="6"/>
  <c r="G51" i="13" s="1"/>
  <c r="A50" i="6"/>
  <c r="Q49" i="6"/>
  <c r="P49" i="6"/>
  <c r="O49" i="6"/>
  <c r="N49" i="6"/>
  <c r="G50" i="13" s="1"/>
  <c r="A49" i="6"/>
  <c r="Q48" i="6"/>
  <c r="P48" i="6"/>
  <c r="O48" i="6"/>
  <c r="N48" i="6"/>
  <c r="G49" i="13" s="1"/>
  <c r="A48" i="6"/>
  <c r="Q47" i="6"/>
  <c r="P47" i="6"/>
  <c r="O47" i="6"/>
  <c r="N47" i="6"/>
  <c r="G48" i="13" s="1"/>
  <c r="A47" i="6"/>
  <c r="Q46" i="6"/>
  <c r="P46" i="6"/>
  <c r="O46" i="6"/>
  <c r="N46" i="6"/>
  <c r="G47" i="13" s="1"/>
  <c r="A46" i="6"/>
  <c r="Q45" i="6"/>
  <c r="P45" i="6"/>
  <c r="O45" i="6"/>
  <c r="N45" i="6"/>
  <c r="G46" i="13" s="1"/>
  <c r="A45" i="6"/>
  <c r="Q44" i="6"/>
  <c r="P44" i="6"/>
  <c r="O44" i="6"/>
  <c r="N44" i="6"/>
  <c r="G45" i="13" s="1"/>
  <c r="A44" i="6"/>
  <c r="Q43" i="6"/>
  <c r="P43" i="6"/>
  <c r="O43" i="6"/>
  <c r="N43" i="6"/>
  <c r="G44" i="13" s="1"/>
  <c r="A43" i="6"/>
  <c r="Q42" i="6"/>
  <c r="P42" i="6"/>
  <c r="O42" i="6"/>
  <c r="N42" i="6"/>
  <c r="G43" i="13" s="1"/>
  <c r="A42" i="6"/>
  <c r="Q41" i="6"/>
  <c r="P41" i="6"/>
  <c r="O41" i="6"/>
  <c r="N41" i="6"/>
  <c r="G42" i="13" s="1"/>
  <c r="A41" i="6"/>
  <c r="Q40" i="6"/>
  <c r="P40" i="6"/>
  <c r="O40" i="6"/>
  <c r="N40" i="6"/>
  <c r="G41" i="13" s="1"/>
  <c r="A40" i="6"/>
  <c r="Q39" i="6"/>
  <c r="P39" i="6"/>
  <c r="O39" i="6"/>
  <c r="N39" i="6"/>
  <c r="G40" i="13" s="1"/>
  <c r="A39" i="6"/>
  <c r="Q38" i="6"/>
  <c r="P38" i="6"/>
  <c r="O38" i="6"/>
  <c r="N38" i="6"/>
  <c r="G39" i="13" s="1"/>
  <c r="A38" i="6"/>
  <c r="Q37" i="6"/>
  <c r="P37" i="6"/>
  <c r="O37" i="6"/>
  <c r="N37" i="6"/>
  <c r="G38" i="13" s="1"/>
  <c r="A37" i="6"/>
  <c r="Q36" i="6"/>
  <c r="P36" i="6"/>
  <c r="O36" i="6"/>
  <c r="N36" i="6"/>
  <c r="G37" i="13" s="1"/>
  <c r="A36" i="6"/>
  <c r="Q35" i="6"/>
  <c r="P35" i="6"/>
  <c r="O35" i="6"/>
  <c r="N35" i="6"/>
  <c r="G36" i="13" s="1"/>
  <c r="A35" i="6"/>
  <c r="Q34" i="6"/>
  <c r="P34" i="6"/>
  <c r="O34" i="6"/>
  <c r="N34" i="6"/>
  <c r="G35" i="13" s="1"/>
  <c r="A34" i="6"/>
  <c r="Q33" i="6"/>
  <c r="P33" i="6"/>
  <c r="O33" i="6"/>
  <c r="N33" i="6"/>
  <c r="G34" i="13" s="1"/>
  <c r="A33" i="6"/>
  <c r="Q32" i="6"/>
  <c r="P32" i="6"/>
  <c r="O32" i="6"/>
  <c r="N32" i="6"/>
  <c r="G33" i="13" s="1"/>
  <c r="A32" i="6"/>
  <c r="Q31" i="6"/>
  <c r="P31" i="6"/>
  <c r="O31" i="6"/>
  <c r="N31" i="6"/>
  <c r="G32" i="13" s="1"/>
  <c r="A31" i="6"/>
  <c r="Q30" i="6"/>
  <c r="P30" i="6"/>
  <c r="O30" i="6"/>
  <c r="N30" i="6"/>
  <c r="G31" i="13" s="1"/>
  <c r="A30" i="6"/>
  <c r="Q29" i="6"/>
  <c r="P29" i="6"/>
  <c r="O29" i="6"/>
  <c r="N29" i="6"/>
  <c r="G30" i="13" s="1"/>
  <c r="A29" i="6"/>
  <c r="Q28" i="6"/>
  <c r="P28" i="6"/>
  <c r="O28" i="6"/>
  <c r="N28" i="6"/>
  <c r="G29" i="13" s="1"/>
  <c r="A28" i="6"/>
  <c r="Q27" i="6"/>
  <c r="P27" i="6"/>
  <c r="O27" i="6"/>
  <c r="N27" i="6"/>
  <c r="G28" i="13" s="1"/>
  <c r="A27" i="6"/>
  <c r="Q26" i="6"/>
  <c r="P26" i="6"/>
  <c r="O26" i="6"/>
  <c r="N26" i="6"/>
  <c r="G27" i="13" s="1"/>
  <c r="A26" i="6"/>
  <c r="Q25" i="6"/>
  <c r="P25" i="6"/>
  <c r="O25" i="6"/>
  <c r="N25" i="6"/>
  <c r="G26" i="13" s="1"/>
  <c r="A25" i="6"/>
  <c r="Q24" i="6"/>
  <c r="P24" i="6"/>
  <c r="O24" i="6"/>
  <c r="N24" i="6"/>
  <c r="G25" i="13" s="1"/>
  <c r="A24" i="6"/>
  <c r="Q23" i="6"/>
  <c r="P23" i="6"/>
  <c r="O23" i="6"/>
  <c r="N23" i="6"/>
  <c r="G24" i="13" s="1"/>
  <c r="A23" i="6"/>
  <c r="Q22" i="6"/>
  <c r="P22" i="6"/>
  <c r="O22" i="6"/>
  <c r="N22" i="6"/>
  <c r="G23" i="13" s="1"/>
  <c r="A22" i="6"/>
  <c r="Q21" i="6"/>
  <c r="P21" i="6"/>
  <c r="O21" i="6"/>
  <c r="N21" i="6"/>
  <c r="G22" i="13" s="1"/>
  <c r="A21" i="6"/>
  <c r="Q20" i="6"/>
  <c r="P20" i="6"/>
  <c r="O20" i="6"/>
  <c r="N20" i="6"/>
  <c r="G21" i="13" s="1"/>
  <c r="A20" i="6"/>
  <c r="Q19" i="6"/>
  <c r="P19" i="6"/>
  <c r="O19" i="6"/>
  <c r="N19" i="6"/>
  <c r="G20" i="13" s="1"/>
  <c r="A19" i="6"/>
  <c r="Q18" i="6"/>
  <c r="P18" i="6"/>
  <c r="O18" i="6"/>
  <c r="N18" i="6"/>
  <c r="G19" i="13" s="1"/>
  <c r="A18" i="6"/>
  <c r="Q17" i="6"/>
  <c r="P17" i="6"/>
  <c r="O17" i="6"/>
  <c r="N17" i="6"/>
  <c r="G18" i="13" s="1"/>
  <c r="A17" i="6"/>
  <c r="Q16" i="6"/>
  <c r="P16" i="6"/>
  <c r="O16" i="6"/>
  <c r="N16" i="6"/>
  <c r="G17" i="13" s="1"/>
  <c r="A16" i="6"/>
  <c r="Q15" i="6"/>
  <c r="P15" i="6"/>
  <c r="O15" i="6"/>
  <c r="N15" i="6"/>
  <c r="G16" i="13" s="1"/>
  <c r="A15" i="6"/>
  <c r="Q14" i="6"/>
  <c r="P14" i="6"/>
  <c r="O14" i="6"/>
  <c r="N14" i="6"/>
  <c r="G15" i="13" s="1"/>
  <c r="A14" i="6"/>
  <c r="Q13" i="6"/>
  <c r="P13" i="6"/>
  <c r="O13" i="6"/>
  <c r="N13" i="6"/>
  <c r="G14" i="13" s="1"/>
  <c r="A13" i="6"/>
  <c r="Q12" i="6"/>
  <c r="P12" i="6"/>
  <c r="O12" i="6"/>
  <c r="N12" i="6"/>
  <c r="G13" i="13" s="1"/>
  <c r="A12" i="6"/>
  <c r="Q11" i="6"/>
  <c r="P11" i="6"/>
  <c r="O11" i="6"/>
  <c r="N11" i="6"/>
  <c r="G12" i="13" s="1"/>
  <c r="A11" i="6"/>
  <c r="M10" i="6"/>
  <c r="L10" i="6"/>
  <c r="K10" i="6"/>
  <c r="J10" i="6"/>
  <c r="I10" i="6"/>
  <c r="H10" i="6"/>
  <c r="G10" i="6"/>
  <c r="F10" i="6"/>
  <c r="E10" i="6"/>
  <c r="D10" i="6"/>
  <c r="C10" i="6"/>
  <c r="B10" i="6"/>
  <c r="M5" i="6"/>
  <c r="L5" i="6"/>
  <c r="L24" i="12" s="1"/>
  <c r="J5" i="6"/>
  <c r="I5" i="6"/>
  <c r="I24" i="12" s="1"/>
  <c r="H5" i="6"/>
  <c r="H26" i="12" s="1"/>
  <c r="G5" i="6"/>
  <c r="F5" i="6"/>
  <c r="E5" i="6"/>
  <c r="D5" i="6"/>
  <c r="C5" i="6"/>
  <c r="B5" i="6"/>
  <c r="M3" i="6"/>
  <c r="M8" i="6" s="1"/>
  <c r="M7" i="6" s="1"/>
  <c r="L3" i="6"/>
  <c r="L8" i="6" s="1"/>
  <c r="K3" i="6"/>
  <c r="K8" i="6" s="1"/>
  <c r="K7" i="6" s="1"/>
  <c r="K6" i="6" s="1"/>
  <c r="K11" i="12" s="1"/>
  <c r="J3" i="6"/>
  <c r="J8" i="6" s="1"/>
  <c r="I3" i="6"/>
  <c r="I8" i="6" s="1"/>
  <c r="H3" i="6"/>
  <c r="H8" i="6" s="1"/>
  <c r="G3" i="6"/>
  <c r="G8" i="6" s="1"/>
  <c r="F3" i="6"/>
  <c r="F8" i="6" s="1"/>
  <c r="F7" i="6" s="1"/>
  <c r="E3" i="6"/>
  <c r="E8" i="6" s="1"/>
  <c r="D3" i="6"/>
  <c r="D8" i="6" s="1"/>
  <c r="D7" i="6" s="1"/>
  <c r="C3" i="6"/>
  <c r="C8" i="6" s="1"/>
  <c r="B3" i="6"/>
  <c r="O1" i="6"/>
  <c r="L1" i="6"/>
  <c r="G1" i="6"/>
  <c r="B135" i="5"/>
  <c r="Q121" i="5"/>
  <c r="A121" i="5"/>
  <c r="Q120" i="5"/>
  <c r="P120" i="5"/>
  <c r="O120" i="5"/>
  <c r="N120" i="5"/>
  <c r="F121" i="13" s="1"/>
  <c r="A120" i="5"/>
  <c r="Q119" i="5"/>
  <c r="P119" i="5"/>
  <c r="O119" i="5"/>
  <c r="N119" i="5"/>
  <c r="F120" i="13" s="1"/>
  <c r="A119" i="5"/>
  <c r="Q118" i="5"/>
  <c r="P118" i="5"/>
  <c r="O118" i="5"/>
  <c r="N118" i="5"/>
  <c r="F119" i="13" s="1"/>
  <c r="A118" i="5"/>
  <c r="Q117" i="5"/>
  <c r="P117" i="5"/>
  <c r="O117" i="5"/>
  <c r="N117" i="5"/>
  <c r="F118" i="13" s="1"/>
  <c r="A117" i="5"/>
  <c r="Q116" i="5"/>
  <c r="P116" i="5"/>
  <c r="O116" i="5"/>
  <c r="N116" i="5"/>
  <c r="F117" i="13" s="1"/>
  <c r="A116" i="5"/>
  <c r="Q115" i="5"/>
  <c r="P115" i="5"/>
  <c r="O115" i="5"/>
  <c r="N115" i="5"/>
  <c r="F116" i="13" s="1"/>
  <c r="A115" i="5"/>
  <c r="Q114" i="5"/>
  <c r="P114" i="5"/>
  <c r="O114" i="5"/>
  <c r="N114" i="5"/>
  <c r="F115" i="13" s="1"/>
  <c r="A114" i="5"/>
  <c r="Q113" i="5"/>
  <c r="P113" i="5"/>
  <c r="O113" i="5"/>
  <c r="N113" i="5"/>
  <c r="F114" i="13" s="1"/>
  <c r="A113" i="5"/>
  <c r="Q112" i="5"/>
  <c r="P112" i="5"/>
  <c r="O112" i="5"/>
  <c r="N112" i="5"/>
  <c r="F113" i="13" s="1"/>
  <c r="A112" i="5"/>
  <c r="Q111" i="5"/>
  <c r="P111" i="5"/>
  <c r="O111" i="5"/>
  <c r="N111" i="5"/>
  <c r="F112" i="13" s="1"/>
  <c r="A111" i="5"/>
  <c r="Q110" i="5"/>
  <c r="P110" i="5"/>
  <c r="O110" i="5"/>
  <c r="N110" i="5"/>
  <c r="F111" i="13" s="1"/>
  <c r="A110" i="5"/>
  <c r="Q109" i="5"/>
  <c r="P109" i="5"/>
  <c r="O109" i="5"/>
  <c r="N109" i="5"/>
  <c r="F110" i="13" s="1"/>
  <c r="A109" i="5"/>
  <c r="Q108" i="5"/>
  <c r="P108" i="5"/>
  <c r="O108" i="5"/>
  <c r="N108" i="5"/>
  <c r="F109" i="13" s="1"/>
  <c r="A108" i="5"/>
  <c r="Q107" i="5"/>
  <c r="P107" i="5"/>
  <c r="O107" i="5"/>
  <c r="N107" i="5"/>
  <c r="F108" i="13" s="1"/>
  <c r="A107" i="5"/>
  <c r="Q106" i="5"/>
  <c r="P106" i="5"/>
  <c r="O106" i="5"/>
  <c r="N106" i="5"/>
  <c r="F107" i="13" s="1"/>
  <c r="A106" i="5"/>
  <c r="Q105" i="5"/>
  <c r="P105" i="5"/>
  <c r="O105" i="5"/>
  <c r="N105" i="5"/>
  <c r="F106" i="13" s="1"/>
  <c r="A105" i="5"/>
  <c r="Q104" i="5"/>
  <c r="P104" i="5"/>
  <c r="O104" i="5"/>
  <c r="N104" i="5"/>
  <c r="F105" i="13" s="1"/>
  <c r="A104" i="5"/>
  <c r="Q103" i="5"/>
  <c r="P103" i="5"/>
  <c r="O103" i="5"/>
  <c r="N103" i="5"/>
  <c r="F104" i="13" s="1"/>
  <c r="A103" i="5"/>
  <c r="Q102" i="5"/>
  <c r="P102" i="5"/>
  <c r="O102" i="5"/>
  <c r="N102" i="5"/>
  <c r="F103" i="13" s="1"/>
  <c r="A102" i="5"/>
  <c r="Q101" i="5"/>
  <c r="P101" i="5"/>
  <c r="O101" i="5"/>
  <c r="N101" i="5"/>
  <c r="F102" i="13" s="1"/>
  <c r="A101" i="5"/>
  <c r="Q100" i="5"/>
  <c r="P100" i="5"/>
  <c r="O100" i="5"/>
  <c r="N100" i="5"/>
  <c r="F101" i="13" s="1"/>
  <c r="A100" i="5"/>
  <c r="Q99" i="5"/>
  <c r="P99" i="5"/>
  <c r="O99" i="5"/>
  <c r="N99" i="5"/>
  <c r="F100" i="13" s="1"/>
  <c r="A99" i="5"/>
  <c r="Q98" i="5"/>
  <c r="P98" i="5"/>
  <c r="O98" i="5"/>
  <c r="N98" i="5"/>
  <c r="F99" i="13" s="1"/>
  <c r="A98" i="5"/>
  <c r="Q97" i="5"/>
  <c r="P97" i="5"/>
  <c r="O97" i="5"/>
  <c r="N97" i="5"/>
  <c r="F98" i="13" s="1"/>
  <c r="A97" i="5"/>
  <c r="Q96" i="5"/>
  <c r="P96" i="5"/>
  <c r="O96" i="5"/>
  <c r="N96" i="5"/>
  <c r="F97" i="13" s="1"/>
  <c r="A96" i="5"/>
  <c r="Q95" i="5"/>
  <c r="P95" i="5"/>
  <c r="O95" i="5"/>
  <c r="N95" i="5"/>
  <c r="F96" i="13" s="1"/>
  <c r="A95" i="5"/>
  <c r="Q94" i="5"/>
  <c r="P94" i="5"/>
  <c r="O94" i="5"/>
  <c r="N94" i="5"/>
  <c r="F95" i="13" s="1"/>
  <c r="A94" i="5"/>
  <c r="Q93" i="5"/>
  <c r="P93" i="5"/>
  <c r="O93" i="5"/>
  <c r="N93" i="5"/>
  <c r="F94" i="13" s="1"/>
  <c r="A93" i="5"/>
  <c r="Q92" i="5"/>
  <c r="P92" i="5"/>
  <c r="O92" i="5"/>
  <c r="N92" i="5"/>
  <c r="F93" i="13" s="1"/>
  <c r="A92" i="5"/>
  <c r="Q91" i="5"/>
  <c r="P91" i="5"/>
  <c r="O91" i="5"/>
  <c r="N91" i="5"/>
  <c r="F92" i="13" s="1"/>
  <c r="A91" i="5"/>
  <c r="Q90" i="5"/>
  <c r="P90" i="5"/>
  <c r="O90" i="5"/>
  <c r="N90" i="5"/>
  <c r="F91" i="13" s="1"/>
  <c r="A90" i="5"/>
  <c r="Q89" i="5"/>
  <c r="P89" i="5"/>
  <c r="O89" i="5"/>
  <c r="N89" i="5"/>
  <c r="F90" i="13" s="1"/>
  <c r="A89" i="5"/>
  <c r="Q88" i="5"/>
  <c r="P88" i="5"/>
  <c r="O88" i="5"/>
  <c r="N88" i="5"/>
  <c r="F89" i="13" s="1"/>
  <c r="A88" i="5"/>
  <c r="Q87" i="5"/>
  <c r="P87" i="5"/>
  <c r="O87" i="5"/>
  <c r="N87" i="5"/>
  <c r="F88" i="13" s="1"/>
  <c r="A87" i="5"/>
  <c r="Q86" i="5"/>
  <c r="P86" i="5"/>
  <c r="O86" i="5"/>
  <c r="N86" i="5"/>
  <c r="F87" i="13" s="1"/>
  <c r="A86" i="5"/>
  <c r="Q85" i="5"/>
  <c r="P85" i="5"/>
  <c r="O85" i="5"/>
  <c r="N85" i="5"/>
  <c r="F86" i="13" s="1"/>
  <c r="A85" i="5"/>
  <c r="Q84" i="5"/>
  <c r="P84" i="5"/>
  <c r="O84" i="5"/>
  <c r="N84" i="5"/>
  <c r="F85" i="13" s="1"/>
  <c r="A84" i="5"/>
  <c r="Q83" i="5"/>
  <c r="P83" i="5"/>
  <c r="O83" i="5"/>
  <c r="N83" i="5"/>
  <c r="F84" i="13" s="1"/>
  <c r="A83" i="5"/>
  <c r="Q82" i="5"/>
  <c r="P82" i="5"/>
  <c r="O82" i="5"/>
  <c r="N82" i="5"/>
  <c r="F83" i="13" s="1"/>
  <c r="A82" i="5"/>
  <c r="Q81" i="5"/>
  <c r="P81" i="5"/>
  <c r="O81" i="5"/>
  <c r="N81" i="5"/>
  <c r="F82" i="13" s="1"/>
  <c r="A81" i="5"/>
  <c r="Q80" i="5"/>
  <c r="P80" i="5"/>
  <c r="O80" i="5"/>
  <c r="N80" i="5"/>
  <c r="F81" i="13" s="1"/>
  <c r="A80" i="5"/>
  <c r="Q79" i="5"/>
  <c r="P79" i="5"/>
  <c r="O79" i="5"/>
  <c r="N79" i="5"/>
  <c r="F80" i="13" s="1"/>
  <c r="A79" i="5"/>
  <c r="Q78" i="5"/>
  <c r="P78" i="5"/>
  <c r="O78" i="5"/>
  <c r="N78" i="5"/>
  <c r="F79" i="13" s="1"/>
  <c r="A78" i="5"/>
  <c r="Q77" i="5"/>
  <c r="P77" i="5"/>
  <c r="O77" i="5"/>
  <c r="N77" i="5"/>
  <c r="F78" i="13" s="1"/>
  <c r="A77" i="5"/>
  <c r="Q76" i="5"/>
  <c r="P76" i="5"/>
  <c r="O76" i="5"/>
  <c r="N76" i="5"/>
  <c r="F77" i="13" s="1"/>
  <c r="A76" i="5"/>
  <c r="Q75" i="5"/>
  <c r="P75" i="5"/>
  <c r="O75" i="5"/>
  <c r="N75" i="5"/>
  <c r="F76" i="13" s="1"/>
  <c r="A75" i="5"/>
  <c r="Q74" i="5"/>
  <c r="P74" i="5"/>
  <c r="O74" i="5"/>
  <c r="N74" i="5"/>
  <c r="F75" i="13" s="1"/>
  <c r="A74" i="5"/>
  <c r="Q73" i="5"/>
  <c r="P73" i="5"/>
  <c r="O73" i="5"/>
  <c r="N73" i="5"/>
  <c r="F74" i="13" s="1"/>
  <c r="A73" i="5"/>
  <c r="Q72" i="5"/>
  <c r="P72" i="5"/>
  <c r="O72" i="5"/>
  <c r="N72" i="5"/>
  <c r="F73" i="13" s="1"/>
  <c r="A72" i="5"/>
  <c r="Q71" i="5"/>
  <c r="P71" i="5"/>
  <c r="O71" i="5"/>
  <c r="N71" i="5"/>
  <c r="F72" i="13" s="1"/>
  <c r="A71" i="5"/>
  <c r="Q70" i="5"/>
  <c r="P70" i="5"/>
  <c r="O70" i="5"/>
  <c r="N70" i="5"/>
  <c r="F71" i="13" s="1"/>
  <c r="A70" i="5"/>
  <c r="Q69" i="5"/>
  <c r="P69" i="5"/>
  <c r="O69" i="5"/>
  <c r="N69" i="5"/>
  <c r="F70" i="13" s="1"/>
  <c r="A69" i="5"/>
  <c r="Q68" i="5"/>
  <c r="P68" i="5"/>
  <c r="O68" i="5"/>
  <c r="N68" i="5"/>
  <c r="F69" i="13" s="1"/>
  <c r="A68" i="5"/>
  <c r="Q67" i="5"/>
  <c r="P67" i="5"/>
  <c r="O67" i="5"/>
  <c r="N67" i="5"/>
  <c r="F68" i="13" s="1"/>
  <c r="A67" i="5"/>
  <c r="Q66" i="5"/>
  <c r="P66" i="5"/>
  <c r="O66" i="5"/>
  <c r="N66" i="5"/>
  <c r="F67" i="13" s="1"/>
  <c r="A66" i="5"/>
  <c r="Q65" i="5"/>
  <c r="P65" i="5"/>
  <c r="O65" i="5"/>
  <c r="N65" i="5"/>
  <c r="F66" i="13" s="1"/>
  <c r="A65" i="5"/>
  <c r="Q64" i="5"/>
  <c r="P64" i="5"/>
  <c r="O64" i="5"/>
  <c r="N64" i="5"/>
  <c r="F65" i="13" s="1"/>
  <c r="A64" i="5"/>
  <c r="Q63" i="5"/>
  <c r="P63" i="5"/>
  <c r="O63" i="5"/>
  <c r="N63" i="5"/>
  <c r="F64" i="13" s="1"/>
  <c r="A63" i="5"/>
  <c r="Q62" i="5"/>
  <c r="P62" i="5"/>
  <c r="O62" i="5"/>
  <c r="N62" i="5"/>
  <c r="F63" i="13" s="1"/>
  <c r="A62" i="5"/>
  <c r="Q61" i="5"/>
  <c r="P61" i="5"/>
  <c r="O61" i="5"/>
  <c r="N61" i="5"/>
  <c r="F62" i="13" s="1"/>
  <c r="A61" i="5"/>
  <c r="Q60" i="5"/>
  <c r="P60" i="5"/>
  <c r="O60" i="5"/>
  <c r="N60" i="5"/>
  <c r="F61" i="13" s="1"/>
  <c r="A60" i="5"/>
  <c r="Q59" i="5"/>
  <c r="P59" i="5"/>
  <c r="O59" i="5"/>
  <c r="N59" i="5"/>
  <c r="F60" i="13" s="1"/>
  <c r="A59" i="5"/>
  <c r="Q58" i="5"/>
  <c r="P58" i="5"/>
  <c r="O58" i="5"/>
  <c r="N58" i="5"/>
  <c r="F59" i="13" s="1"/>
  <c r="A58" i="5"/>
  <c r="Q57" i="5"/>
  <c r="P57" i="5"/>
  <c r="O57" i="5"/>
  <c r="N57" i="5"/>
  <c r="F58" i="13" s="1"/>
  <c r="A57" i="5"/>
  <c r="Q56" i="5"/>
  <c r="P56" i="5"/>
  <c r="O56" i="5"/>
  <c r="N56" i="5"/>
  <c r="F57" i="13" s="1"/>
  <c r="A56" i="5"/>
  <c r="Q55" i="5"/>
  <c r="P55" i="5"/>
  <c r="O55" i="5"/>
  <c r="N55" i="5"/>
  <c r="F56" i="13" s="1"/>
  <c r="A55" i="5"/>
  <c r="Q54" i="5"/>
  <c r="P54" i="5"/>
  <c r="O54" i="5"/>
  <c r="N54" i="5"/>
  <c r="F55" i="13" s="1"/>
  <c r="A54" i="5"/>
  <c r="Q53" i="5"/>
  <c r="P53" i="5"/>
  <c r="O53" i="5"/>
  <c r="N53" i="5"/>
  <c r="F54" i="13" s="1"/>
  <c r="A53" i="5"/>
  <c r="Q52" i="5"/>
  <c r="P52" i="5"/>
  <c r="O52" i="5"/>
  <c r="N52" i="5"/>
  <c r="F53" i="13" s="1"/>
  <c r="A52" i="5"/>
  <c r="Q51" i="5"/>
  <c r="P51" i="5"/>
  <c r="O51" i="5"/>
  <c r="N51" i="5"/>
  <c r="F52" i="13" s="1"/>
  <c r="A51" i="5"/>
  <c r="Q50" i="5"/>
  <c r="P50" i="5"/>
  <c r="O50" i="5"/>
  <c r="N50" i="5"/>
  <c r="F51" i="13" s="1"/>
  <c r="A50" i="5"/>
  <c r="Q49" i="5"/>
  <c r="P49" i="5"/>
  <c r="O49" i="5"/>
  <c r="N49" i="5"/>
  <c r="F50" i="13" s="1"/>
  <c r="A49" i="5"/>
  <c r="Q48" i="5"/>
  <c r="P48" i="5"/>
  <c r="O48" i="5"/>
  <c r="N48" i="5"/>
  <c r="F49" i="13" s="1"/>
  <c r="A48" i="5"/>
  <c r="Q47" i="5"/>
  <c r="P47" i="5"/>
  <c r="O47" i="5"/>
  <c r="N47" i="5"/>
  <c r="F48" i="13" s="1"/>
  <c r="A47" i="5"/>
  <c r="Q46" i="5"/>
  <c r="P46" i="5"/>
  <c r="O46" i="5"/>
  <c r="N46" i="5"/>
  <c r="F47" i="13" s="1"/>
  <c r="A46" i="5"/>
  <c r="Q45" i="5"/>
  <c r="P45" i="5"/>
  <c r="O45" i="5"/>
  <c r="N45" i="5"/>
  <c r="F46" i="13" s="1"/>
  <c r="A45" i="5"/>
  <c r="Q44" i="5"/>
  <c r="P44" i="5"/>
  <c r="O44" i="5"/>
  <c r="N44" i="5"/>
  <c r="F45" i="13" s="1"/>
  <c r="A44" i="5"/>
  <c r="Q43" i="5"/>
  <c r="P43" i="5"/>
  <c r="O43" i="5"/>
  <c r="N43" i="5"/>
  <c r="F44" i="13" s="1"/>
  <c r="A43" i="5"/>
  <c r="Q42" i="5"/>
  <c r="P42" i="5"/>
  <c r="O42" i="5"/>
  <c r="N42" i="5"/>
  <c r="F43" i="13" s="1"/>
  <c r="A42" i="5"/>
  <c r="Q41" i="5"/>
  <c r="P41" i="5"/>
  <c r="O41" i="5"/>
  <c r="N41" i="5"/>
  <c r="F42" i="13" s="1"/>
  <c r="A41" i="5"/>
  <c r="Q40" i="5"/>
  <c r="P40" i="5"/>
  <c r="O40" i="5"/>
  <c r="N40" i="5"/>
  <c r="F41" i="13" s="1"/>
  <c r="A40" i="5"/>
  <c r="Q39" i="5"/>
  <c r="P39" i="5"/>
  <c r="O39" i="5"/>
  <c r="N39" i="5"/>
  <c r="F40" i="13" s="1"/>
  <c r="A39" i="5"/>
  <c r="Q38" i="5"/>
  <c r="P38" i="5"/>
  <c r="O38" i="5"/>
  <c r="N38" i="5"/>
  <c r="F39" i="13" s="1"/>
  <c r="A38" i="5"/>
  <c r="Q37" i="5"/>
  <c r="P37" i="5"/>
  <c r="O37" i="5"/>
  <c r="N37" i="5"/>
  <c r="F38" i="13" s="1"/>
  <c r="A37" i="5"/>
  <c r="Q36" i="5"/>
  <c r="P36" i="5"/>
  <c r="O36" i="5"/>
  <c r="N36" i="5"/>
  <c r="F37" i="13" s="1"/>
  <c r="A36" i="5"/>
  <c r="Q35" i="5"/>
  <c r="P35" i="5"/>
  <c r="O35" i="5"/>
  <c r="N35" i="5"/>
  <c r="F36" i="13" s="1"/>
  <c r="A35" i="5"/>
  <c r="Q34" i="5"/>
  <c r="P34" i="5"/>
  <c r="O34" i="5"/>
  <c r="N34" i="5"/>
  <c r="F35" i="13" s="1"/>
  <c r="A34" i="5"/>
  <c r="Q33" i="5"/>
  <c r="P33" i="5"/>
  <c r="O33" i="5"/>
  <c r="N33" i="5"/>
  <c r="F34" i="13" s="1"/>
  <c r="A33" i="5"/>
  <c r="Q32" i="5"/>
  <c r="P32" i="5"/>
  <c r="O32" i="5"/>
  <c r="N32" i="5"/>
  <c r="F33" i="13" s="1"/>
  <c r="A32" i="5"/>
  <c r="Q31" i="5"/>
  <c r="P31" i="5"/>
  <c r="O31" i="5"/>
  <c r="N31" i="5"/>
  <c r="F32" i="13" s="1"/>
  <c r="A31" i="5"/>
  <c r="Q30" i="5"/>
  <c r="P30" i="5"/>
  <c r="O30" i="5"/>
  <c r="N30" i="5"/>
  <c r="F31" i="13" s="1"/>
  <c r="A30" i="5"/>
  <c r="Q29" i="5"/>
  <c r="P29" i="5"/>
  <c r="O29" i="5"/>
  <c r="N29" i="5"/>
  <c r="F30" i="13" s="1"/>
  <c r="A29" i="5"/>
  <c r="Q28" i="5"/>
  <c r="P28" i="5"/>
  <c r="O28" i="5"/>
  <c r="N28" i="5"/>
  <c r="F29" i="13" s="1"/>
  <c r="A28" i="5"/>
  <c r="Q27" i="5"/>
  <c r="P27" i="5"/>
  <c r="O27" i="5"/>
  <c r="N27" i="5"/>
  <c r="F28" i="13" s="1"/>
  <c r="A27" i="5"/>
  <c r="Q26" i="5"/>
  <c r="P26" i="5"/>
  <c r="O26" i="5"/>
  <c r="N26" i="5"/>
  <c r="F27" i="13" s="1"/>
  <c r="A26" i="5"/>
  <c r="Q25" i="5"/>
  <c r="P25" i="5"/>
  <c r="O25" i="5"/>
  <c r="N25" i="5"/>
  <c r="F26" i="13" s="1"/>
  <c r="A25" i="5"/>
  <c r="Q24" i="5"/>
  <c r="P24" i="5"/>
  <c r="O24" i="5"/>
  <c r="N24" i="5"/>
  <c r="F25" i="13" s="1"/>
  <c r="A24" i="5"/>
  <c r="Q23" i="5"/>
  <c r="P23" i="5"/>
  <c r="O23" i="5"/>
  <c r="N23" i="5"/>
  <c r="F24" i="13" s="1"/>
  <c r="A23" i="5"/>
  <c r="Q22" i="5"/>
  <c r="P22" i="5"/>
  <c r="O22" i="5"/>
  <c r="N22" i="5"/>
  <c r="F23" i="13" s="1"/>
  <c r="A22" i="5"/>
  <c r="Q21" i="5"/>
  <c r="P21" i="5"/>
  <c r="O21" i="5"/>
  <c r="N21" i="5"/>
  <c r="F22" i="13" s="1"/>
  <c r="A21" i="5"/>
  <c r="Q20" i="5"/>
  <c r="P20" i="5"/>
  <c r="O20" i="5"/>
  <c r="N20" i="5"/>
  <c r="F21" i="13" s="1"/>
  <c r="A20" i="5"/>
  <c r="Q19" i="5"/>
  <c r="P19" i="5"/>
  <c r="O19" i="5"/>
  <c r="N19" i="5"/>
  <c r="F20" i="13" s="1"/>
  <c r="A19" i="5"/>
  <c r="Q18" i="5"/>
  <c r="P18" i="5"/>
  <c r="O18" i="5"/>
  <c r="N18" i="5"/>
  <c r="F19" i="13" s="1"/>
  <c r="A18" i="5"/>
  <c r="Q17" i="5"/>
  <c r="P17" i="5"/>
  <c r="O17" i="5"/>
  <c r="N17" i="5"/>
  <c r="F18" i="13" s="1"/>
  <c r="A17" i="5"/>
  <c r="Q16" i="5"/>
  <c r="P16" i="5"/>
  <c r="O16" i="5"/>
  <c r="N16" i="5"/>
  <c r="F17" i="13" s="1"/>
  <c r="A16" i="5"/>
  <c r="Q15" i="5"/>
  <c r="P15" i="5"/>
  <c r="O15" i="5"/>
  <c r="N15" i="5"/>
  <c r="F16" i="13" s="1"/>
  <c r="A15" i="5"/>
  <c r="Q14" i="5"/>
  <c r="P14" i="5"/>
  <c r="O14" i="5"/>
  <c r="N14" i="5"/>
  <c r="F15" i="13" s="1"/>
  <c r="A14" i="5"/>
  <c r="Q13" i="5"/>
  <c r="P13" i="5"/>
  <c r="O13" i="5"/>
  <c r="N13" i="5"/>
  <c r="F14" i="13" s="1"/>
  <c r="A13" i="5"/>
  <c r="Q12" i="5"/>
  <c r="P12" i="5"/>
  <c r="O12" i="5"/>
  <c r="F13" i="13"/>
  <c r="A12" i="5"/>
  <c r="Q11" i="5"/>
  <c r="P11" i="5"/>
  <c r="O11" i="5"/>
  <c r="N11" i="5"/>
  <c r="F12" i="13" s="1"/>
  <c r="A11" i="5"/>
  <c r="M10" i="5"/>
  <c r="L10" i="5"/>
  <c r="K10" i="5"/>
  <c r="J10" i="5"/>
  <c r="I10" i="5"/>
  <c r="H10" i="5"/>
  <c r="G10" i="5"/>
  <c r="F10" i="5"/>
  <c r="E10" i="5"/>
  <c r="D10" i="5"/>
  <c r="C10" i="5"/>
  <c r="B10" i="5"/>
  <c r="N5" i="6" l="1"/>
  <c r="N5" i="7"/>
  <c r="H9" i="7"/>
  <c r="C24" i="12"/>
  <c r="C26" i="12"/>
  <c r="F24" i="12"/>
  <c r="F26" i="12"/>
  <c r="E26" i="12"/>
  <c r="E24" i="12"/>
  <c r="G26" i="12"/>
  <c r="G24" i="12"/>
  <c r="B24" i="12"/>
  <c r="B26" i="12"/>
  <c r="J26" i="12"/>
  <c r="I26" i="12" s="1"/>
  <c r="J24" i="12"/>
  <c r="G7" i="13"/>
  <c r="G5" i="13"/>
  <c r="G9" i="13"/>
  <c r="G6" i="13"/>
  <c r="D26" i="12"/>
  <c r="D24" i="12"/>
  <c r="H24" i="12"/>
  <c r="M26" i="12"/>
  <c r="L26" i="12" s="1"/>
  <c r="M24" i="12"/>
  <c r="H6" i="13"/>
  <c r="H9" i="13"/>
  <c r="H5" i="13"/>
  <c r="H7" i="13"/>
  <c r="F7" i="13"/>
  <c r="F5" i="13"/>
  <c r="F9" i="13"/>
  <c r="F6" i="13"/>
  <c r="E7" i="6"/>
  <c r="E9" i="8"/>
  <c r="E7" i="7"/>
  <c r="D7" i="7" s="1"/>
  <c r="C7" i="7" s="1"/>
  <c r="C7" i="6"/>
  <c r="J7" i="7"/>
  <c r="B6" i="8"/>
  <c r="L6" i="11"/>
  <c r="M14" i="12"/>
  <c r="M16" i="12"/>
  <c r="M4" i="13"/>
  <c r="B2" i="8"/>
  <c r="N3" i="6"/>
  <c r="B2" i="6" s="1"/>
  <c r="L7" i="6"/>
  <c r="J7" i="6" s="1"/>
  <c r="I7" i="6" s="1"/>
  <c r="H7" i="6" s="1"/>
  <c r="G7" i="6" s="1"/>
  <c r="G9" i="7"/>
  <c r="F9" i="7" s="1"/>
  <c r="E9" i="7" s="1"/>
  <c r="D9" i="7" s="1"/>
  <c r="C9" i="7" s="1"/>
  <c r="N8" i="8"/>
  <c r="N9" i="8" s="1"/>
  <c r="M9" i="8" s="1"/>
  <c r="L9" i="8" s="1"/>
  <c r="K9" i="8" s="1"/>
  <c r="J9" i="8" s="1"/>
  <c r="I9" i="8" s="1"/>
  <c r="H9" i="8" s="1"/>
  <c r="B8" i="7"/>
  <c r="B9" i="7" s="1"/>
  <c r="M9" i="10"/>
  <c r="L9" i="10" s="1"/>
  <c r="K9" i="10" s="1"/>
  <c r="J9" i="10" s="1"/>
  <c r="I9" i="10" s="1"/>
  <c r="H9" i="10" s="1"/>
  <c r="G9" i="10" s="1"/>
  <c r="F9" i="10" s="1"/>
  <c r="E9" i="10" s="1"/>
  <c r="D9" i="10" s="1"/>
  <c r="C9" i="10" s="1"/>
  <c r="J38" i="25"/>
  <c r="B8" i="6"/>
  <c r="N8" i="6" s="1"/>
  <c r="I8" i="7"/>
  <c r="I7" i="7" s="1"/>
  <c r="H7" i="7" s="1"/>
  <c r="M9" i="9"/>
  <c r="L9" i="9" s="1"/>
  <c r="I38" i="25"/>
  <c r="N3" i="7"/>
  <c r="D9" i="8"/>
  <c r="C9" i="8" s="1"/>
  <c r="B9" i="8" s="1"/>
  <c r="F9" i="8"/>
  <c r="M5" i="5"/>
  <c r="L5" i="5"/>
  <c r="J5" i="5"/>
  <c r="I5" i="5"/>
  <c r="H5" i="5"/>
  <c r="G5" i="5"/>
  <c r="F5" i="5"/>
  <c r="E5" i="5"/>
  <c r="D5" i="5"/>
  <c r="C5" i="5"/>
  <c r="B5" i="5"/>
  <c r="M3" i="5"/>
  <c r="M8" i="5" s="1"/>
  <c r="L3" i="5"/>
  <c r="L8" i="5" s="1"/>
  <c r="K3" i="5"/>
  <c r="J3" i="5"/>
  <c r="J8" i="5" s="1"/>
  <c r="I3" i="5"/>
  <c r="H3" i="5"/>
  <c r="H8" i="5" s="1"/>
  <c r="H7" i="5" s="1"/>
  <c r="G3" i="5"/>
  <c r="F3" i="5"/>
  <c r="E3" i="5"/>
  <c r="D3" i="5"/>
  <c r="D8" i="5" s="1"/>
  <c r="D7" i="5" s="1"/>
  <c r="C3" i="5"/>
  <c r="B3" i="5"/>
  <c r="O1" i="5"/>
  <c r="L1" i="5"/>
  <c r="G1" i="5"/>
  <c r="B135" i="2"/>
  <c r="Q121" i="2"/>
  <c r="A121" i="2"/>
  <c r="Q120" i="2"/>
  <c r="P120" i="2"/>
  <c r="O120" i="2"/>
  <c r="E121" i="13"/>
  <c r="L121" i="13" s="1"/>
  <c r="A120" i="2"/>
  <c r="Q119" i="2"/>
  <c r="P119" i="2"/>
  <c r="O119" i="2"/>
  <c r="E120" i="13"/>
  <c r="A119" i="2"/>
  <c r="Q118" i="2"/>
  <c r="P118" i="2"/>
  <c r="O118" i="2"/>
  <c r="E119" i="13"/>
  <c r="L119" i="13" s="1"/>
  <c r="A118" i="2"/>
  <c r="Q117" i="2"/>
  <c r="P117" i="2"/>
  <c r="O117" i="2"/>
  <c r="E118" i="13"/>
  <c r="L118" i="13" s="1"/>
  <c r="A117" i="2"/>
  <c r="Q116" i="2"/>
  <c r="P116" i="2"/>
  <c r="O116" i="2"/>
  <c r="E117" i="13"/>
  <c r="L117" i="13" s="1"/>
  <c r="A116" i="2"/>
  <c r="Q115" i="2"/>
  <c r="P115" i="2"/>
  <c r="O115" i="2"/>
  <c r="E116" i="13"/>
  <c r="A115" i="2"/>
  <c r="Q114" i="2"/>
  <c r="P114" i="2"/>
  <c r="O114" i="2"/>
  <c r="E115" i="13"/>
  <c r="A114" i="2"/>
  <c r="Q113" i="2"/>
  <c r="P113" i="2"/>
  <c r="O113" i="2"/>
  <c r="E114" i="13"/>
  <c r="L114" i="13" s="1"/>
  <c r="A113" i="2"/>
  <c r="Q112" i="2"/>
  <c r="P112" i="2"/>
  <c r="O112" i="2"/>
  <c r="E113" i="13"/>
  <c r="L113" i="13" s="1"/>
  <c r="A112" i="2"/>
  <c r="Q111" i="2"/>
  <c r="P111" i="2"/>
  <c r="O111" i="2"/>
  <c r="E112" i="13"/>
  <c r="L112" i="13" s="1"/>
  <c r="A111" i="2"/>
  <c r="Q110" i="2"/>
  <c r="P110" i="2"/>
  <c r="O110" i="2"/>
  <c r="E111" i="13"/>
  <c r="L111" i="13" s="1"/>
  <c r="A110" i="2"/>
  <c r="Q109" i="2"/>
  <c r="P109" i="2"/>
  <c r="O109" i="2"/>
  <c r="E110" i="13"/>
  <c r="L110" i="13" s="1"/>
  <c r="A109" i="2"/>
  <c r="Q108" i="2"/>
  <c r="P108" i="2"/>
  <c r="O108" i="2"/>
  <c r="E109" i="13"/>
  <c r="L109" i="13" s="1"/>
  <c r="A108" i="2"/>
  <c r="Q107" i="2"/>
  <c r="P107" i="2"/>
  <c r="O107" i="2"/>
  <c r="E108" i="13"/>
  <c r="L108" i="13" s="1"/>
  <c r="A107" i="2"/>
  <c r="Q106" i="2"/>
  <c r="P106" i="2"/>
  <c r="O106" i="2"/>
  <c r="E107" i="13"/>
  <c r="L107" i="13" s="1"/>
  <c r="A106" i="2"/>
  <c r="Q105" i="2"/>
  <c r="P105" i="2"/>
  <c r="O105" i="2"/>
  <c r="E106" i="13"/>
  <c r="L106" i="13" s="1"/>
  <c r="A105" i="2"/>
  <c r="Q104" i="2"/>
  <c r="P104" i="2"/>
  <c r="O104" i="2"/>
  <c r="E105" i="13"/>
  <c r="L105" i="13" s="1"/>
  <c r="A104" i="2"/>
  <c r="Q103" i="2"/>
  <c r="P103" i="2"/>
  <c r="O103" i="2"/>
  <c r="E104" i="13"/>
  <c r="L104" i="13" s="1"/>
  <c r="A103" i="2"/>
  <c r="Q102" i="2"/>
  <c r="P102" i="2"/>
  <c r="O102" i="2"/>
  <c r="E103" i="13"/>
  <c r="L103" i="13" s="1"/>
  <c r="A102" i="2"/>
  <c r="Q101" i="2"/>
  <c r="P101" i="2"/>
  <c r="O101" i="2"/>
  <c r="E102" i="13"/>
  <c r="L102" i="13" s="1"/>
  <c r="A101" i="2"/>
  <c r="Q100" i="2"/>
  <c r="P100" i="2"/>
  <c r="O100" i="2"/>
  <c r="E101" i="13"/>
  <c r="L101" i="13" s="1"/>
  <c r="A100" i="2"/>
  <c r="Q99" i="2"/>
  <c r="P99" i="2"/>
  <c r="O99" i="2"/>
  <c r="E100" i="13"/>
  <c r="L100" i="13" s="1"/>
  <c r="A99" i="2"/>
  <c r="Q98" i="2"/>
  <c r="P98" i="2"/>
  <c r="O98" i="2"/>
  <c r="E99" i="13"/>
  <c r="L99" i="13" s="1"/>
  <c r="A98" i="2"/>
  <c r="Q97" i="2"/>
  <c r="P97" i="2"/>
  <c r="O97" i="2"/>
  <c r="E98" i="13"/>
  <c r="L98" i="13" s="1"/>
  <c r="A97" i="2"/>
  <c r="Q96" i="2"/>
  <c r="P96" i="2"/>
  <c r="O96" i="2"/>
  <c r="E97" i="13"/>
  <c r="L97" i="13" s="1"/>
  <c r="A96" i="2"/>
  <c r="Q95" i="2"/>
  <c r="P95" i="2"/>
  <c r="O95" i="2"/>
  <c r="E96" i="13"/>
  <c r="L96" i="13" s="1"/>
  <c r="A95" i="2"/>
  <c r="Q94" i="2"/>
  <c r="P94" i="2"/>
  <c r="O94" i="2"/>
  <c r="E95" i="13"/>
  <c r="L95" i="13" s="1"/>
  <c r="A94" i="2"/>
  <c r="Q93" i="2"/>
  <c r="P93" i="2"/>
  <c r="O93" i="2"/>
  <c r="E94" i="13"/>
  <c r="L94" i="13" s="1"/>
  <c r="A93" i="2"/>
  <c r="Q92" i="2"/>
  <c r="P92" i="2"/>
  <c r="O92" i="2"/>
  <c r="E93" i="13"/>
  <c r="L93" i="13" s="1"/>
  <c r="A92" i="2"/>
  <c r="Q91" i="2"/>
  <c r="P91" i="2"/>
  <c r="O91" i="2"/>
  <c r="E92" i="13"/>
  <c r="L92" i="13" s="1"/>
  <c r="A91" i="2"/>
  <c r="Q90" i="2"/>
  <c r="P90" i="2"/>
  <c r="O90" i="2"/>
  <c r="E91" i="13"/>
  <c r="L91" i="13" s="1"/>
  <c r="A90" i="2"/>
  <c r="Q89" i="2"/>
  <c r="P89" i="2"/>
  <c r="O89" i="2"/>
  <c r="E90" i="13"/>
  <c r="L90" i="13" s="1"/>
  <c r="A89" i="2"/>
  <c r="Q88" i="2"/>
  <c r="P88" i="2"/>
  <c r="O88" i="2"/>
  <c r="E89" i="13"/>
  <c r="L89" i="13" s="1"/>
  <c r="A88" i="2"/>
  <c r="Q87" i="2"/>
  <c r="P87" i="2"/>
  <c r="O87" i="2"/>
  <c r="E88" i="13"/>
  <c r="L88" i="13" s="1"/>
  <c r="A87" i="2"/>
  <c r="Q86" i="2"/>
  <c r="P86" i="2"/>
  <c r="O86" i="2"/>
  <c r="E87" i="13"/>
  <c r="L87" i="13" s="1"/>
  <c r="A86" i="2"/>
  <c r="Q85" i="2"/>
  <c r="P85" i="2"/>
  <c r="O85" i="2"/>
  <c r="E86" i="13"/>
  <c r="L86" i="13" s="1"/>
  <c r="A85" i="2"/>
  <c r="Q84" i="2"/>
  <c r="P84" i="2"/>
  <c r="O84" i="2"/>
  <c r="E85" i="13"/>
  <c r="L85" i="13" s="1"/>
  <c r="A84" i="2"/>
  <c r="Q83" i="2"/>
  <c r="P83" i="2"/>
  <c r="O83" i="2"/>
  <c r="E84" i="13"/>
  <c r="L84" i="13" s="1"/>
  <c r="A83" i="2"/>
  <c r="Q82" i="2"/>
  <c r="P82" i="2"/>
  <c r="O82" i="2"/>
  <c r="E83" i="13"/>
  <c r="L83" i="13" s="1"/>
  <c r="A82" i="2"/>
  <c r="Q81" i="2"/>
  <c r="P81" i="2"/>
  <c r="O81" i="2"/>
  <c r="E82" i="13"/>
  <c r="L82" i="13" s="1"/>
  <c r="A81" i="2"/>
  <c r="Q80" i="2"/>
  <c r="P80" i="2"/>
  <c r="O80" i="2"/>
  <c r="E81" i="13"/>
  <c r="L81" i="13" s="1"/>
  <c r="A80" i="2"/>
  <c r="Q79" i="2"/>
  <c r="P79" i="2"/>
  <c r="O79" i="2"/>
  <c r="E80" i="13"/>
  <c r="L80" i="13" s="1"/>
  <c r="A79" i="2"/>
  <c r="Q78" i="2"/>
  <c r="P78" i="2"/>
  <c r="O78" i="2"/>
  <c r="E79" i="13"/>
  <c r="L79" i="13" s="1"/>
  <c r="A78" i="2"/>
  <c r="Q77" i="2"/>
  <c r="P77" i="2"/>
  <c r="O77" i="2"/>
  <c r="E78" i="13"/>
  <c r="L78" i="13" s="1"/>
  <c r="A77" i="2"/>
  <c r="Q76" i="2"/>
  <c r="P76" i="2"/>
  <c r="O76" i="2"/>
  <c r="E77" i="13"/>
  <c r="L77" i="13" s="1"/>
  <c r="A76" i="2"/>
  <c r="Q75" i="2"/>
  <c r="P75" i="2"/>
  <c r="O75" i="2"/>
  <c r="E76" i="13"/>
  <c r="L76" i="13" s="1"/>
  <c r="A75" i="2"/>
  <c r="Q74" i="2"/>
  <c r="P74" i="2"/>
  <c r="O74" i="2"/>
  <c r="E75" i="13"/>
  <c r="L75" i="13" s="1"/>
  <c r="A74" i="2"/>
  <c r="Q73" i="2"/>
  <c r="P73" i="2"/>
  <c r="O73" i="2"/>
  <c r="E74" i="13"/>
  <c r="L74" i="13" s="1"/>
  <c r="A73" i="2"/>
  <c r="Q72" i="2"/>
  <c r="P72" i="2"/>
  <c r="O72" i="2"/>
  <c r="E73" i="13"/>
  <c r="L73" i="13" s="1"/>
  <c r="A72" i="2"/>
  <c r="Q71" i="2"/>
  <c r="P71" i="2"/>
  <c r="O71" i="2"/>
  <c r="E72" i="13"/>
  <c r="L72" i="13" s="1"/>
  <c r="A71" i="2"/>
  <c r="Q70" i="2"/>
  <c r="P70" i="2"/>
  <c r="O70" i="2"/>
  <c r="E71" i="13"/>
  <c r="L71" i="13" s="1"/>
  <c r="A70" i="2"/>
  <c r="Q69" i="2"/>
  <c r="P69" i="2"/>
  <c r="O69" i="2"/>
  <c r="E70" i="13"/>
  <c r="L70" i="13" s="1"/>
  <c r="A69" i="2"/>
  <c r="Q68" i="2"/>
  <c r="P68" i="2"/>
  <c r="O68" i="2"/>
  <c r="E69" i="13"/>
  <c r="L69" i="13" s="1"/>
  <c r="A68" i="2"/>
  <c r="Q67" i="2"/>
  <c r="P67" i="2"/>
  <c r="O67" i="2"/>
  <c r="E68" i="13"/>
  <c r="L68" i="13" s="1"/>
  <c r="A67" i="2"/>
  <c r="Q66" i="2"/>
  <c r="P66" i="2"/>
  <c r="O66" i="2"/>
  <c r="E67" i="13"/>
  <c r="L67" i="13" s="1"/>
  <c r="A66" i="2"/>
  <c r="Q65" i="2"/>
  <c r="P65" i="2"/>
  <c r="O65" i="2"/>
  <c r="E66" i="13"/>
  <c r="L66" i="13" s="1"/>
  <c r="A65" i="2"/>
  <c r="Q64" i="2"/>
  <c r="P64" i="2"/>
  <c r="O64" i="2"/>
  <c r="E65" i="13"/>
  <c r="L65" i="13" s="1"/>
  <c r="A64" i="2"/>
  <c r="Q63" i="2"/>
  <c r="P63" i="2"/>
  <c r="O63" i="2"/>
  <c r="E64" i="13"/>
  <c r="L64" i="13" s="1"/>
  <c r="A63" i="2"/>
  <c r="Q62" i="2"/>
  <c r="P62" i="2"/>
  <c r="O62" i="2"/>
  <c r="E63" i="13"/>
  <c r="L63" i="13" s="1"/>
  <c r="A62" i="2"/>
  <c r="Q61" i="2"/>
  <c r="P61" i="2"/>
  <c r="O61" i="2"/>
  <c r="E62" i="13"/>
  <c r="L62" i="13" s="1"/>
  <c r="A61" i="2"/>
  <c r="Q60" i="2"/>
  <c r="P60" i="2"/>
  <c r="O60" i="2"/>
  <c r="E61" i="13"/>
  <c r="L61" i="13" s="1"/>
  <c r="A60" i="2"/>
  <c r="Q59" i="2"/>
  <c r="P59" i="2"/>
  <c r="O59" i="2"/>
  <c r="E60" i="13"/>
  <c r="L60" i="13" s="1"/>
  <c r="A59" i="2"/>
  <c r="Q58" i="2"/>
  <c r="P58" i="2"/>
  <c r="O58" i="2"/>
  <c r="E59" i="13"/>
  <c r="L59" i="13" s="1"/>
  <c r="A58" i="2"/>
  <c r="Q57" i="2"/>
  <c r="P57" i="2"/>
  <c r="O57" i="2"/>
  <c r="E58" i="13"/>
  <c r="L58" i="13" s="1"/>
  <c r="A57" i="2"/>
  <c r="Q56" i="2"/>
  <c r="P56" i="2"/>
  <c r="O56" i="2"/>
  <c r="E57" i="13"/>
  <c r="L57" i="13" s="1"/>
  <c r="A56" i="2"/>
  <c r="Q55" i="2"/>
  <c r="P55" i="2"/>
  <c r="O55" i="2"/>
  <c r="E56" i="13"/>
  <c r="L56" i="13" s="1"/>
  <c r="A55" i="2"/>
  <c r="Q54" i="2"/>
  <c r="P54" i="2"/>
  <c r="O54" i="2"/>
  <c r="E55" i="13"/>
  <c r="L55" i="13" s="1"/>
  <c r="A54" i="2"/>
  <c r="Q53" i="2"/>
  <c r="P53" i="2"/>
  <c r="O53" i="2"/>
  <c r="E54" i="13"/>
  <c r="L54" i="13" s="1"/>
  <c r="A53" i="2"/>
  <c r="Q52" i="2"/>
  <c r="P52" i="2"/>
  <c r="O52" i="2"/>
  <c r="E53" i="13"/>
  <c r="L53" i="13" s="1"/>
  <c r="A52" i="2"/>
  <c r="Q51" i="2"/>
  <c r="P51" i="2"/>
  <c r="O51" i="2"/>
  <c r="E52" i="13"/>
  <c r="L52" i="13" s="1"/>
  <c r="A51" i="2"/>
  <c r="Q50" i="2"/>
  <c r="P50" i="2"/>
  <c r="O50" i="2"/>
  <c r="E51" i="13"/>
  <c r="L51" i="13" s="1"/>
  <c r="A50" i="2"/>
  <c r="Q49" i="2"/>
  <c r="P49" i="2"/>
  <c r="O49" i="2"/>
  <c r="E50" i="13"/>
  <c r="L50" i="13" s="1"/>
  <c r="A49" i="2"/>
  <c r="Q48" i="2"/>
  <c r="P48" i="2"/>
  <c r="O48" i="2"/>
  <c r="E49" i="13"/>
  <c r="L49" i="13" s="1"/>
  <c r="A48" i="2"/>
  <c r="Q47" i="2"/>
  <c r="P47" i="2"/>
  <c r="O47" i="2"/>
  <c r="E48" i="13"/>
  <c r="L48" i="13" s="1"/>
  <c r="A47" i="2"/>
  <c r="Q46" i="2"/>
  <c r="P46" i="2"/>
  <c r="O46" i="2"/>
  <c r="E47" i="13"/>
  <c r="L47" i="13" s="1"/>
  <c r="A46" i="2"/>
  <c r="Q45" i="2"/>
  <c r="P45" i="2"/>
  <c r="O45" i="2"/>
  <c r="E46" i="13"/>
  <c r="L46" i="13" s="1"/>
  <c r="A45" i="2"/>
  <c r="Q44" i="2"/>
  <c r="P44" i="2"/>
  <c r="O44" i="2"/>
  <c r="E45" i="13"/>
  <c r="L45" i="13" s="1"/>
  <c r="A44" i="2"/>
  <c r="Q43" i="2"/>
  <c r="P43" i="2"/>
  <c r="O43" i="2"/>
  <c r="E44" i="13"/>
  <c r="L44" i="13" s="1"/>
  <c r="A43" i="2"/>
  <c r="Q42" i="2"/>
  <c r="P42" i="2"/>
  <c r="O42" i="2"/>
  <c r="E43" i="13"/>
  <c r="L43" i="13" s="1"/>
  <c r="A42" i="2"/>
  <c r="Q41" i="2"/>
  <c r="P41" i="2"/>
  <c r="O41" i="2"/>
  <c r="E42" i="13"/>
  <c r="L42" i="13" s="1"/>
  <c r="A41" i="2"/>
  <c r="Q40" i="2"/>
  <c r="P40" i="2"/>
  <c r="O40" i="2"/>
  <c r="E41" i="13"/>
  <c r="L41" i="13" s="1"/>
  <c r="A40" i="2"/>
  <c r="Q39" i="2"/>
  <c r="P39" i="2"/>
  <c r="O39" i="2"/>
  <c r="E40" i="13"/>
  <c r="L40" i="13" s="1"/>
  <c r="A39" i="2"/>
  <c r="Q38" i="2"/>
  <c r="P38" i="2"/>
  <c r="O38" i="2"/>
  <c r="E39" i="13"/>
  <c r="L39" i="13" s="1"/>
  <c r="A38" i="2"/>
  <c r="Q37" i="2"/>
  <c r="P37" i="2"/>
  <c r="O37" i="2"/>
  <c r="E38" i="13"/>
  <c r="L38" i="13" s="1"/>
  <c r="A37" i="2"/>
  <c r="Q36" i="2"/>
  <c r="P36" i="2"/>
  <c r="O36" i="2"/>
  <c r="E37" i="13"/>
  <c r="L37" i="13" s="1"/>
  <c r="A36" i="2"/>
  <c r="Q35" i="2"/>
  <c r="P35" i="2"/>
  <c r="O35" i="2"/>
  <c r="E36" i="13"/>
  <c r="L36" i="13" s="1"/>
  <c r="A35" i="2"/>
  <c r="Q34" i="2"/>
  <c r="P34" i="2"/>
  <c r="O34" i="2"/>
  <c r="E35" i="13"/>
  <c r="L35" i="13" s="1"/>
  <c r="A34" i="2"/>
  <c r="Q33" i="2"/>
  <c r="P33" i="2"/>
  <c r="O33" i="2"/>
  <c r="E34" i="13"/>
  <c r="L34" i="13" s="1"/>
  <c r="A33" i="2"/>
  <c r="Q32" i="2"/>
  <c r="P32" i="2"/>
  <c r="O32" i="2"/>
  <c r="E33" i="13"/>
  <c r="L33" i="13" s="1"/>
  <c r="A32" i="2"/>
  <c r="Q31" i="2"/>
  <c r="P31" i="2"/>
  <c r="O31" i="2"/>
  <c r="E32" i="13"/>
  <c r="L32" i="13" s="1"/>
  <c r="A31" i="2"/>
  <c r="Q30" i="2"/>
  <c r="P30" i="2"/>
  <c r="O30" i="2"/>
  <c r="E31" i="13"/>
  <c r="A30" i="2"/>
  <c r="Q29" i="2"/>
  <c r="P29" i="2"/>
  <c r="O29" i="2"/>
  <c r="E30" i="13"/>
  <c r="A29" i="2"/>
  <c r="Q28" i="2"/>
  <c r="P28" i="2"/>
  <c r="O28" i="2"/>
  <c r="E29" i="13"/>
  <c r="A28" i="2"/>
  <c r="Q27" i="2"/>
  <c r="P27" i="2"/>
  <c r="O27" i="2"/>
  <c r="E28" i="13"/>
  <c r="A27" i="2"/>
  <c r="Q26" i="2"/>
  <c r="P26" i="2"/>
  <c r="O26" i="2"/>
  <c r="E27" i="13"/>
  <c r="A26" i="2"/>
  <c r="Q25" i="2"/>
  <c r="P25" i="2"/>
  <c r="O25" i="2"/>
  <c r="E26" i="13"/>
  <c r="A25" i="2"/>
  <c r="Q24" i="2"/>
  <c r="P24" i="2"/>
  <c r="O24" i="2"/>
  <c r="E25" i="13"/>
  <c r="A24" i="2"/>
  <c r="Q23" i="2"/>
  <c r="P23" i="2"/>
  <c r="O23" i="2"/>
  <c r="E24" i="13"/>
  <c r="A23" i="2"/>
  <c r="Q22" i="2"/>
  <c r="P22" i="2"/>
  <c r="O22" i="2"/>
  <c r="E23" i="13"/>
  <c r="A22" i="2"/>
  <c r="Q21" i="2"/>
  <c r="P21" i="2"/>
  <c r="O21" i="2"/>
  <c r="E22" i="13"/>
  <c r="A21" i="2"/>
  <c r="Q20" i="2"/>
  <c r="P20" i="2"/>
  <c r="O20" i="2"/>
  <c r="E21" i="13"/>
  <c r="A20" i="2"/>
  <c r="Q19" i="2"/>
  <c r="P19" i="2"/>
  <c r="O19" i="2"/>
  <c r="E20" i="13"/>
  <c r="A19" i="2"/>
  <c r="Q18" i="2"/>
  <c r="P18" i="2"/>
  <c r="O18" i="2"/>
  <c r="E19" i="13"/>
  <c r="A18" i="2"/>
  <c r="Q17" i="2"/>
  <c r="P17" i="2"/>
  <c r="O17" i="2"/>
  <c r="E18" i="13"/>
  <c r="A17" i="2"/>
  <c r="Q16" i="2"/>
  <c r="P16" i="2"/>
  <c r="O16" i="2"/>
  <c r="E17" i="13"/>
  <c r="A16" i="2"/>
  <c r="Q15" i="2"/>
  <c r="P15" i="2"/>
  <c r="O15" i="2"/>
  <c r="K9" i="5" l="1"/>
  <c r="K8" i="5"/>
  <c r="K7" i="5" s="1"/>
  <c r="K6" i="5" s="1"/>
  <c r="B9" i="6"/>
  <c r="N9" i="6"/>
  <c r="G38" i="25" s="1"/>
  <c r="B7" i="7"/>
  <c r="N24" i="12"/>
  <c r="N26" i="12"/>
  <c r="N5" i="5"/>
  <c r="M9" i="6"/>
  <c r="L9" i="6" s="1"/>
  <c r="K9" i="6" s="1"/>
  <c r="J9" i="6" s="1"/>
  <c r="I9" i="6" s="1"/>
  <c r="H9" i="6" s="1"/>
  <c r="G9" i="6" s="1"/>
  <c r="F9" i="6" s="1"/>
  <c r="E9" i="6" s="1"/>
  <c r="D9" i="6" s="1"/>
  <c r="C9" i="6" s="1"/>
  <c r="C8" i="5"/>
  <c r="C9" i="5" s="1"/>
  <c r="G8" i="5"/>
  <c r="G7" i="5" s="1"/>
  <c r="G9" i="5"/>
  <c r="J6" i="11"/>
  <c r="L16" i="12"/>
  <c r="L14" i="12"/>
  <c r="J9" i="5"/>
  <c r="N8" i="7"/>
  <c r="N9" i="7" s="1"/>
  <c r="B7" i="6"/>
  <c r="N7" i="6" s="1"/>
  <c r="B8" i="5"/>
  <c r="B9" i="5" s="1"/>
  <c r="F8" i="5"/>
  <c r="F7" i="5" s="1"/>
  <c r="H4" i="13"/>
  <c r="G4" i="13" s="1"/>
  <c r="B2" i="7"/>
  <c r="N3" i="5"/>
  <c r="E8" i="5"/>
  <c r="E7" i="5" s="1"/>
  <c r="I9" i="5"/>
  <c r="H9" i="5" s="1"/>
  <c r="I8" i="5"/>
  <c r="I7" i="5" s="1"/>
  <c r="E16" i="13"/>
  <c r="A15" i="2"/>
  <c r="Q14" i="2"/>
  <c r="P14" i="2"/>
  <c r="O14" i="2"/>
  <c r="E15" i="13"/>
  <c r="A14" i="2"/>
  <c r="Q13" i="2"/>
  <c r="P13" i="2"/>
  <c r="O13" i="2"/>
  <c r="E14" i="13"/>
  <c r="A13" i="2"/>
  <c r="Q12" i="2"/>
  <c r="P12" i="2"/>
  <c r="O12" i="2"/>
  <c r="E13" i="13"/>
  <c r="A12" i="2"/>
  <c r="Q11" i="2"/>
  <c r="P11" i="2"/>
  <c r="O11" i="2"/>
  <c r="E12" i="13"/>
  <c r="A11" i="2"/>
  <c r="M10" i="2"/>
  <c r="L10" i="2"/>
  <c r="K10" i="2"/>
  <c r="J10" i="2"/>
  <c r="I10" i="2"/>
  <c r="H10" i="2"/>
  <c r="G10" i="2"/>
  <c r="F10" i="2"/>
  <c r="E10" i="2"/>
  <c r="D10" i="2"/>
  <c r="C10" i="2"/>
  <c r="B10" i="2"/>
  <c r="M5" i="2"/>
  <c r="M22" i="12" s="1"/>
  <c r="L5" i="2"/>
  <c r="L22" i="12" s="1"/>
  <c r="J5" i="2"/>
  <c r="J22" i="12" s="1"/>
  <c r="I5" i="2"/>
  <c r="I22" i="12" s="1"/>
  <c r="H5" i="2"/>
  <c r="H22" i="12" s="1"/>
  <c r="G5" i="2"/>
  <c r="G22" i="12" s="1"/>
  <c r="F5" i="2"/>
  <c r="F22" i="12" s="1"/>
  <c r="E5" i="2"/>
  <c r="E22" i="12" s="1"/>
  <c r="D5" i="2"/>
  <c r="D22" i="12" s="1"/>
  <c r="C5" i="2"/>
  <c r="C22" i="12" s="1"/>
  <c r="B5" i="2"/>
  <c r="M3" i="2"/>
  <c r="P9" i="14" s="1"/>
  <c r="N44" i="25" s="1"/>
  <c r="L3" i="2"/>
  <c r="O9" i="14" s="1"/>
  <c r="K3" i="2"/>
  <c r="J3" i="2"/>
  <c r="M9" i="14" s="1"/>
  <c r="L44" i="25" s="1"/>
  <c r="I3" i="2"/>
  <c r="L9" i="14" s="1"/>
  <c r="K44" i="25" s="1"/>
  <c r="H3" i="2"/>
  <c r="K9" i="14" s="1"/>
  <c r="J44" i="25" s="1"/>
  <c r="G3" i="2"/>
  <c r="J9" i="14" s="1"/>
  <c r="I44" i="25" s="1"/>
  <c r="F3" i="2"/>
  <c r="I9" i="14" s="1"/>
  <c r="H44" i="25" s="1"/>
  <c r="E3" i="2"/>
  <c r="H9" i="14" s="1"/>
  <c r="G44" i="25" s="1"/>
  <c r="D3" i="2"/>
  <c r="G9" i="14" s="1"/>
  <c r="F44" i="25" s="1"/>
  <c r="C3" i="2"/>
  <c r="F9" i="14" s="1"/>
  <c r="E44" i="25" s="1"/>
  <c r="B3" i="2"/>
  <c r="E9" i="14" s="1"/>
  <c r="N9" i="14" l="1"/>
  <c r="M44" i="25" s="1"/>
  <c r="K8" i="2"/>
  <c r="K7" i="2" s="1"/>
  <c r="K6" i="2" s="1"/>
  <c r="N5" i="2"/>
  <c r="B22" i="12"/>
  <c r="N22" i="12" s="1"/>
  <c r="E6" i="13"/>
  <c r="E5" i="13"/>
  <c r="E9" i="13"/>
  <c r="E7" i="13"/>
  <c r="F9" i="5"/>
  <c r="G9" i="2"/>
  <c r="M9" i="2"/>
  <c r="M9" i="7"/>
  <c r="L9" i="7" s="1"/>
  <c r="K9" i="7" s="1"/>
  <c r="J9" i="7" s="1"/>
  <c r="H38" i="25"/>
  <c r="F4" i="13"/>
  <c r="B2" i="5"/>
  <c r="O9" i="12"/>
  <c r="N6" i="6"/>
  <c r="M6" i="6" s="1"/>
  <c r="N3" i="2"/>
  <c r="B8" i="2"/>
  <c r="F8" i="2"/>
  <c r="F7" i="2" s="1"/>
  <c r="J8" i="2"/>
  <c r="J7" i="2" s="1"/>
  <c r="C7" i="5"/>
  <c r="E8" i="2"/>
  <c r="E7" i="2" s="1"/>
  <c r="I8" i="2"/>
  <c r="I7" i="2" s="1"/>
  <c r="F9" i="2"/>
  <c r="L9" i="2"/>
  <c r="K9" i="2" s="1"/>
  <c r="D44" i="25"/>
  <c r="Q9" i="14"/>
  <c r="D8" i="2"/>
  <c r="D9" i="2" s="1"/>
  <c r="H8" i="2"/>
  <c r="M8" i="2"/>
  <c r="M7" i="2" s="1"/>
  <c r="J9" i="2"/>
  <c r="I9" i="2" s="1"/>
  <c r="E9" i="5"/>
  <c r="D9" i="5" s="1"/>
  <c r="N8" i="5"/>
  <c r="N9" i="5" s="1"/>
  <c r="B7" i="5"/>
  <c r="I6" i="11"/>
  <c r="J16" i="12"/>
  <c r="J14" i="12"/>
  <c r="C8" i="2"/>
  <c r="C7" i="2" s="1"/>
  <c r="G8" i="2"/>
  <c r="G7" i="2" s="1"/>
  <c r="L8" i="2"/>
  <c r="L7" i="2" s="1"/>
  <c r="H9" i="2"/>
  <c r="N1" i="2"/>
  <c r="L1" i="2"/>
  <c r="G1" i="2"/>
  <c r="C116" i="1"/>
  <c r="F1" i="1"/>
  <c r="D1" i="1"/>
  <c r="B1" i="1"/>
  <c r="B81" i="3"/>
  <c r="T61" i="3"/>
  <c r="S61" i="3"/>
  <c r="R61" i="3"/>
  <c r="Q61" i="3"/>
  <c r="P61" i="3"/>
  <c r="L61" i="3"/>
  <c r="K61" i="3"/>
  <c r="J61" i="3"/>
  <c r="I61" i="3"/>
  <c r="H61" i="3"/>
  <c r="G61" i="3"/>
  <c r="F61" i="3"/>
  <c r="E61" i="3"/>
  <c r="U60" i="3"/>
  <c r="U59" i="3"/>
  <c r="U58" i="3"/>
  <c r="U57" i="3"/>
  <c r="U56" i="3"/>
  <c r="U61" i="3" s="1"/>
  <c r="P51" i="3"/>
  <c r="O51" i="3"/>
  <c r="N51" i="3"/>
  <c r="M51" i="3"/>
  <c r="L51" i="3"/>
  <c r="K51" i="3"/>
  <c r="J51" i="3"/>
  <c r="I51" i="3"/>
  <c r="H51" i="3"/>
  <c r="G51" i="3"/>
  <c r="F51" i="3"/>
  <c r="E51" i="3"/>
  <c r="E8" i="14" s="1"/>
  <c r="C9" i="2" l="1"/>
  <c r="E7" i="14"/>
  <c r="D46" i="25" s="1"/>
  <c r="E47" i="42"/>
  <c r="D47" i="42" s="1"/>
  <c r="C47" i="42" s="1"/>
  <c r="B47" i="42" s="1"/>
  <c r="E57" i="42"/>
  <c r="D57" i="42" s="1"/>
  <c r="C57" i="42" s="1"/>
  <c r="B57" i="42" s="1"/>
  <c r="E61" i="42"/>
  <c r="D61" i="42" s="1"/>
  <c r="C61" i="42" s="1"/>
  <c r="B61" i="42" s="1"/>
  <c r="E65" i="42"/>
  <c r="D65" i="42" s="1"/>
  <c r="C65" i="42" s="1"/>
  <c r="B65" i="42" s="1"/>
  <c r="E69" i="42"/>
  <c r="D69" i="42" s="1"/>
  <c r="C69" i="42" s="1"/>
  <c r="B69" i="42" s="1"/>
  <c r="E73" i="42"/>
  <c r="D73" i="42" s="1"/>
  <c r="C73" i="42" s="1"/>
  <c r="B73" i="42" s="1"/>
  <c r="E77" i="42"/>
  <c r="D77" i="42" s="1"/>
  <c r="C77" i="42" s="1"/>
  <c r="B77" i="42" s="1"/>
  <c r="E81" i="42"/>
  <c r="D81" i="42" s="1"/>
  <c r="C81" i="42" s="1"/>
  <c r="B81" i="42" s="1"/>
  <c r="E83" i="42"/>
  <c r="D83" i="42" s="1"/>
  <c r="C83" i="42" s="1"/>
  <c r="B83" i="42" s="1"/>
  <c r="E87" i="42"/>
  <c r="D87" i="42" s="1"/>
  <c r="C87" i="42" s="1"/>
  <c r="B87" i="42" s="1"/>
  <c r="E93" i="42"/>
  <c r="D93" i="42" s="1"/>
  <c r="C93" i="42" s="1"/>
  <c r="B93" i="42" s="1"/>
  <c r="E95" i="42"/>
  <c r="D95" i="42" s="1"/>
  <c r="C95" i="42" s="1"/>
  <c r="B95" i="42" s="1"/>
  <c r="E99" i="42"/>
  <c r="D99" i="42" s="1"/>
  <c r="C99" i="42" s="1"/>
  <c r="B99" i="42" s="1"/>
  <c r="E103" i="42"/>
  <c r="D103" i="42" s="1"/>
  <c r="C103" i="42" s="1"/>
  <c r="B103" i="42" s="1"/>
  <c r="E107" i="42"/>
  <c r="D107" i="42" s="1"/>
  <c r="C107" i="42" s="1"/>
  <c r="B107" i="42" s="1"/>
  <c r="E109" i="42"/>
  <c r="D109" i="42" s="1"/>
  <c r="C109" i="42" s="1"/>
  <c r="B109" i="42" s="1"/>
  <c r="E113" i="42"/>
  <c r="D113" i="42" s="1"/>
  <c r="C113" i="42" s="1"/>
  <c r="B113" i="42" s="1"/>
  <c r="E60" i="42"/>
  <c r="D60" i="42" s="1"/>
  <c r="C60" i="42" s="1"/>
  <c r="B60" i="42" s="1"/>
  <c r="E66" i="42"/>
  <c r="D66" i="42" s="1"/>
  <c r="C66" i="42" s="1"/>
  <c r="B66" i="42" s="1"/>
  <c r="E70" i="42"/>
  <c r="D70" i="42" s="1"/>
  <c r="C70" i="42" s="1"/>
  <c r="B70" i="42" s="1"/>
  <c r="E76" i="42"/>
  <c r="D76" i="42" s="1"/>
  <c r="C76" i="42" s="1"/>
  <c r="B76" i="42" s="1"/>
  <c r="E82" i="42"/>
  <c r="D82" i="42" s="1"/>
  <c r="C82" i="42" s="1"/>
  <c r="B82" i="42" s="1"/>
  <c r="E86" i="42"/>
  <c r="D86" i="42" s="1"/>
  <c r="C86" i="42" s="1"/>
  <c r="B86" i="42" s="1"/>
  <c r="E92" i="42"/>
  <c r="D92" i="42" s="1"/>
  <c r="C92" i="42" s="1"/>
  <c r="B92" i="42" s="1"/>
  <c r="E98" i="42"/>
  <c r="D98" i="42" s="1"/>
  <c r="C98" i="42" s="1"/>
  <c r="B98" i="42" s="1"/>
  <c r="E102" i="42"/>
  <c r="D102" i="42" s="1"/>
  <c r="C102" i="42" s="1"/>
  <c r="B102" i="42" s="1"/>
  <c r="E108" i="42"/>
  <c r="D108" i="42" s="1"/>
  <c r="C108" i="42" s="1"/>
  <c r="B108" i="42" s="1"/>
  <c r="E114" i="42"/>
  <c r="D114" i="42" s="1"/>
  <c r="C114" i="42" s="1"/>
  <c r="B114" i="42" s="1"/>
  <c r="E116" i="42"/>
  <c r="D116" i="42" s="1"/>
  <c r="C116" i="42" s="1"/>
  <c r="B116" i="42" s="1"/>
  <c r="E7" i="42"/>
  <c r="E9" i="42"/>
  <c r="D9" i="42" s="1"/>
  <c r="C9" i="42" s="1"/>
  <c r="B9" i="42" s="1"/>
  <c r="E11" i="42"/>
  <c r="D11" i="42" s="1"/>
  <c r="C11" i="42" s="1"/>
  <c r="B11" i="42" s="1"/>
  <c r="E13" i="42"/>
  <c r="D13" i="42" s="1"/>
  <c r="C13" i="42" s="1"/>
  <c r="B13" i="42" s="1"/>
  <c r="E15" i="42"/>
  <c r="D15" i="42" s="1"/>
  <c r="C15" i="42" s="1"/>
  <c r="B15" i="42" s="1"/>
  <c r="E17" i="42"/>
  <c r="D17" i="42" s="1"/>
  <c r="C17" i="42" s="1"/>
  <c r="B17" i="42" s="1"/>
  <c r="E19" i="42"/>
  <c r="D19" i="42" s="1"/>
  <c r="C19" i="42" s="1"/>
  <c r="B19" i="42" s="1"/>
  <c r="E21" i="42"/>
  <c r="D21" i="42" s="1"/>
  <c r="C21" i="42" s="1"/>
  <c r="B21" i="42" s="1"/>
  <c r="E23" i="42"/>
  <c r="D23" i="42" s="1"/>
  <c r="C23" i="42" s="1"/>
  <c r="B23" i="42" s="1"/>
  <c r="E25" i="42"/>
  <c r="D25" i="42" s="1"/>
  <c r="C25" i="42" s="1"/>
  <c r="B25" i="42" s="1"/>
  <c r="E27" i="42"/>
  <c r="D27" i="42" s="1"/>
  <c r="C27" i="42" s="1"/>
  <c r="B27" i="42" s="1"/>
  <c r="E29" i="42"/>
  <c r="D29" i="42" s="1"/>
  <c r="C29" i="42" s="1"/>
  <c r="B29" i="42" s="1"/>
  <c r="E31" i="42"/>
  <c r="D31" i="42" s="1"/>
  <c r="C31" i="42" s="1"/>
  <c r="B31" i="42" s="1"/>
  <c r="E33" i="42"/>
  <c r="D33" i="42" s="1"/>
  <c r="C33" i="42" s="1"/>
  <c r="B33" i="42" s="1"/>
  <c r="E35" i="42"/>
  <c r="D35" i="42" s="1"/>
  <c r="C35" i="42" s="1"/>
  <c r="B35" i="42" s="1"/>
  <c r="E37" i="42"/>
  <c r="D37" i="42" s="1"/>
  <c r="C37" i="42" s="1"/>
  <c r="B37" i="42" s="1"/>
  <c r="E39" i="42"/>
  <c r="D39" i="42" s="1"/>
  <c r="C39" i="42" s="1"/>
  <c r="B39" i="42" s="1"/>
  <c r="E41" i="42"/>
  <c r="D41" i="42" s="1"/>
  <c r="C41" i="42" s="1"/>
  <c r="B41" i="42" s="1"/>
  <c r="E43" i="42"/>
  <c r="D43" i="42" s="1"/>
  <c r="C43" i="42" s="1"/>
  <c r="B43" i="42" s="1"/>
  <c r="E45" i="42"/>
  <c r="D45" i="42" s="1"/>
  <c r="C45" i="42" s="1"/>
  <c r="B45" i="42" s="1"/>
  <c r="E49" i="42"/>
  <c r="D49" i="42" s="1"/>
  <c r="C49" i="42" s="1"/>
  <c r="B49" i="42" s="1"/>
  <c r="E51" i="42"/>
  <c r="D51" i="42" s="1"/>
  <c r="C51" i="42" s="1"/>
  <c r="B51" i="42" s="1"/>
  <c r="E53" i="42"/>
  <c r="D53" i="42" s="1"/>
  <c r="C53" i="42" s="1"/>
  <c r="B53" i="42" s="1"/>
  <c r="E55" i="42"/>
  <c r="D55" i="42" s="1"/>
  <c r="C55" i="42" s="1"/>
  <c r="B55" i="42" s="1"/>
  <c r="E59" i="42"/>
  <c r="D59" i="42" s="1"/>
  <c r="C59" i="42" s="1"/>
  <c r="B59" i="42" s="1"/>
  <c r="E63" i="42"/>
  <c r="D63" i="42" s="1"/>
  <c r="C63" i="42" s="1"/>
  <c r="B63" i="42" s="1"/>
  <c r="E67" i="42"/>
  <c r="D67" i="42" s="1"/>
  <c r="C67" i="42" s="1"/>
  <c r="B67" i="42" s="1"/>
  <c r="E71" i="42"/>
  <c r="D71" i="42" s="1"/>
  <c r="C71" i="42" s="1"/>
  <c r="B71" i="42" s="1"/>
  <c r="E75" i="42"/>
  <c r="D75" i="42" s="1"/>
  <c r="C75" i="42" s="1"/>
  <c r="B75" i="42" s="1"/>
  <c r="E79" i="42"/>
  <c r="D79" i="42" s="1"/>
  <c r="C79" i="42" s="1"/>
  <c r="B79" i="42" s="1"/>
  <c r="E85" i="42"/>
  <c r="D85" i="42" s="1"/>
  <c r="C85" i="42" s="1"/>
  <c r="B85" i="42" s="1"/>
  <c r="E89" i="42"/>
  <c r="D89" i="42" s="1"/>
  <c r="C89" i="42" s="1"/>
  <c r="B89" i="42" s="1"/>
  <c r="E91" i="42"/>
  <c r="D91" i="42" s="1"/>
  <c r="C91" i="42" s="1"/>
  <c r="B91" i="42" s="1"/>
  <c r="E97" i="42"/>
  <c r="D97" i="42" s="1"/>
  <c r="C97" i="42" s="1"/>
  <c r="B97" i="42" s="1"/>
  <c r="E101" i="42"/>
  <c r="D101" i="42" s="1"/>
  <c r="C101" i="42" s="1"/>
  <c r="B101" i="42" s="1"/>
  <c r="E105" i="42"/>
  <c r="D105" i="42" s="1"/>
  <c r="C105" i="42" s="1"/>
  <c r="B105" i="42" s="1"/>
  <c r="E111" i="42"/>
  <c r="D111" i="42" s="1"/>
  <c r="C111" i="42" s="1"/>
  <c r="B111" i="42" s="1"/>
  <c r="E115" i="42"/>
  <c r="D115" i="42" s="1"/>
  <c r="C115" i="42" s="1"/>
  <c r="B115" i="42" s="1"/>
  <c r="E64" i="42"/>
  <c r="D64" i="42" s="1"/>
  <c r="C64" i="42" s="1"/>
  <c r="B64" i="42" s="1"/>
  <c r="E72" i="42"/>
  <c r="D72" i="42" s="1"/>
  <c r="C72" i="42" s="1"/>
  <c r="B72" i="42" s="1"/>
  <c r="E78" i="42"/>
  <c r="D78" i="42" s="1"/>
  <c r="C78" i="42" s="1"/>
  <c r="B78" i="42" s="1"/>
  <c r="E84" i="42"/>
  <c r="D84" i="42" s="1"/>
  <c r="C84" i="42" s="1"/>
  <c r="B84" i="42" s="1"/>
  <c r="E90" i="42"/>
  <c r="D90" i="42" s="1"/>
  <c r="C90" i="42" s="1"/>
  <c r="B90" i="42" s="1"/>
  <c r="E96" i="42"/>
  <c r="D96" i="42" s="1"/>
  <c r="C96" i="42" s="1"/>
  <c r="B96" i="42" s="1"/>
  <c r="E104" i="42"/>
  <c r="D104" i="42" s="1"/>
  <c r="C104" i="42" s="1"/>
  <c r="B104" i="42" s="1"/>
  <c r="E110" i="42"/>
  <c r="D110" i="42" s="1"/>
  <c r="C110" i="42" s="1"/>
  <c r="B110" i="42" s="1"/>
  <c r="D43" i="25"/>
  <c r="E8" i="42"/>
  <c r="D8" i="42" s="1"/>
  <c r="C8" i="42" s="1"/>
  <c r="B8" i="42" s="1"/>
  <c r="E10" i="42"/>
  <c r="D10" i="42" s="1"/>
  <c r="C10" i="42" s="1"/>
  <c r="B10" i="42" s="1"/>
  <c r="E12" i="42"/>
  <c r="D12" i="42" s="1"/>
  <c r="C12" i="42" s="1"/>
  <c r="B12" i="42" s="1"/>
  <c r="E14" i="42"/>
  <c r="D14" i="42" s="1"/>
  <c r="C14" i="42" s="1"/>
  <c r="B14" i="42" s="1"/>
  <c r="E16" i="42"/>
  <c r="D16" i="42" s="1"/>
  <c r="C16" i="42" s="1"/>
  <c r="B16" i="42" s="1"/>
  <c r="E18" i="42"/>
  <c r="D18" i="42" s="1"/>
  <c r="C18" i="42" s="1"/>
  <c r="B18" i="42" s="1"/>
  <c r="E20" i="42"/>
  <c r="D20" i="42" s="1"/>
  <c r="C20" i="42" s="1"/>
  <c r="B20" i="42" s="1"/>
  <c r="E22" i="42"/>
  <c r="D22" i="42" s="1"/>
  <c r="C22" i="42" s="1"/>
  <c r="B22" i="42" s="1"/>
  <c r="E24" i="42"/>
  <c r="D24" i="42" s="1"/>
  <c r="C24" i="42" s="1"/>
  <c r="B24" i="42" s="1"/>
  <c r="E26" i="42"/>
  <c r="D26" i="42" s="1"/>
  <c r="C26" i="42" s="1"/>
  <c r="B26" i="42" s="1"/>
  <c r="E28" i="42"/>
  <c r="D28" i="42" s="1"/>
  <c r="C28" i="42" s="1"/>
  <c r="B28" i="42" s="1"/>
  <c r="E30" i="42"/>
  <c r="D30" i="42" s="1"/>
  <c r="C30" i="42" s="1"/>
  <c r="B30" i="42" s="1"/>
  <c r="E32" i="42"/>
  <c r="D32" i="42" s="1"/>
  <c r="C32" i="42" s="1"/>
  <c r="B32" i="42" s="1"/>
  <c r="E34" i="42"/>
  <c r="D34" i="42" s="1"/>
  <c r="C34" i="42" s="1"/>
  <c r="B34" i="42" s="1"/>
  <c r="E36" i="42"/>
  <c r="D36" i="42" s="1"/>
  <c r="C36" i="42" s="1"/>
  <c r="B36" i="42" s="1"/>
  <c r="E38" i="42"/>
  <c r="D38" i="42" s="1"/>
  <c r="C38" i="42" s="1"/>
  <c r="B38" i="42" s="1"/>
  <c r="E40" i="42"/>
  <c r="D40" i="42" s="1"/>
  <c r="C40" i="42" s="1"/>
  <c r="B40" i="42" s="1"/>
  <c r="E42" i="42"/>
  <c r="D42" i="42" s="1"/>
  <c r="C42" i="42" s="1"/>
  <c r="B42" i="42" s="1"/>
  <c r="E44" i="42"/>
  <c r="D44" i="42" s="1"/>
  <c r="C44" i="42" s="1"/>
  <c r="B44" i="42" s="1"/>
  <c r="E46" i="42"/>
  <c r="D46" i="42" s="1"/>
  <c r="C46" i="42" s="1"/>
  <c r="B46" i="42" s="1"/>
  <c r="E48" i="42"/>
  <c r="D48" i="42" s="1"/>
  <c r="C48" i="42" s="1"/>
  <c r="B48" i="42" s="1"/>
  <c r="E50" i="42"/>
  <c r="D50" i="42" s="1"/>
  <c r="C50" i="42" s="1"/>
  <c r="B50" i="42" s="1"/>
  <c r="E52" i="42"/>
  <c r="D52" i="42" s="1"/>
  <c r="C52" i="42" s="1"/>
  <c r="B52" i="42" s="1"/>
  <c r="E54" i="42"/>
  <c r="D54" i="42" s="1"/>
  <c r="C54" i="42" s="1"/>
  <c r="B54" i="42" s="1"/>
  <c r="E56" i="42"/>
  <c r="D56" i="42" s="1"/>
  <c r="C56" i="42" s="1"/>
  <c r="B56" i="42" s="1"/>
  <c r="E58" i="42"/>
  <c r="D58" i="42" s="1"/>
  <c r="C58" i="42" s="1"/>
  <c r="B58" i="42" s="1"/>
  <c r="E62" i="42"/>
  <c r="D62" i="42" s="1"/>
  <c r="C62" i="42" s="1"/>
  <c r="B62" i="42" s="1"/>
  <c r="E68" i="42"/>
  <c r="D68" i="42" s="1"/>
  <c r="C68" i="42" s="1"/>
  <c r="B68" i="42" s="1"/>
  <c r="E74" i="42"/>
  <c r="D74" i="42" s="1"/>
  <c r="C74" i="42" s="1"/>
  <c r="B74" i="42" s="1"/>
  <c r="E80" i="42"/>
  <c r="D80" i="42" s="1"/>
  <c r="C80" i="42" s="1"/>
  <c r="B80" i="42" s="1"/>
  <c r="E88" i="42"/>
  <c r="D88" i="42" s="1"/>
  <c r="C88" i="42" s="1"/>
  <c r="B88" i="42" s="1"/>
  <c r="E94" i="42"/>
  <c r="D94" i="42" s="1"/>
  <c r="C94" i="42" s="1"/>
  <c r="B94" i="42" s="1"/>
  <c r="E100" i="42"/>
  <c r="D100" i="42" s="1"/>
  <c r="C100" i="42" s="1"/>
  <c r="B100" i="42" s="1"/>
  <c r="E106" i="42"/>
  <c r="D106" i="42" s="1"/>
  <c r="C106" i="42" s="1"/>
  <c r="B106" i="42" s="1"/>
  <c r="E112" i="42"/>
  <c r="D112" i="42" s="1"/>
  <c r="C112" i="42" s="1"/>
  <c r="B112" i="42" s="1"/>
  <c r="Q51" i="3"/>
  <c r="D7" i="2"/>
  <c r="H7" i="2"/>
  <c r="M9" i="5"/>
  <c r="L9" i="5" s="1"/>
  <c r="F38" i="25"/>
  <c r="B7" i="2"/>
  <c r="N8" i="2"/>
  <c r="N9" i="2" s="1"/>
  <c r="E38" i="25" s="1"/>
  <c r="Q4" i="42"/>
  <c r="P4" i="42" s="1"/>
  <c r="O4" i="42" s="1"/>
  <c r="N4" i="42" s="1"/>
  <c r="M4" i="42" s="1"/>
  <c r="L4" i="42" s="1"/>
  <c r="K4" i="42" s="1"/>
  <c r="J4" i="42" s="1"/>
  <c r="I4" i="42" s="1"/>
  <c r="H4" i="42" s="1"/>
  <c r="G4" i="42" s="1"/>
  <c r="F4" i="42" s="1"/>
  <c r="E4" i="42" s="1"/>
  <c r="P44" i="25"/>
  <c r="B9" i="2"/>
  <c r="E9" i="2"/>
  <c r="H6" i="11"/>
  <c r="I16" i="12"/>
  <c r="I14" i="12"/>
  <c r="L6" i="6"/>
  <c r="M11" i="12"/>
  <c r="M9" i="12"/>
  <c r="E4" i="13"/>
  <c r="B2" i="2"/>
  <c r="Q1" i="2" s="1"/>
  <c r="O1" i="2" s="1"/>
  <c r="Q50" i="3"/>
  <c r="Q49" i="3" s="1"/>
  <c r="C9" i="43" l="1"/>
  <c r="N7" i="2"/>
  <c r="N6" i="2" s="1"/>
  <c r="M6" i="2" s="1"/>
  <c r="E10" i="14"/>
  <c r="D47" i="25" s="1"/>
  <c r="H14" i="12"/>
  <c r="G6" i="11"/>
  <c r="H16" i="12"/>
  <c r="J6" i="6"/>
  <c r="L11" i="12"/>
  <c r="L9" i="12"/>
  <c r="E34" i="25"/>
  <c r="L4" i="13"/>
  <c r="Q48" i="3"/>
  <c r="L120" i="13" l="1"/>
  <c r="L116" i="13"/>
  <c r="L115" i="13"/>
  <c r="O7" i="12"/>
  <c r="B35" i="12"/>
  <c r="L34" i="25"/>
  <c r="K34" i="25" s="1"/>
  <c r="J34" i="25" s="1"/>
  <c r="I34" i="25" s="1"/>
  <c r="H34" i="25" s="1"/>
  <c r="G34" i="25" s="1"/>
  <c r="F34" i="25" s="1"/>
  <c r="L26" i="13"/>
  <c r="L18" i="13"/>
  <c r="L31" i="13"/>
  <c r="L24" i="13"/>
  <c r="L22" i="13"/>
  <c r="L15" i="13"/>
  <c r="L27" i="13"/>
  <c r="L19" i="13"/>
  <c r="N4" i="13"/>
  <c r="L25" i="13"/>
  <c r="L29" i="13"/>
  <c r="L23" i="13"/>
  <c r="L16" i="13"/>
  <c r="L21" i="13"/>
  <c r="L30" i="13"/>
  <c r="L20" i="13"/>
  <c r="L17" i="13"/>
  <c r="L28" i="13"/>
  <c r="L13" i="13"/>
  <c r="L12" i="13"/>
  <c r="L14" i="13"/>
  <c r="I6" i="6"/>
  <c r="J11" i="12"/>
  <c r="J9" i="12"/>
  <c r="F6" i="11"/>
  <c r="G16" i="12"/>
  <c r="G14" i="12"/>
  <c r="L6" i="2"/>
  <c r="M7" i="12"/>
  <c r="Q47" i="3"/>
  <c r="E6" i="11" l="1"/>
  <c r="F16" i="12"/>
  <c r="F14" i="12"/>
  <c r="N34" i="25"/>
  <c r="M34" i="25" s="1"/>
  <c r="O4" i="13"/>
  <c r="P4" i="13"/>
  <c r="J6" i="2"/>
  <c r="L7" i="12"/>
  <c r="H6" i="6"/>
  <c r="I11" i="12"/>
  <c r="I9" i="12"/>
  <c r="L7" i="13"/>
  <c r="L9" i="13"/>
  <c r="L40" i="25" s="1"/>
  <c r="K40" i="25" s="1"/>
  <c r="J40" i="25" s="1"/>
  <c r="I40" i="25" s="1"/>
  <c r="H40" i="25" s="1"/>
  <c r="G40" i="25" s="1"/>
  <c r="F40" i="25" s="1"/>
  <c r="E40" i="25" s="1"/>
  <c r="L6" i="13"/>
  <c r="N12" i="13"/>
  <c r="L5" i="13"/>
  <c r="Q46" i="3"/>
  <c r="H11" i="12" l="1"/>
  <c r="I6" i="2"/>
  <c r="J7" i="12"/>
  <c r="G6" i="6"/>
  <c r="H9" i="12"/>
  <c r="D6" i="11"/>
  <c r="E16" i="12"/>
  <c r="E14" i="12"/>
  <c r="O12" i="13"/>
  <c r="P12" i="13"/>
  <c r="Q45" i="3"/>
  <c r="Q44" i="3"/>
  <c r="Q43" i="3"/>
  <c r="U39" i="3"/>
  <c r="T39" i="3"/>
  <c r="S39" i="3"/>
  <c r="R39" i="3"/>
  <c r="Q39" i="3"/>
  <c r="P39" i="3"/>
  <c r="L39" i="3"/>
  <c r="K39" i="3"/>
  <c r="J39" i="3"/>
  <c r="I39" i="3"/>
  <c r="H39" i="3"/>
  <c r="G39" i="3"/>
  <c r="F39" i="3"/>
  <c r="E39" i="3"/>
  <c r="D39" i="3"/>
  <c r="F6" i="6" l="1"/>
  <c r="G11" i="12"/>
  <c r="G9" i="12"/>
  <c r="C6" i="11"/>
  <c r="D14" i="12"/>
  <c r="D16" i="12"/>
  <c r="H6" i="2"/>
  <c r="I7" i="12"/>
  <c r="E6" i="6" l="1"/>
  <c r="E11" i="12" s="1"/>
  <c r="F11" i="12"/>
  <c r="F9" i="12"/>
  <c r="G6" i="2"/>
  <c r="H7" i="12"/>
  <c r="B6" i="11"/>
  <c r="C14" i="12"/>
  <c r="C16" i="12"/>
  <c r="D6" i="6" l="1"/>
  <c r="E9" i="12"/>
  <c r="B14" i="12"/>
  <c r="B16" i="12"/>
  <c r="F6" i="2"/>
  <c r="F7" i="12" s="1"/>
  <c r="G7" i="12"/>
  <c r="E6" i="2" l="1"/>
  <c r="C6" i="6"/>
  <c r="D11" i="12"/>
  <c r="D9" i="12"/>
  <c r="C11" i="12" l="1"/>
  <c r="B6" i="6"/>
  <c r="B9" i="12" s="1"/>
  <c r="C9" i="12"/>
  <c r="D6" i="2"/>
  <c r="E7" i="12"/>
  <c r="B11" i="12" l="1"/>
  <c r="N11" i="12" s="1"/>
  <c r="N9" i="12"/>
  <c r="C6" i="2"/>
  <c r="D7" i="12"/>
  <c r="B6" i="2" l="1"/>
  <c r="C7" i="12"/>
  <c r="B7" i="12" l="1"/>
  <c r="N7" i="12" l="1"/>
  <c r="B6" i="5"/>
  <c r="B8" i="12" s="1"/>
  <c r="C6" i="5"/>
  <c r="C8" i="12" s="1"/>
  <c r="D6" i="5"/>
  <c r="D8" i="12" s="1"/>
  <c r="E6" i="5"/>
  <c r="E8" i="12" s="1"/>
  <c r="F6" i="5"/>
  <c r="F8" i="12" s="1"/>
  <c r="G6" i="5"/>
  <c r="G8" i="12" s="1"/>
  <c r="H6" i="5"/>
  <c r="H8" i="12" s="1"/>
  <c r="I6" i="5"/>
  <c r="I8" i="12" s="1"/>
  <c r="J7" i="5"/>
  <c r="L7" i="5"/>
  <c r="L6" i="5" s="1"/>
  <c r="L8" i="12" s="1"/>
  <c r="M7" i="5"/>
  <c r="M6" i="5" s="1"/>
  <c r="M8" i="12" s="1"/>
  <c r="B6" i="9"/>
  <c r="B10" i="12" s="1"/>
  <c r="C6" i="9"/>
  <c r="D6" i="9"/>
  <c r="D10" i="12" s="1"/>
  <c r="E6" i="9"/>
  <c r="F6" i="9"/>
  <c r="F10" i="12" s="1"/>
  <c r="G6" i="9"/>
  <c r="G12" i="12" s="1"/>
  <c r="H6" i="9"/>
  <c r="H10" i="12" s="1"/>
  <c r="I6" i="9"/>
  <c r="J7" i="9"/>
  <c r="J6" i="9" s="1"/>
  <c r="L7" i="9"/>
  <c r="L6" i="9" s="1"/>
  <c r="M7" i="9"/>
  <c r="B6" i="7"/>
  <c r="B13" i="12" s="1"/>
  <c r="C6" i="7"/>
  <c r="C13" i="12" s="1"/>
  <c r="D6" i="7"/>
  <c r="D13" i="12" s="1"/>
  <c r="E6" i="7"/>
  <c r="E13" i="12" s="1"/>
  <c r="F6" i="7"/>
  <c r="F13" i="12" s="1"/>
  <c r="G6" i="7"/>
  <c r="G13" i="12" s="1"/>
  <c r="H6" i="7"/>
  <c r="H13" i="12" s="1"/>
  <c r="I6" i="7"/>
  <c r="I13" i="12" s="1"/>
  <c r="J6" i="7"/>
  <c r="J13" i="12" s="1"/>
  <c r="L6" i="7"/>
  <c r="L13" i="12" s="1"/>
  <c r="M7" i="7"/>
  <c r="N14" i="12"/>
  <c r="B6" i="10"/>
  <c r="B17" i="12" s="1"/>
  <c r="C6" i="10"/>
  <c r="C15" i="12" s="1"/>
  <c r="D7" i="10"/>
  <c r="E7" i="10"/>
  <c r="E6" i="10" s="1"/>
  <c r="F7" i="10"/>
  <c r="F6" i="10" s="1"/>
  <c r="G7" i="10"/>
  <c r="G6" i="10" s="1"/>
  <c r="H7" i="10"/>
  <c r="H6" i="10" s="1"/>
  <c r="I7" i="10"/>
  <c r="I6" i="10" s="1"/>
  <c r="J7" i="10"/>
  <c r="J6" i="10" s="1"/>
  <c r="L7" i="10"/>
  <c r="L6" i="10" s="1"/>
  <c r="M7" i="10"/>
  <c r="M6" i="10" s="1"/>
  <c r="M15" i="12" s="1"/>
  <c r="N16" i="12"/>
  <c r="B18" i="12"/>
  <c r="C6" i="8"/>
  <c r="C18" i="12" s="1"/>
  <c r="D6" i="8"/>
  <c r="D18" i="12" s="1"/>
  <c r="E6" i="8"/>
  <c r="E18" i="12" s="1"/>
  <c r="F6" i="8"/>
  <c r="F18" i="12" s="1"/>
  <c r="G6" i="8"/>
  <c r="G18" i="12" s="1"/>
  <c r="H6" i="8"/>
  <c r="H18" i="12" s="1"/>
  <c r="I6" i="8"/>
  <c r="I18" i="12" s="1"/>
  <c r="J7" i="8"/>
  <c r="J6" i="8" s="1"/>
  <c r="J18" i="12" s="1"/>
  <c r="L7" i="8"/>
  <c r="M7" i="8"/>
  <c r="M6" i="8" s="1"/>
  <c r="M18" i="12" s="1"/>
  <c r="O16" i="12"/>
  <c r="N13" i="13"/>
  <c r="N14" i="13"/>
  <c r="P14" i="13" s="1"/>
  <c r="N15" i="13"/>
  <c r="N16" i="13"/>
  <c r="O16" i="13" s="1"/>
  <c r="N17" i="13"/>
  <c r="N18" i="13"/>
  <c r="P18" i="13" s="1"/>
  <c r="N19" i="13"/>
  <c r="N20" i="13"/>
  <c r="P20" i="13" s="1"/>
  <c r="N21" i="13"/>
  <c r="P21" i="13" s="1"/>
  <c r="N22" i="13"/>
  <c r="P22" i="13" s="1"/>
  <c r="N23" i="13"/>
  <c r="N24" i="13"/>
  <c r="P24" i="13" s="1"/>
  <c r="N25" i="13"/>
  <c r="N26" i="13"/>
  <c r="P26" i="13" s="1"/>
  <c r="N27" i="13"/>
  <c r="N28" i="13"/>
  <c r="P28" i="13" s="1"/>
  <c r="N29" i="13"/>
  <c r="P29" i="13" s="1"/>
  <c r="N30" i="13"/>
  <c r="P30" i="13" s="1"/>
  <c r="N31" i="13"/>
  <c r="N32" i="13"/>
  <c r="P32" i="13" s="1"/>
  <c r="N33" i="13"/>
  <c r="N34" i="13"/>
  <c r="P34" i="13" s="1"/>
  <c r="N35" i="13"/>
  <c r="N36" i="13"/>
  <c r="P36" i="13" s="1"/>
  <c r="N37" i="13"/>
  <c r="P37" i="13" s="1"/>
  <c r="N38" i="13"/>
  <c r="P38" i="13" s="1"/>
  <c r="N39" i="13"/>
  <c r="N40" i="13"/>
  <c r="O40" i="13" s="1"/>
  <c r="N41" i="13"/>
  <c r="N42" i="13"/>
  <c r="P42" i="13" s="1"/>
  <c r="N43" i="13"/>
  <c r="N44" i="13"/>
  <c r="O44" i="13" s="1"/>
  <c r="N45" i="13"/>
  <c r="P45" i="13" s="1"/>
  <c r="N46" i="13"/>
  <c r="P46" i="13" s="1"/>
  <c r="N47" i="13"/>
  <c r="N48" i="13"/>
  <c r="P48" i="13" s="1"/>
  <c r="N49" i="13"/>
  <c r="N50" i="13"/>
  <c r="O50" i="13" s="1"/>
  <c r="N51" i="13"/>
  <c r="N52" i="13"/>
  <c r="P52" i="13" s="1"/>
  <c r="N53" i="13"/>
  <c r="P53" i="13" s="1"/>
  <c r="N54" i="13"/>
  <c r="P54" i="13" s="1"/>
  <c r="N55" i="13"/>
  <c r="N56" i="13"/>
  <c r="P56" i="13" s="1"/>
  <c r="N57" i="13"/>
  <c r="N58" i="13"/>
  <c r="O58" i="13" s="1"/>
  <c r="N59" i="13"/>
  <c r="N60" i="13"/>
  <c r="P60" i="13" s="1"/>
  <c r="N61" i="13"/>
  <c r="P61" i="13" s="1"/>
  <c r="N62" i="13"/>
  <c r="P62" i="13" s="1"/>
  <c r="N63" i="13"/>
  <c r="N64" i="13"/>
  <c r="P64" i="13" s="1"/>
  <c r="N65" i="13"/>
  <c r="N66" i="13"/>
  <c r="P66" i="13" s="1"/>
  <c r="N67" i="13"/>
  <c r="N68" i="13"/>
  <c r="P68" i="13" s="1"/>
  <c r="N69" i="13"/>
  <c r="P69" i="13" s="1"/>
  <c r="N70" i="13"/>
  <c r="P70" i="13" s="1"/>
  <c r="N71" i="13"/>
  <c r="N72" i="13"/>
  <c r="O72" i="13" s="1"/>
  <c r="N73" i="13"/>
  <c r="N74" i="13"/>
  <c r="P74" i="13" s="1"/>
  <c r="N75" i="13"/>
  <c r="N76" i="13"/>
  <c r="O76" i="13" s="1"/>
  <c r="N77" i="13"/>
  <c r="P77" i="13" s="1"/>
  <c r="N78" i="13"/>
  <c r="P78" i="13" s="1"/>
  <c r="N79" i="13"/>
  <c r="N80" i="13"/>
  <c r="O80" i="13" s="1"/>
  <c r="N81" i="13"/>
  <c r="N82" i="13"/>
  <c r="P82" i="13" s="1"/>
  <c r="N83" i="13"/>
  <c r="N84" i="13"/>
  <c r="P84" i="13" s="1"/>
  <c r="N85" i="13"/>
  <c r="P85" i="13" s="1"/>
  <c r="N86" i="13"/>
  <c r="P86" i="13" s="1"/>
  <c r="N87" i="13"/>
  <c r="N88" i="13"/>
  <c r="P88" i="13" s="1"/>
  <c r="N89" i="13"/>
  <c r="N90" i="13"/>
  <c r="O90" i="13" s="1"/>
  <c r="N91" i="13"/>
  <c r="N92" i="13"/>
  <c r="O92" i="13" s="1"/>
  <c r="N93" i="13"/>
  <c r="P93" i="13" s="1"/>
  <c r="N94" i="13"/>
  <c r="P94" i="13" s="1"/>
  <c r="N95" i="13"/>
  <c r="N96" i="13"/>
  <c r="O96" i="13" s="1"/>
  <c r="N97" i="13"/>
  <c r="N98" i="13"/>
  <c r="O98" i="13" s="1"/>
  <c r="N99" i="13"/>
  <c r="N100" i="13"/>
  <c r="O100" i="13" s="1"/>
  <c r="N101" i="13"/>
  <c r="P101" i="13" s="1"/>
  <c r="N102" i="13"/>
  <c r="P102" i="13" s="1"/>
  <c r="N103" i="13"/>
  <c r="N104" i="13"/>
  <c r="P104" i="13" s="1"/>
  <c r="N105" i="13"/>
  <c r="N106" i="13"/>
  <c r="O106" i="13" s="1"/>
  <c r="N107" i="13"/>
  <c r="N108" i="13"/>
  <c r="P108" i="13" s="1"/>
  <c r="N109" i="13"/>
  <c r="P109" i="13" s="1"/>
  <c r="N110" i="13"/>
  <c r="P110" i="13" s="1"/>
  <c r="N111" i="13"/>
  <c r="N112" i="13"/>
  <c r="P112" i="13" s="1"/>
  <c r="N113" i="13"/>
  <c r="N114" i="13"/>
  <c r="O114" i="13" s="1"/>
  <c r="N115" i="13"/>
  <c r="N116" i="13"/>
  <c r="P116" i="13" s="1"/>
  <c r="N117" i="13"/>
  <c r="P117" i="13" s="1"/>
  <c r="N118" i="13"/>
  <c r="P118" i="13" s="1"/>
  <c r="N119" i="13"/>
  <c r="N120" i="13"/>
  <c r="O120" i="13" s="1"/>
  <c r="N121" i="13"/>
  <c r="M37" i="25"/>
  <c r="M38" i="25" s="1"/>
  <c r="J31" i="12"/>
  <c r="L31" i="12"/>
  <c r="M31" i="12"/>
  <c r="N28" i="12"/>
  <c r="B23" i="12"/>
  <c r="C23" i="12"/>
  <c r="D23" i="12"/>
  <c r="E23" i="12"/>
  <c r="F23" i="12"/>
  <c r="G23" i="12"/>
  <c r="H23" i="12"/>
  <c r="I23" i="12"/>
  <c r="J23" i="12"/>
  <c r="L23" i="12"/>
  <c r="M23" i="12"/>
  <c r="N33" i="12"/>
  <c r="M6" i="13"/>
  <c r="M36" i="25" s="1"/>
  <c r="L36" i="25"/>
  <c r="K36" i="25"/>
  <c r="J36" i="25"/>
  <c r="I36" i="25"/>
  <c r="H36" i="25"/>
  <c r="G36" i="25"/>
  <c r="F36" i="25"/>
  <c r="E36" i="25"/>
  <c r="M35" i="25"/>
  <c r="L35" i="25"/>
  <c r="K35" i="25"/>
  <c r="J35" i="25"/>
  <c r="I35" i="25"/>
  <c r="H35" i="25"/>
  <c r="G35" i="25"/>
  <c r="F35" i="25"/>
  <c r="E35" i="25"/>
  <c r="O34" i="25"/>
  <c r="L37" i="25"/>
  <c r="L38" i="25" s="1"/>
  <c r="K37" i="25"/>
  <c r="J37" i="25"/>
  <c r="I37" i="25"/>
  <c r="H37" i="25"/>
  <c r="G37" i="25"/>
  <c r="F37" i="25"/>
  <c r="E37" i="25"/>
  <c r="H8" i="14"/>
  <c r="H100" i="42" s="1"/>
  <c r="P8" i="14"/>
  <c r="P7" i="14" s="1"/>
  <c r="M8" i="14"/>
  <c r="M14" i="42" s="1"/>
  <c r="L8" i="14"/>
  <c r="L16" i="42" s="1"/>
  <c r="F8" i="14"/>
  <c r="F7" i="14" s="1"/>
  <c r="E46" i="25" s="1"/>
  <c r="G8" i="14"/>
  <c r="G13" i="42" s="1"/>
  <c r="I8" i="14"/>
  <c r="I7" i="14" s="1"/>
  <c r="J8" i="14"/>
  <c r="J64" i="42" s="1"/>
  <c r="K8" i="14"/>
  <c r="K10" i="42" s="1"/>
  <c r="N8" i="14"/>
  <c r="N115" i="42" s="1"/>
  <c r="O8" i="14"/>
  <c r="O15" i="42" s="1"/>
  <c r="P31" i="42"/>
  <c r="P87" i="42"/>
  <c r="P34" i="42"/>
  <c r="P90" i="42"/>
  <c r="P61" i="42"/>
  <c r="P56" i="42"/>
  <c r="P47" i="42"/>
  <c r="P77" i="42"/>
  <c r="P64" i="42"/>
  <c r="P19" i="42"/>
  <c r="P51" i="42"/>
  <c r="P83" i="42"/>
  <c r="P115" i="42"/>
  <c r="P38" i="42"/>
  <c r="P70" i="42"/>
  <c r="P102" i="42"/>
  <c r="P79" i="42"/>
  <c r="P50" i="42"/>
  <c r="P9" i="42"/>
  <c r="P101" i="42"/>
  <c r="P104" i="42"/>
  <c r="P33" i="42"/>
  <c r="P65" i="42"/>
  <c r="P97" i="42"/>
  <c r="P12" i="42"/>
  <c r="P28" i="42"/>
  <c r="P60" i="42"/>
  <c r="P92" i="42"/>
  <c r="N7" i="14"/>
  <c r="O10" i="14"/>
  <c r="O5" i="42" s="1"/>
  <c r="G12" i="42"/>
  <c r="P3" i="42"/>
  <c r="I10" i="42"/>
  <c r="E2" i="42"/>
  <c r="N103" i="42"/>
  <c r="O99" i="42"/>
  <c r="O83" i="42"/>
  <c r="O79" i="42"/>
  <c r="N63" i="42"/>
  <c r="O35" i="42"/>
  <c r="N31" i="42"/>
  <c r="O23" i="42"/>
  <c r="O19" i="42"/>
  <c r="L116" i="42"/>
  <c r="O112" i="42"/>
  <c r="N104" i="42"/>
  <c r="N96" i="42"/>
  <c r="L84" i="42"/>
  <c r="O72" i="42"/>
  <c r="N72" i="42"/>
  <c r="N56" i="42"/>
  <c r="O48" i="42"/>
  <c r="O36" i="42"/>
  <c r="K36" i="42"/>
  <c r="N28" i="42"/>
  <c r="N20" i="42"/>
  <c r="N105" i="42"/>
  <c r="O85" i="42"/>
  <c r="N85" i="42"/>
  <c r="I85" i="42"/>
  <c r="N77" i="42"/>
  <c r="N69" i="42"/>
  <c r="O61" i="42"/>
  <c r="M41" i="42"/>
  <c r="N33" i="42"/>
  <c r="N25" i="42"/>
  <c r="O17" i="42"/>
  <c r="N17" i="42"/>
  <c r="K17" i="42"/>
  <c r="N114" i="42"/>
  <c r="N110" i="42"/>
  <c r="N102" i="42"/>
  <c r="M98" i="42"/>
  <c r="N82" i="42"/>
  <c r="N70" i="42"/>
  <c r="N66" i="42"/>
  <c r="N58" i="42"/>
  <c r="M54" i="42"/>
  <c r="N50" i="42"/>
  <c r="K50" i="42"/>
  <c r="N46" i="42"/>
  <c r="M42" i="42"/>
  <c r="N38" i="42"/>
  <c r="N34" i="42"/>
  <c r="O30" i="42"/>
  <c r="N30" i="42"/>
  <c r="O26" i="42"/>
  <c r="N22" i="42"/>
  <c r="N18" i="42"/>
  <c r="E5" i="42"/>
  <c r="E3" i="42"/>
  <c r="J3" i="42"/>
  <c r="N8" i="42"/>
  <c r="N16" i="42"/>
  <c r="F55" i="42" l="1"/>
  <c r="F86" i="42"/>
  <c r="J86" i="42"/>
  <c r="J94" i="42"/>
  <c r="J78" i="42"/>
  <c r="I71" i="42"/>
  <c r="M43" i="25"/>
  <c r="N11" i="42"/>
  <c r="N9" i="42"/>
  <c r="J11" i="42"/>
  <c r="J22" i="42"/>
  <c r="J38" i="42"/>
  <c r="J62" i="42"/>
  <c r="J70" i="42"/>
  <c r="L74" i="42"/>
  <c r="G82" i="42"/>
  <c r="N90" i="42"/>
  <c r="L106" i="42"/>
  <c r="L114" i="42"/>
  <c r="N29" i="42"/>
  <c r="N37" i="42"/>
  <c r="N73" i="42"/>
  <c r="N113" i="42"/>
  <c r="N24" i="42"/>
  <c r="J32" i="42"/>
  <c r="N36" i="42"/>
  <c r="N44" i="42"/>
  <c r="N52" i="42"/>
  <c r="N64" i="42"/>
  <c r="J96" i="42"/>
  <c r="N100" i="42"/>
  <c r="N19" i="42"/>
  <c r="N23" i="42"/>
  <c r="N27" i="42"/>
  <c r="N35" i="42"/>
  <c r="N83" i="42"/>
  <c r="N107" i="42"/>
  <c r="L3" i="42"/>
  <c r="P108" i="42"/>
  <c r="P76" i="42"/>
  <c r="P44" i="42"/>
  <c r="P14" i="42"/>
  <c r="P113" i="42"/>
  <c r="P81" i="42"/>
  <c r="P49" i="42"/>
  <c r="P17" i="42"/>
  <c r="P48" i="42"/>
  <c r="P45" i="42"/>
  <c r="P82" i="42"/>
  <c r="P13" i="42"/>
  <c r="P23" i="42"/>
  <c r="P86" i="42"/>
  <c r="P54" i="42"/>
  <c r="P22" i="42"/>
  <c r="P99" i="42"/>
  <c r="P67" i="42"/>
  <c r="P35" i="42"/>
  <c r="P112" i="42"/>
  <c r="P16" i="42"/>
  <c r="P37" i="42"/>
  <c r="P96" i="42"/>
  <c r="P109" i="42"/>
  <c r="P114" i="42"/>
  <c r="P58" i="42"/>
  <c r="P11" i="42"/>
  <c r="P63" i="42"/>
  <c r="I101" i="42"/>
  <c r="I109" i="42"/>
  <c r="I72" i="42"/>
  <c r="I19" i="42"/>
  <c r="F11" i="42"/>
  <c r="O3" i="42"/>
  <c r="I26" i="42"/>
  <c r="K38" i="42"/>
  <c r="O38" i="42"/>
  <c r="M114" i="42"/>
  <c r="O7" i="42"/>
  <c r="O21" i="42"/>
  <c r="I53" i="42"/>
  <c r="M69" i="42"/>
  <c r="K81" i="42"/>
  <c r="O89" i="42"/>
  <c r="M113" i="42"/>
  <c r="O11" i="42"/>
  <c r="K44" i="42"/>
  <c r="O44" i="42"/>
  <c r="M60" i="42"/>
  <c r="K68" i="42"/>
  <c r="O76" i="42"/>
  <c r="F88" i="42"/>
  <c r="M96" i="42"/>
  <c r="K108" i="42"/>
  <c r="O39" i="42"/>
  <c r="O59" i="42"/>
  <c r="I67" i="42"/>
  <c r="O75" i="42"/>
  <c r="O87" i="42"/>
  <c r="M13" i="42"/>
  <c r="E43" i="25"/>
  <c r="O9" i="42"/>
  <c r="O18" i="42"/>
  <c r="K22" i="42"/>
  <c r="O22" i="42"/>
  <c r="M26" i="42"/>
  <c r="K34" i="42"/>
  <c r="H42" i="42"/>
  <c r="O42" i="42"/>
  <c r="O46" i="42"/>
  <c r="I58" i="42"/>
  <c r="I62" i="42"/>
  <c r="I66" i="42"/>
  <c r="F70" i="42"/>
  <c r="M70" i="42"/>
  <c r="H74" i="42"/>
  <c r="O90" i="42"/>
  <c r="F98" i="42"/>
  <c r="O106" i="42"/>
  <c r="O13" i="42"/>
  <c r="I21" i="42"/>
  <c r="K25" i="42"/>
  <c r="O25" i="42"/>
  <c r="M33" i="42"/>
  <c r="I37" i="42"/>
  <c r="O37" i="42"/>
  <c r="O41" i="42"/>
  <c r="M61" i="42"/>
  <c r="I69" i="42"/>
  <c r="O73" i="42"/>
  <c r="O77" i="42"/>
  <c r="O81" i="42"/>
  <c r="K89" i="42"/>
  <c r="M97" i="42"/>
  <c r="O101" i="42"/>
  <c r="O105" i="42"/>
  <c r="O109" i="42"/>
  <c r="M28" i="42"/>
  <c r="O28" i="42"/>
  <c r="O32" i="42"/>
  <c r="O40" i="42"/>
  <c r="I48" i="42"/>
  <c r="O56" i="42"/>
  <c r="O60" i="42"/>
  <c r="O64" i="42"/>
  <c r="O68" i="42"/>
  <c r="K76" i="42"/>
  <c r="O100" i="42"/>
  <c r="O104" i="42"/>
  <c r="O108" i="42"/>
  <c r="K116" i="42"/>
  <c r="O8" i="42"/>
  <c r="K27" i="42"/>
  <c r="M31" i="42"/>
  <c r="M39" i="42"/>
  <c r="F47" i="42"/>
  <c r="M59" i="42"/>
  <c r="M67" i="42"/>
  <c r="O71" i="42"/>
  <c r="K79" i="42"/>
  <c r="K87" i="42"/>
  <c r="M95" i="42"/>
  <c r="M103" i="42"/>
  <c r="O103" i="42"/>
  <c r="K13" i="42"/>
  <c r="I3" i="42"/>
  <c r="H106" i="42"/>
  <c r="I38" i="42"/>
  <c r="I90" i="42"/>
  <c r="I102" i="42"/>
  <c r="F114" i="42"/>
  <c r="F49" i="42"/>
  <c r="F57" i="42"/>
  <c r="I73" i="42"/>
  <c r="I20" i="42"/>
  <c r="F24" i="42"/>
  <c r="I40" i="42"/>
  <c r="F56" i="42"/>
  <c r="I92" i="42"/>
  <c r="I100" i="42"/>
  <c r="I35" i="42"/>
  <c r="I51" i="42"/>
  <c r="I83" i="42"/>
  <c r="I99" i="42"/>
  <c r="I115" i="42"/>
  <c r="I16" i="42"/>
  <c r="K3" i="42"/>
  <c r="N3" i="42"/>
  <c r="N10" i="42"/>
  <c r="N13" i="42"/>
  <c r="N7" i="42"/>
  <c r="N14" i="42"/>
  <c r="N12" i="42"/>
  <c r="N15" i="42"/>
  <c r="J13" i="42"/>
  <c r="L18" i="42"/>
  <c r="L26" i="42"/>
  <c r="N26" i="42"/>
  <c r="J30" i="42"/>
  <c r="L34" i="42"/>
  <c r="L42" i="42"/>
  <c r="N42" i="42"/>
  <c r="J46" i="42"/>
  <c r="L50" i="42"/>
  <c r="J54" i="42"/>
  <c r="N54" i="42"/>
  <c r="L58" i="42"/>
  <c r="N62" i="42"/>
  <c r="L66" i="42"/>
  <c r="N74" i="42"/>
  <c r="N78" i="42"/>
  <c r="L82" i="42"/>
  <c r="N86" i="42"/>
  <c r="L90" i="42"/>
  <c r="N94" i="42"/>
  <c r="L98" i="42"/>
  <c r="N98" i="42"/>
  <c r="J102" i="42"/>
  <c r="N106" i="42"/>
  <c r="J110" i="42"/>
  <c r="N21" i="42"/>
  <c r="N41" i="42"/>
  <c r="N45" i="42"/>
  <c r="N49" i="42"/>
  <c r="N53" i="42"/>
  <c r="N57" i="42"/>
  <c r="N61" i="42"/>
  <c r="N65" i="42"/>
  <c r="N81" i="42"/>
  <c r="N89" i="42"/>
  <c r="N93" i="42"/>
  <c r="N97" i="42"/>
  <c r="N101" i="42"/>
  <c r="L105" i="42"/>
  <c r="N109" i="42"/>
  <c r="L20" i="42"/>
  <c r="N32" i="42"/>
  <c r="N40" i="42"/>
  <c r="N48" i="42"/>
  <c r="L52" i="42"/>
  <c r="N60" i="42"/>
  <c r="N68" i="42"/>
  <c r="N76" i="42"/>
  <c r="N80" i="42"/>
  <c r="N84" i="42"/>
  <c r="N88" i="42"/>
  <c r="N92" i="42"/>
  <c r="N108" i="42"/>
  <c r="N112" i="42"/>
  <c r="N116" i="42"/>
  <c r="L27" i="42"/>
  <c r="N39" i="42"/>
  <c r="N43" i="42"/>
  <c r="N47" i="42"/>
  <c r="N51" i="42"/>
  <c r="N55" i="42"/>
  <c r="N59" i="42"/>
  <c r="G63" i="42"/>
  <c r="N67" i="42"/>
  <c r="N71" i="42"/>
  <c r="N75" i="42"/>
  <c r="G79" i="42"/>
  <c r="N79" i="42"/>
  <c r="N87" i="42"/>
  <c r="N91" i="42"/>
  <c r="N95" i="42"/>
  <c r="N99" i="42"/>
  <c r="N111" i="42"/>
  <c r="O43" i="25"/>
  <c r="L12" i="42"/>
  <c r="P116" i="42"/>
  <c r="P100" i="42"/>
  <c r="P84" i="42"/>
  <c r="P68" i="42"/>
  <c r="P52" i="42"/>
  <c r="P36" i="42"/>
  <c r="P20" i="42"/>
  <c r="P105" i="42"/>
  <c r="P89" i="42"/>
  <c r="P73" i="42"/>
  <c r="P57" i="42"/>
  <c r="P41" i="42"/>
  <c r="P25" i="42"/>
  <c r="P7" i="42"/>
  <c r="P72" i="42"/>
  <c r="P32" i="42"/>
  <c r="P69" i="42"/>
  <c r="P29" i="42"/>
  <c r="P106" i="42"/>
  <c r="P66" i="42"/>
  <c r="P26" i="42"/>
  <c r="P111" i="42"/>
  <c r="P55" i="42"/>
  <c r="P110" i="42"/>
  <c r="P94" i="42"/>
  <c r="P78" i="42"/>
  <c r="P62" i="42"/>
  <c r="P46" i="42"/>
  <c r="P30" i="42"/>
  <c r="P15" i="42"/>
  <c r="P107" i="42"/>
  <c r="P91" i="42"/>
  <c r="P75" i="42"/>
  <c r="P59" i="42"/>
  <c r="P43" i="42"/>
  <c r="P27" i="42"/>
  <c r="P8" i="42"/>
  <c r="P88" i="42"/>
  <c r="P40" i="42"/>
  <c r="P93" i="42"/>
  <c r="P53" i="42"/>
  <c r="P95" i="42"/>
  <c r="P10" i="42"/>
  <c r="P80" i="42"/>
  <c r="P24" i="42"/>
  <c r="P85" i="42"/>
  <c r="P21" i="42"/>
  <c r="P98" i="42"/>
  <c r="P74" i="42"/>
  <c r="P42" i="42"/>
  <c r="P18" i="42"/>
  <c r="P103" i="42"/>
  <c r="P71" i="42"/>
  <c r="P39" i="42"/>
  <c r="O24" i="13"/>
  <c r="O85" i="13"/>
  <c r="F96" i="42"/>
  <c r="F111" i="42"/>
  <c r="G65" i="42"/>
  <c r="G81" i="42"/>
  <c r="G46" i="42"/>
  <c r="G50" i="42"/>
  <c r="G33" i="42"/>
  <c r="G32" i="42"/>
  <c r="G36" i="42"/>
  <c r="G60" i="42"/>
  <c r="G108" i="42"/>
  <c r="G112" i="42"/>
  <c r="G27" i="42"/>
  <c r="G31" i="42"/>
  <c r="G111" i="42"/>
  <c r="G3" i="42"/>
  <c r="G18" i="42"/>
  <c r="G78" i="42"/>
  <c r="G110" i="42"/>
  <c r="G114" i="42"/>
  <c r="G17" i="42"/>
  <c r="G49" i="42"/>
  <c r="G97" i="42"/>
  <c r="G84" i="42"/>
  <c r="G88" i="42"/>
  <c r="G47" i="42"/>
  <c r="G95" i="42"/>
  <c r="G16" i="42"/>
  <c r="O46" i="25"/>
  <c r="P2" i="42"/>
  <c r="M8" i="42"/>
  <c r="L34" i="12"/>
  <c r="I11" i="42"/>
  <c r="F9" i="42"/>
  <c r="N43" i="25"/>
  <c r="F26" i="42"/>
  <c r="I30" i="42"/>
  <c r="I34" i="42"/>
  <c r="O34" i="42"/>
  <c r="F42" i="42"/>
  <c r="O50" i="42"/>
  <c r="O54" i="42"/>
  <c r="O58" i="42"/>
  <c r="O62" i="42"/>
  <c r="O66" i="42"/>
  <c r="I70" i="42"/>
  <c r="O70" i="42"/>
  <c r="O74" i="42"/>
  <c r="O78" i="42"/>
  <c r="O82" i="42"/>
  <c r="O86" i="42"/>
  <c r="K90" i="42"/>
  <c r="I94" i="42"/>
  <c r="K94" i="42"/>
  <c r="O94" i="42"/>
  <c r="I98" i="42"/>
  <c r="O98" i="42"/>
  <c r="O102" i="42"/>
  <c r="K106" i="42"/>
  <c r="K110" i="42"/>
  <c r="O110" i="42"/>
  <c r="O114" i="42"/>
  <c r="O10" i="42"/>
  <c r="F21" i="42"/>
  <c r="I25" i="42"/>
  <c r="F29" i="42"/>
  <c r="O29" i="42"/>
  <c r="O33" i="42"/>
  <c r="I41" i="42"/>
  <c r="K45" i="42"/>
  <c r="O45" i="42"/>
  <c r="O49" i="42"/>
  <c r="K53" i="42"/>
  <c r="O53" i="42"/>
  <c r="I57" i="42"/>
  <c r="O57" i="42"/>
  <c r="O65" i="42"/>
  <c r="O69" i="42"/>
  <c r="F85" i="42"/>
  <c r="I89" i="42"/>
  <c r="F93" i="42"/>
  <c r="O93" i="42"/>
  <c r="O97" i="42"/>
  <c r="I105" i="42"/>
  <c r="F109" i="42"/>
  <c r="O113" i="42"/>
  <c r="O16" i="42"/>
  <c r="O20" i="42"/>
  <c r="I24" i="42"/>
  <c r="O24" i="42"/>
  <c r="F40" i="42"/>
  <c r="I44" i="42"/>
  <c r="F48" i="42"/>
  <c r="O52" i="42"/>
  <c r="I64" i="42"/>
  <c r="I68" i="42"/>
  <c r="F72" i="42"/>
  <c r="I76" i="42"/>
  <c r="F80" i="42"/>
  <c r="O80" i="42"/>
  <c r="O84" i="42"/>
  <c r="O88" i="42"/>
  <c r="K92" i="42"/>
  <c r="O92" i="42"/>
  <c r="I96" i="42"/>
  <c r="O96" i="42"/>
  <c r="F112" i="42"/>
  <c r="I116" i="42"/>
  <c r="O116" i="42"/>
  <c r="O14" i="42"/>
  <c r="O27" i="42"/>
  <c r="O31" i="42"/>
  <c r="I39" i="42"/>
  <c r="K43" i="42"/>
  <c r="O43" i="42"/>
  <c r="O47" i="42"/>
  <c r="K51" i="42"/>
  <c r="O51" i="42"/>
  <c r="I55" i="42"/>
  <c r="O55" i="42"/>
  <c r="O63" i="42"/>
  <c r="O67" i="42"/>
  <c r="F83" i="42"/>
  <c r="I87" i="42"/>
  <c r="F91" i="42"/>
  <c r="O91" i="42"/>
  <c r="O95" i="42"/>
  <c r="I103" i="42"/>
  <c r="K107" i="42"/>
  <c r="O107" i="42"/>
  <c r="O111" i="42"/>
  <c r="K115" i="42"/>
  <c r="O115" i="42"/>
  <c r="K12" i="42"/>
  <c r="H43" i="25"/>
  <c r="I7" i="42"/>
  <c r="I12" i="42"/>
  <c r="D34" i="12"/>
  <c r="F12" i="12"/>
  <c r="F12" i="42"/>
  <c r="F16" i="42"/>
  <c r="F22" i="42"/>
  <c r="K26" i="42"/>
  <c r="K30" i="42"/>
  <c r="F34" i="42"/>
  <c r="M34" i="42"/>
  <c r="K42" i="42"/>
  <c r="K46" i="42"/>
  <c r="F50" i="42"/>
  <c r="M50" i="42"/>
  <c r="F62" i="42"/>
  <c r="M62" i="42"/>
  <c r="F78" i="42"/>
  <c r="M78" i="42"/>
  <c r="K86" i="42"/>
  <c r="F90" i="42"/>
  <c r="M90" i="42"/>
  <c r="K98" i="42"/>
  <c r="K102" i="42"/>
  <c r="F106" i="42"/>
  <c r="M106" i="42"/>
  <c r="K114" i="42"/>
  <c r="F17" i="42"/>
  <c r="K21" i="42"/>
  <c r="F25" i="42"/>
  <c r="M29" i="42"/>
  <c r="M37" i="42"/>
  <c r="K49" i="42"/>
  <c r="F53" i="42"/>
  <c r="K57" i="42"/>
  <c r="F61" i="42"/>
  <c r="M65" i="42"/>
  <c r="M73" i="42"/>
  <c r="K77" i="42"/>
  <c r="F81" i="42"/>
  <c r="K85" i="42"/>
  <c r="F89" i="42"/>
  <c r="M93" i="42"/>
  <c r="M101" i="42"/>
  <c r="K109" i="42"/>
  <c r="F113" i="42"/>
  <c r="K24" i="42"/>
  <c r="F28" i="42"/>
  <c r="K32" i="42"/>
  <c r="F36" i="42"/>
  <c r="K40" i="42"/>
  <c r="F44" i="42"/>
  <c r="K48" i="42"/>
  <c r="F52" i="42"/>
  <c r="M56" i="42"/>
  <c r="K64" i="42"/>
  <c r="F68" i="42"/>
  <c r="K72" i="42"/>
  <c r="F76" i="42"/>
  <c r="M80" i="42"/>
  <c r="K88" i="42"/>
  <c r="F92" i="42"/>
  <c r="M100" i="42"/>
  <c r="K104" i="42"/>
  <c r="F108" i="42"/>
  <c r="K112" i="42"/>
  <c r="F116" i="42"/>
  <c r="M116" i="42"/>
  <c r="M19" i="42"/>
  <c r="K23" i="42"/>
  <c r="F27" i="42"/>
  <c r="M27" i="42"/>
  <c r="M35" i="42"/>
  <c r="K47" i="42"/>
  <c r="F51" i="42"/>
  <c r="K55" i="42"/>
  <c r="F59" i="42"/>
  <c r="M63" i="42"/>
  <c r="M71" i="42"/>
  <c r="K75" i="42"/>
  <c r="F79" i="42"/>
  <c r="K83" i="42"/>
  <c r="F87" i="42"/>
  <c r="M91" i="42"/>
  <c r="M99" i="42"/>
  <c r="K111" i="42"/>
  <c r="F115" i="42"/>
  <c r="K14" i="42"/>
  <c r="K7" i="42"/>
  <c r="K16" i="42"/>
  <c r="K7" i="14"/>
  <c r="K10" i="14" s="1"/>
  <c r="H35" i="12" s="1"/>
  <c r="L43" i="25"/>
  <c r="M12" i="42"/>
  <c r="H34" i="12"/>
  <c r="B12" i="12"/>
  <c r="F8" i="42"/>
  <c r="F10" i="42"/>
  <c r="F14" i="42"/>
  <c r="K18" i="42"/>
  <c r="M22" i="42"/>
  <c r="F38" i="42"/>
  <c r="M38" i="42"/>
  <c r="F54" i="42"/>
  <c r="K58" i="42"/>
  <c r="K62" i="42"/>
  <c r="F66" i="42"/>
  <c r="M66" i="42"/>
  <c r="K74" i="42"/>
  <c r="K78" i="42"/>
  <c r="F82" i="42"/>
  <c r="M82" i="42"/>
  <c r="F94" i="42"/>
  <c r="M94" i="42"/>
  <c r="F110" i="42"/>
  <c r="M110" i="42"/>
  <c r="M17" i="42"/>
  <c r="M25" i="42"/>
  <c r="K29" i="42"/>
  <c r="F33" i="42"/>
  <c r="K37" i="42"/>
  <c r="F41" i="42"/>
  <c r="M45" i="42"/>
  <c r="M53" i="42"/>
  <c r="K65" i="42"/>
  <c r="F69" i="42"/>
  <c r="K73" i="42"/>
  <c r="F77" i="42"/>
  <c r="M81" i="42"/>
  <c r="M89" i="42"/>
  <c r="K93" i="42"/>
  <c r="F97" i="42"/>
  <c r="K101" i="42"/>
  <c r="F105" i="42"/>
  <c r="M105" i="42"/>
  <c r="F20" i="42"/>
  <c r="M20" i="42"/>
  <c r="M36" i="42"/>
  <c r="M44" i="42"/>
  <c r="M52" i="42"/>
  <c r="K56" i="42"/>
  <c r="F60" i="42"/>
  <c r="M68" i="42"/>
  <c r="M76" i="42"/>
  <c r="K80" i="42"/>
  <c r="F84" i="42"/>
  <c r="M84" i="42"/>
  <c r="M92" i="42"/>
  <c r="K100" i="42"/>
  <c r="F104" i="42"/>
  <c r="M108" i="42"/>
  <c r="K19" i="42"/>
  <c r="F23" i="42"/>
  <c r="F31" i="42"/>
  <c r="K35" i="42"/>
  <c r="F39" i="42"/>
  <c r="M43" i="42"/>
  <c r="M51" i="42"/>
  <c r="K63" i="42"/>
  <c r="F67" i="42"/>
  <c r="K71" i="42"/>
  <c r="F75" i="42"/>
  <c r="M79" i="42"/>
  <c r="M87" i="42"/>
  <c r="K91" i="42"/>
  <c r="F95" i="42"/>
  <c r="K99" i="42"/>
  <c r="F103" i="42"/>
  <c r="M107" i="42"/>
  <c r="M115" i="42"/>
  <c r="J43" i="25"/>
  <c r="K15" i="42"/>
  <c r="K11" i="42"/>
  <c r="F13" i="42"/>
  <c r="K8" i="42"/>
  <c r="M10" i="42"/>
  <c r="F3" i="42"/>
  <c r="F15" i="42"/>
  <c r="F7" i="42"/>
  <c r="F18" i="42"/>
  <c r="M18" i="42"/>
  <c r="F30" i="42"/>
  <c r="M30" i="42"/>
  <c r="F46" i="42"/>
  <c r="M46" i="42"/>
  <c r="K54" i="42"/>
  <c r="F58" i="42"/>
  <c r="M58" i="42"/>
  <c r="K66" i="42"/>
  <c r="K70" i="42"/>
  <c r="F74" i="42"/>
  <c r="M74" i="42"/>
  <c r="K82" i="42"/>
  <c r="M86" i="42"/>
  <c r="F102" i="42"/>
  <c r="M102" i="42"/>
  <c r="M21" i="42"/>
  <c r="K33" i="42"/>
  <c r="F37" i="42"/>
  <c r="K41" i="42"/>
  <c r="F45" i="42"/>
  <c r="M49" i="42"/>
  <c r="M57" i="42"/>
  <c r="K61" i="42"/>
  <c r="F65" i="42"/>
  <c r="K69" i="42"/>
  <c r="F73" i="42"/>
  <c r="M77" i="42"/>
  <c r="M85" i="42"/>
  <c r="K97" i="42"/>
  <c r="F101" i="42"/>
  <c r="K105" i="42"/>
  <c r="M109" i="42"/>
  <c r="K113" i="42"/>
  <c r="K20" i="42"/>
  <c r="M24" i="42"/>
  <c r="K28" i="42"/>
  <c r="F32" i="42"/>
  <c r="M32" i="42"/>
  <c r="M40" i="42"/>
  <c r="M48" i="42"/>
  <c r="K52" i="42"/>
  <c r="K60" i="42"/>
  <c r="F64" i="42"/>
  <c r="M64" i="42"/>
  <c r="M72" i="42"/>
  <c r="K84" i="42"/>
  <c r="M88" i="42"/>
  <c r="K96" i="42"/>
  <c r="F100" i="42"/>
  <c r="M104" i="42"/>
  <c r="M112" i="42"/>
  <c r="F19" i="42"/>
  <c r="M23" i="42"/>
  <c r="K31" i="42"/>
  <c r="F35" i="42"/>
  <c r="K39" i="42"/>
  <c r="F43" i="42"/>
  <c r="M47" i="42"/>
  <c r="M55" i="42"/>
  <c r="K59" i="42"/>
  <c r="F63" i="42"/>
  <c r="K67" i="42"/>
  <c r="F71" i="42"/>
  <c r="M75" i="42"/>
  <c r="M83" i="42"/>
  <c r="K95" i="42"/>
  <c r="F99" i="42"/>
  <c r="K103" i="42"/>
  <c r="F107" i="42"/>
  <c r="M111" i="42"/>
  <c r="K9" i="42"/>
  <c r="M7" i="14"/>
  <c r="L46" i="25" s="1"/>
  <c r="M15" i="42"/>
  <c r="O84" i="13"/>
  <c r="L15" i="12"/>
  <c r="L17" i="12"/>
  <c r="O36" i="13"/>
  <c r="O32" i="13"/>
  <c r="N31" i="12"/>
  <c r="M17" i="12"/>
  <c r="N7" i="10"/>
  <c r="O15" i="12" s="1"/>
  <c r="O48" i="13"/>
  <c r="O104" i="13"/>
  <c r="O60" i="13"/>
  <c r="O108" i="13"/>
  <c r="J12" i="12"/>
  <c r="J10" i="12"/>
  <c r="L12" i="12"/>
  <c r="L10" i="12"/>
  <c r="O116" i="13"/>
  <c r="O118" i="13"/>
  <c r="O68" i="13"/>
  <c r="O112" i="13"/>
  <c r="O52" i="13"/>
  <c r="O86" i="13"/>
  <c r="O94" i="13"/>
  <c r="O62" i="13"/>
  <c r="O74" i="13"/>
  <c r="M34" i="12"/>
  <c r="O21" i="13"/>
  <c r="O45" i="13"/>
  <c r="O69" i="13"/>
  <c r="O102" i="13"/>
  <c r="P92" i="13"/>
  <c r="O88" i="13"/>
  <c r="O46" i="13"/>
  <c r="P100" i="13"/>
  <c r="O78" i="13"/>
  <c r="O54" i="13"/>
  <c r="O64" i="13"/>
  <c r="O42" i="13"/>
  <c r="O34" i="13"/>
  <c r="G34" i="12"/>
  <c r="O22" i="13"/>
  <c r="O30" i="13"/>
  <c r="O14" i="13"/>
  <c r="P76" i="13"/>
  <c r="P44" i="13"/>
  <c r="O37" i="13"/>
  <c r="O70" i="13"/>
  <c r="O38" i="13"/>
  <c r="O20" i="13"/>
  <c r="I10" i="14"/>
  <c r="H46" i="25"/>
  <c r="I2" i="42"/>
  <c r="H15" i="12"/>
  <c r="H17" i="12"/>
  <c r="G17" i="12"/>
  <c r="G15" i="12"/>
  <c r="G38" i="42"/>
  <c r="G70" i="42"/>
  <c r="G21" i="42"/>
  <c r="G37" i="42"/>
  <c r="G53" i="42"/>
  <c r="O82" i="13"/>
  <c r="P50" i="13"/>
  <c r="D6" i="10"/>
  <c r="B15" i="12"/>
  <c r="H12" i="12"/>
  <c r="H26" i="42"/>
  <c r="G34" i="42"/>
  <c r="G66" i="42"/>
  <c r="I114" i="42"/>
  <c r="G25" i="42"/>
  <c r="I29" i="42"/>
  <c r="G41" i="42"/>
  <c r="I45" i="42"/>
  <c r="G57" i="42"/>
  <c r="I61" i="42"/>
  <c r="G73" i="42"/>
  <c r="I77" i="42"/>
  <c r="G89" i="42"/>
  <c r="I93" i="42"/>
  <c r="G105" i="42"/>
  <c r="G109" i="42"/>
  <c r="I113" i="42"/>
  <c r="G20" i="42"/>
  <c r="G24" i="42"/>
  <c r="I28" i="42"/>
  <c r="G44" i="42"/>
  <c r="G48" i="42"/>
  <c r="I52" i="42"/>
  <c r="I56" i="42"/>
  <c r="G72" i="42"/>
  <c r="H76" i="42"/>
  <c r="I80" i="42"/>
  <c r="G96" i="42"/>
  <c r="G100" i="42"/>
  <c r="I104" i="42"/>
  <c r="I108" i="42"/>
  <c r="H19" i="42"/>
  <c r="I23" i="42"/>
  <c r="G39" i="42"/>
  <c r="I43" i="42"/>
  <c r="G55" i="42"/>
  <c r="I59" i="42"/>
  <c r="G71" i="42"/>
  <c r="I75" i="42"/>
  <c r="G87" i="42"/>
  <c r="I91" i="42"/>
  <c r="G103" i="42"/>
  <c r="I107" i="42"/>
  <c r="G8" i="42"/>
  <c r="G7" i="42"/>
  <c r="I15" i="42"/>
  <c r="I9" i="42"/>
  <c r="G7" i="14"/>
  <c r="G10" i="14" s="1"/>
  <c r="Q8" i="14"/>
  <c r="Q116" i="42" s="1"/>
  <c r="O93" i="13"/>
  <c r="O53" i="13"/>
  <c r="O18" i="13"/>
  <c r="O56" i="13"/>
  <c r="O26" i="13"/>
  <c r="P120" i="13"/>
  <c r="P96" i="13"/>
  <c r="P80" i="13"/>
  <c r="P72" i="13"/>
  <c r="P40" i="13"/>
  <c r="H34" i="42"/>
  <c r="G42" i="42"/>
  <c r="H66" i="42"/>
  <c r="G74" i="42"/>
  <c r="H98" i="42"/>
  <c r="G102" i="42"/>
  <c r="G106" i="42"/>
  <c r="G69" i="42"/>
  <c r="G85" i="42"/>
  <c r="G101" i="42"/>
  <c r="G40" i="42"/>
  <c r="H44" i="42"/>
  <c r="G64" i="42"/>
  <c r="G68" i="42"/>
  <c r="G92" i="42"/>
  <c r="G116" i="42"/>
  <c r="G35" i="42"/>
  <c r="G51" i="42"/>
  <c r="G67" i="42"/>
  <c r="G83" i="42"/>
  <c r="G99" i="42"/>
  <c r="G115" i="42"/>
  <c r="G11" i="42"/>
  <c r="G10" i="42"/>
  <c r="O66" i="13"/>
  <c r="P114" i="13"/>
  <c r="P106" i="13"/>
  <c r="P98" i="13"/>
  <c r="P90" i="13"/>
  <c r="P58" i="13"/>
  <c r="I18" i="42"/>
  <c r="I22" i="42"/>
  <c r="G30" i="42"/>
  <c r="I50" i="42"/>
  <c r="I54" i="42"/>
  <c r="H58" i="42"/>
  <c r="G62" i="42"/>
  <c r="I82" i="42"/>
  <c r="I86" i="42"/>
  <c r="H90" i="42"/>
  <c r="G94" i="42"/>
  <c r="G98" i="42"/>
  <c r="H18" i="42"/>
  <c r="G22" i="42"/>
  <c r="G26" i="42"/>
  <c r="I42" i="42"/>
  <c r="I46" i="42"/>
  <c r="H50" i="42"/>
  <c r="G54" i="42"/>
  <c r="G58" i="42"/>
  <c r="I74" i="42"/>
  <c r="I78" i="42"/>
  <c r="H82" i="42"/>
  <c r="G86" i="42"/>
  <c r="G90" i="42"/>
  <c r="I106" i="42"/>
  <c r="I110" i="42"/>
  <c r="H114" i="42"/>
  <c r="I17" i="42"/>
  <c r="G29" i="42"/>
  <c r="I33" i="42"/>
  <c r="G45" i="42"/>
  <c r="I49" i="42"/>
  <c r="G61" i="42"/>
  <c r="I65" i="42"/>
  <c r="G77" i="42"/>
  <c r="I81" i="42"/>
  <c r="G93" i="42"/>
  <c r="I97" i="42"/>
  <c r="G113" i="42"/>
  <c r="G28" i="42"/>
  <c r="I32" i="42"/>
  <c r="I36" i="42"/>
  <c r="G52" i="42"/>
  <c r="G56" i="42"/>
  <c r="I60" i="42"/>
  <c r="G76" i="42"/>
  <c r="G80" i="42"/>
  <c r="I84" i="42"/>
  <c r="I88" i="42"/>
  <c r="G104" i="42"/>
  <c r="H108" i="42"/>
  <c r="I112" i="42"/>
  <c r="G19" i="42"/>
  <c r="G23" i="42"/>
  <c r="I27" i="42"/>
  <c r="I31" i="42"/>
  <c r="G43" i="42"/>
  <c r="I47" i="42"/>
  <c r="G59" i="42"/>
  <c r="I63" i="42"/>
  <c r="G75" i="42"/>
  <c r="I79" i="42"/>
  <c r="G91" i="42"/>
  <c r="I95" i="42"/>
  <c r="G107" i="42"/>
  <c r="I111" i="42"/>
  <c r="F43" i="25"/>
  <c r="G9" i="42"/>
  <c r="I14" i="42"/>
  <c r="I8" i="42"/>
  <c r="I13" i="42"/>
  <c r="G14" i="42"/>
  <c r="O117" i="13"/>
  <c r="O61" i="13"/>
  <c r="O29" i="13"/>
  <c r="O110" i="13"/>
  <c r="O28" i="13"/>
  <c r="C17" i="12"/>
  <c r="D12" i="12"/>
  <c r="P16" i="13"/>
  <c r="N5" i="13"/>
  <c r="P5" i="13" s="1"/>
  <c r="J7" i="14"/>
  <c r="J115" i="42"/>
  <c r="J107" i="42"/>
  <c r="J99" i="42"/>
  <c r="J91" i="42"/>
  <c r="J83" i="42"/>
  <c r="J75" i="42"/>
  <c r="J67" i="42"/>
  <c r="J59" i="42"/>
  <c r="J51" i="42"/>
  <c r="J43" i="42"/>
  <c r="J35" i="42"/>
  <c r="J27" i="42"/>
  <c r="J19" i="42"/>
  <c r="J116" i="42"/>
  <c r="J108" i="42"/>
  <c r="J100" i="42"/>
  <c r="J92" i="42"/>
  <c r="J84" i="42"/>
  <c r="J76" i="42"/>
  <c r="J68" i="42"/>
  <c r="J60" i="42"/>
  <c r="J52" i="42"/>
  <c r="J44" i="42"/>
  <c r="J36" i="42"/>
  <c r="J28" i="42"/>
  <c r="J20" i="42"/>
  <c r="J113" i="42"/>
  <c r="J105" i="42"/>
  <c r="J111" i="42"/>
  <c r="J103" i="42"/>
  <c r="J95" i="42"/>
  <c r="J87" i="42"/>
  <c r="J79" i="42"/>
  <c r="J71" i="42"/>
  <c r="J63" i="42"/>
  <c r="J55" i="42"/>
  <c r="J47" i="42"/>
  <c r="J39" i="42"/>
  <c r="P103" i="13"/>
  <c r="O103" i="13"/>
  <c r="P79" i="13"/>
  <c r="O79" i="13"/>
  <c r="P55" i="13"/>
  <c r="O55" i="13"/>
  <c r="P39" i="13"/>
  <c r="O39" i="13"/>
  <c r="P15" i="13"/>
  <c r="O15" i="13"/>
  <c r="O121" i="13"/>
  <c r="P121" i="13"/>
  <c r="O113" i="13"/>
  <c r="P113" i="13"/>
  <c r="O105" i="13"/>
  <c r="P105" i="13"/>
  <c r="O97" i="13"/>
  <c r="P97" i="13"/>
  <c r="O89" i="13"/>
  <c r="P89" i="13"/>
  <c r="O81" i="13"/>
  <c r="P81" i="13"/>
  <c r="O73" i="13"/>
  <c r="P73" i="13"/>
  <c r="O65" i="13"/>
  <c r="P65" i="13"/>
  <c r="O57" i="13"/>
  <c r="P57" i="13"/>
  <c r="O49" i="13"/>
  <c r="P49" i="13"/>
  <c r="O41" i="13"/>
  <c r="P41" i="13"/>
  <c r="O33" i="13"/>
  <c r="P33" i="13"/>
  <c r="O25" i="13"/>
  <c r="P25" i="13"/>
  <c r="P17" i="13"/>
  <c r="O17" i="13"/>
  <c r="N7" i="8"/>
  <c r="L6" i="8"/>
  <c r="L18" i="12" s="1"/>
  <c r="I15" i="12"/>
  <c r="I17" i="12"/>
  <c r="E10" i="12"/>
  <c r="E12" i="12"/>
  <c r="I43" i="25"/>
  <c r="J16" i="42"/>
  <c r="J14" i="42"/>
  <c r="H17" i="42"/>
  <c r="L17" i="42"/>
  <c r="J21" i="42"/>
  <c r="H25" i="42"/>
  <c r="L25" i="42"/>
  <c r="J29" i="42"/>
  <c r="H33" i="42"/>
  <c r="L33" i="42"/>
  <c r="J37" i="42"/>
  <c r="H41" i="42"/>
  <c r="L41" i="42"/>
  <c r="J45" i="42"/>
  <c r="H49" i="42"/>
  <c r="L49" i="42"/>
  <c r="J53" i="42"/>
  <c r="H57" i="42"/>
  <c r="L57" i="42"/>
  <c r="J61" i="42"/>
  <c r="H65" i="42"/>
  <c r="L65" i="42"/>
  <c r="J69" i="42"/>
  <c r="H73" i="42"/>
  <c r="L73" i="42"/>
  <c r="J77" i="42"/>
  <c r="H81" i="42"/>
  <c r="L81" i="42"/>
  <c r="J85" i="42"/>
  <c r="H89" i="42"/>
  <c r="L89" i="42"/>
  <c r="J93" i="42"/>
  <c r="H97" i="42"/>
  <c r="L97" i="42"/>
  <c r="J101" i="42"/>
  <c r="H105" i="42"/>
  <c r="L113" i="42"/>
  <c r="H20" i="42"/>
  <c r="L28" i="42"/>
  <c r="J40" i="42"/>
  <c r="H52" i="42"/>
  <c r="L60" i="42"/>
  <c r="J72" i="42"/>
  <c r="H84" i="42"/>
  <c r="L92" i="42"/>
  <c r="J104" i="42"/>
  <c r="H116" i="42"/>
  <c r="H27" i="42"/>
  <c r="L35" i="42"/>
  <c r="L10" i="42"/>
  <c r="O109" i="13"/>
  <c r="O77" i="13"/>
  <c r="P111" i="13"/>
  <c r="O111" i="13"/>
  <c r="P95" i="13"/>
  <c r="O95" i="13"/>
  <c r="P71" i="13"/>
  <c r="O71" i="13"/>
  <c r="P31" i="13"/>
  <c r="O31" i="13"/>
  <c r="F17" i="12"/>
  <c r="F15" i="12"/>
  <c r="C10" i="12"/>
  <c r="C12" i="12"/>
  <c r="J6" i="5"/>
  <c r="J8" i="12" s="1"/>
  <c r="N7" i="5"/>
  <c r="N8" i="12"/>
  <c r="N47" i="25"/>
  <c r="L35" i="12"/>
  <c r="N10" i="14"/>
  <c r="M46" i="25"/>
  <c r="N30" i="12"/>
  <c r="C34" i="12"/>
  <c r="P13" i="13"/>
  <c r="O13" i="13"/>
  <c r="N7" i="13"/>
  <c r="N6" i="13"/>
  <c r="J17" i="12"/>
  <c r="J15" i="12"/>
  <c r="M6" i="7"/>
  <c r="M13" i="12" s="1"/>
  <c r="N13" i="12" s="1"/>
  <c r="N7" i="7"/>
  <c r="I10" i="12"/>
  <c r="I12" i="12"/>
  <c r="L7" i="42"/>
  <c r="J10" i="42"/>
  <c r="J12" i="42"/>
  <c r="J17" i="42"/>
  <c r="H21" i="42"/>
  <c r="L21" i="42"/>
  <c r="J25" i="42"/>
  <c r="H29" i="42"/>
  <c r="L29" i="42"/>
  <c r="J33" i="42"/>
  <c r="H37" i="42"/>
  <c r="L37" i="42"/>
  <c r="J41" i="42"/>
  <c r="H45" i="42"/>
  <c r="L45" i="42"/>
  <c r="J49" i="42"/>
  <c r="H53" i="42"/>
  <c r="L53" i="42"/>
  <c r="J57" i="42"/>
  <c r="H61" i="42"/>
  <c r="L61" i="42"/>
  <c r="J65" i="42"/>
  <c r="H69" i="42"/>
  <c r="L69" i="42"/>
  <c r="J73" i="42"/>
  <c r="H77" i="42"/>
  <c r="L77" i="42"/>
  <c r="J81" i="42"/>
  <c r="H85" i="42"/>
  <c r="L85" i="42"/>
  <c r="J89" i="42"/>
  <c r="H93" i="42"/>
  <c r="L93" i="42"/>
  <c r="J97" i="42"/>
  <c r="H101" i="42"/>
  <c r="L101" i="42"/>
  <c r="J109" i="42"/>
  <c r="J24" i="42"/>
  <c r="H36" i="42"/>
  <c r="L44" i="42"/>
  <c r="J56" i="42"/>
  <c r="H68" i="42"/>
  <c r="L76" i="42"/>
  <c r="J88" i="42"/>
  <c r="L108" i="42"/>
  <c r="L19" i="42"/>
  <c r="J31" i="42"/>
  <c r="I34" i="12"/>
  <c r="E34" i="12"/>
  <c r="L14" i="42"/>
  <c r="L11" i="42"/>
  <c r="L8" i="42"/>
  <c r="L13" i="42"/>
  <c r="L111" i="42"/>
  <c r="L103" i="42"/>
  <c r="L95" i="42"/>
  <c r="L87" i="42"/>
  <c r="L79" i="42"/>
  <c r="L71" i="42"/>
  <c r="L63" i="42"/>
  <c r="L55" i="42"/>
  <c r="L47" i="42"/>
  <c r="L39" i="42"/>
  <c r="L31" i="42"/>
  <c r="L23" i="42"/>
  <c r="L112" i="42"/>
  <c r="L104" i="42"/>
  <c r="L96" i="42"/>
  <c r="L88" i="42"/>
  <c r="L80" i="42"/>
  <c r="L72" i="42"/>
  <c r="L64" i="42"/>
  <c r="L56" i="42"/>
  <c r="L48" i="42"/>
  <c r="L40" i="42"/>
  <c r="L32" i="42"/>
  <c r="L24" i="42"/>
  <c r="L109" i="42"/>
  <c r="L7" i="14"/>
  <c r="L9" i="42"/>
  <c r="L15" i="42"/>
  <c r="K43" i="25"/>
  <c r="L115" i="42"/>
  <c r="L107" i="42"/>
  <c r="L99" i="42"/>
  <c r="L91" i="42"/>
  <c r="L83" i="42"/>
  <c r="L75" i="42"/>
  <c r="L67" i="42"/>
  <c r="L59" i="42"/>
  <c r="L51" i="42"/>
  <c r="L43" i="42"/>
  <c r="H16" i="42"/>
  <c r="H7" i="42"/>
  <c r="G43" i="25"/>
  <c r="H7" i="14"/>
  <c r="H9" i="42"/>
  <c r="H10" i="42"/>
  <c r="H11" i="42"/>
  <c r="H13" i="42"/>
  <c r="H111" i="42"/>
  <c r="H103" i="42"/>
  <c r="H95" i="42"/>
  <c r="H87" i="42"/>
  <c r="H79" i="42"/>
  <c r="H71" i="42"/>
  <c r="H63" i="42"/>
  <c r="H55" i="42"/>
  <c r="H47" i="42"/>
  <c r="H39" i="42"/>
  <c r="H31" i="42"/>
  <c r="H23" i="42"/>
  <c r="H112" i="42"/>
  <c r="H104" i="42"/>
  <c r="H96" i="42"/>
  <c r="H88" i="42"/>
  <c r="H80" i="42"/>
  <c r="H72" i="42"/>
  <c r="H64" i="42"/>
  <c r="H56" i="42"/>
  <c r="H48" i="42"/>
  <c r="H40" i="42"/>
  <c r="H32" i="42"/>
  <c r="H24" i="42"/>
  <c r="H109" i="42"/>
  <c r="H14" i="42"/>
  <c r="H8" i="42"/>
  <c r="H12" i="42"/>
  <c r="H3" i="42"/>
  <c r="H115" i="42"/>
  <c r="H107" i="42"/>
  <c r="H99" i="42"/>
  <c r="H91" i="42"/>
  <c r="H83" i="42"/>
  <c r="H75" i="42"/>
  <c r="H67" i="42"/>
  <c r="H59" i="42"/>
  <c r="H51" i="42"/>
  <c r="H43" i="42"/>
  <c r="P119" i="13"/>
  <c r="O119" i="13"/>
  <c r="P87" i="13"/>
  <c r="O87" i="13"/>
  <c r="P63" i="13"/>
  <c r="O63" i="13"/>
  <c r="P47" i="13"/>
  <c r="O47" i="13"/>
  <c r="P23" i="13"/>
  <c r="O23" i="13"/>
  <c r="M6" i="9"/>
  <c r="N7" i="9"/>
  <c r="N23" i="12"/>
  <c r="F34" i="12"/>
  <c r="P115" i="13"/>
  <c r="O115" i="13"/>
  <c r="P107" i="13"/>
  <c r="O107" i="13"/>
  <c r="P99" i="13"/>
  <c r="O99" i="13"/>
  <c r="P91" i="13"/>
  <c r="O91" i="13"/>
  <c r="P83" i="13"/>
  <c r="O83" i="13"/>
  <c r="P75" i="13"/>
  <c r="O75" i="13"/>
  <c r="P67" i="13"/>
  <c r="O67" i="13"/>
  <c r="P59" i="13"/>
  <c r="O59" i="13"/>
  <c r="P51" i="13"/>
  <c r="O51" i="13"/>
  <c r="P43" i="13"/>
  <c r="O43" i="13"/>
  <c r="P35" i="13"/>
  <c r="O35" i="13"/>
  <c r="P27" i="13"/>
  <c r="O27" i="13"/>
  <c r="O19" i="13"/>
  <c r="P19" i="13"/>
  <c r="E15" i="12"/>
  <c r="E17" i="12"/>
  <c r="G10" i="12"/>
  <c r="J9" i="42"/>
  <c r="J7" i="42"/>
  <c r="J8" i="42"/>
  <c r="J18" i="42"/>
  <c r="H22" i="42"/>
  <c r="L22" i="42"/>
  <c r="J26" i="42"/>
  <c r="H30" i="42"/>
  <c r="L30" i="42"/>
  <c r="J34" i="42"/>
  <c r="H38" i="42"/>
  <c r="L38" i="42"/>
  <c r="J42" i="42"/>
  <c r="H46" i="42"/>
  <c r="L46" i="42"/>
  <c r="J50" i="42"/>
  <c r="H54" i="42"/>
  <c r="L54" i="42"/>
  <c r="J58" i="42"/>
  <c r="H62" i="42"/>
  <c r="L62" i="42"/>
  <c r="J66" i="42"/>
  <c r="H70" i="42"/>
  <c r="L70" i="42"/>
  <c r="J74" i="42"/>
  <c r="H78" i="42"/>
  <c r="L78" i="42"/>
  <c r="J82" i="42"/>
  <c r="H86" i="42"/>
  <c r="L86" i="42"/>
  <c r="J90" i="42"/>
  <c r="H94" i="42"/>
  <c r="L94" i="42"/>
  <c r="J98" i="42"/>
  <c r="H102" i="42"/>
  <c r="L102" i="42"/>
  <c r="J106" i="42"/>
  <c r="H110" i="42"/>
  <c r="L110" i="42"/>
  <c r="J114" i="42"/>
  <c r="H113" i="42"/>
  <c r="H28" i="42"/>
  <c r="L36" i="42"/>
  <c r="J48" i="42"/>
  <c r="H60" i="42"/>
  <c r="L68" i="42"/>
  <c r="J80" i="42"/>
  <c r="H92" i="42"/>
  <c r="L100" i="42"/>
  <c r="J112" i="42"/>
  <c r="J23" i="42"/>
  <c r="H35" i="42"/>
  <c r="J15" i="42"/>
  <c r="N2" i="42"/>
  <c r="H15" i="42"/>
  <c r="O101" i="13"/>
  <c r="J34" i="12"/>
  <c r="B34" i="12"/>
  <c r="F2" i="42"/>
  <c r="M3" i="42"/>
  <c r="M7" i="42"/>
  <c r="M11" i="42"/>
  <c r="M16" i="42"/>
  <c r="P10" i="14"/>
  <c r="G15" i="42"/>
  <c r="F10" i="14"/>
  <c r="M9" i="42"/>
  <c r="L9" i="43" l="1"/>
  <c r="K9" i="43"/>
  <c r="J9" i="43"/>
  <c r="I9" i="43"/>
  <c r="M9" i="43"/>
  <c r="N9" i="43"/>
  <c r="Q70" i="42"/>
  <c r="N6" i="10"/>
  <c r="J16" i="25"/>
  <c r="J17" i="25"/>
  <c r="M10" i="14"/>
  <c r="J35" i="12" s="1"/>
  <c r="F20" i="12"/>
  <c r="Q64" i="42"/>
  <c r="Q95" i="42"/>
  <c r="Q44" i="42"/>
  <c r="Q12" i="42"/>
  <c r="Q107" i="42"/>
  <c r="Q103" i="42"/>
  <c r="Q58" i="42"/>
  <c r="Q48" i="42"/>
  <c r="Q62" i="42"/>
  <c r="Q27" i="42"/>
  <c r="Q21" i="42"/>
  <c r="Q67" i="42"/>
  <c r="Q96" i="42"/>
  <c r="Q31" i="42"/>
  <c r="Q65" i="42"/>
  <c r="Q50" i="42"/>
  <c r="Q7" i="42"/>
  <c r="Q66" i="42"/>
  <c r="Q106" i="42"/>
  <c r="Q59" i="42"/>
  <c r="Q40" i="42"/>
  <c r="Q80" i="42"/>
  <c r="Q42" i="42"/>
  <c r="Q115" i="42"/>
  <c r="Q35" i="42"/>
  <c r="Q37" i="42"/>
  <c r="Q61" i="42"/>
  <c r="Q11" i="42"/>
  <c r="Q76" i="42"/>
  <c r="Q113" i="42"/>
  <c r="Q33" i="42"/>
  <c r="Q9" i="42"/>
  <c r="Q23" i="42"/>
  <c r="Q38" i="42"/>
  <c r="Q20" i="42"/>
  <c r="Q46" i="42"/>
  <c r="Q52" i="42"/>
  <c r="F9" i="43"/>
  <c r="E9" i="43"/>
  <c r="B20" i="12"/>
  <c r="G9" i="43"/>
  <c r="Q55" i="42"/>
  <c r="Q57" i="42"/>
  <c r="Q68" i="42"/>
  <c r="H9" i="43"/>
  <c r="Q15" i="42"/>
  <c r="Q91" i="42"/>
  <c r="Q43" i="42"/>
  <c r="Q88" i="42"/>
  <c r="Q93" i="42"/>
  <c r="Q10" i="42"/>
  <c r="Q85" i="42"/>
  <c r="Q98" i="42"/>
  <c r="Q18" i="42"/>
  <c r="Q39" i="42"/>
  <c r="Q99" i="42"/>
  <c r="Q51" i="42"/>
  <c r="Q112" i="42"/>
  <c r="Q16" i="42"/>
  <c r="Q47" i="42"/>
  <c r="Q109" i="42"/>
  <c r="Q114" i="42"/>
  <c r="Q34" i="42"/>
  <c r="Q63" i="42"/>
  <c r="Q108" i="42"/>
  <c r="Q60" i="42"/>
  <c r="Q14" i="42"/>
  <c r="Q97" i="42"/>
  <c r="Q49" i="42"/>
  <c r="Q104" i="42"/>
  <c r="Q101" i="42"/>
  <c r="Q82" i="42"/>
  <c r="Q79" i="42"/>
  <c r="Q102" i="42"/>
  <c r="Q54" i="42"/>
  <c r="Q111" i="42"/>
  <c r="Q73" i="42"/>
  <c r="Q110" i="42"/>
  <c r="Q105" i="42"/>
  <c r="D9" i="43"/>
  <c r="J46" i="25"/>
  <c r="J47" i="25"/>
  <c r="K2" i="42"/>
  <c r="M2" i="42"/>
  <c r="H20" i="12"/>
  <c r="Q41" i="42"/>
  <c r="K5" i="42"/>
  <c r="L19" i="12"/>
  <c r="L20" i="12"/>
  <c r="N18" i="12"/>
  <c r="N34" i="12"/>
  <c r="D35" i="12"/>
  <c r="F47" i="25"/>
  <c r="G5" i="42"/>
  <c r="H47" i="25"/>
  <c r="I5" i="42"/>
  <c r="F35" i="12"/>
  <c r="Q72" i="42"/>
  <c r="Q3" i="42"/>
  <c r="P43" i="25"/>
  <c r="Q75" i="42"/>
  <c r="Q8" i="42"/>
  <c r="Q53" i="42"/>
  <c r="Q24" i="42"/>
  <c r="Q74" i="42"/>
  <c r="Q71" i="42"/>
  <c r="Q83" i="42"/>
  <c r="Q19" i="42"/>
  <c r="Q77" i="42"/>
  <c r="Q56" i="42"/>
  <c r="Q90" i="42"/>
  <c r="Q87" i="42"/>
  <c r="Q92" i="42"/>
  <c r="Q28" i="42"/>
  <c r="Q81" i="42"/>
  <c r="Q17" i="42"/>
  <c r="Q45" i="42"/>
  <c r="Q13" i="42"/>
  <c r="Q86" i="42"/>
  <c r="Q22" i="42"/>
  <c r="Q29" i="42"/>
  <c r="Q84" i="42"/>
  <c r="Q32" i="42"/>
  <c r="F46" i="25"/>
  <c r="G2" i="42"/>
  <c r="Q78" i="42"/>
  <c r="Q94" i="42"/>
  <c r="Q89" i="42"/>
  <c r="Q69" i="42"/>
  <c r="Q100" i="42"/>
  <c r="Q26" i="42"/>
  <c r="Q30" i="42"/>
  <c r="Q25" i="42"/>
  <c r="Q36" i="42"/>
  <c r="D17" i="12"/>
  <c r="N17" i="12" s="1"/>
  <c r="D15" i="12"/>
  <c r="O5" i="13"/>
  <c r="O35" i="25" s="1"/>
  <c r="N35" i="25"/>
  <c r="I46" i="25"/>
  <c r="J2" i="42"/>
  <c r="J10" i="14"/>
  <c r="L47" i="25"/>
  <c r="M5" i="42"/>
  <c r="O47" i="25"/>
  <c r="P5" i="42"/>
  <c r="M35" i="12"/>
  <c r="N6" i="7"/>
  <c r="O14" i="12"/>
  <c r="H19" i="12" s="1"/>
  <c r="P6" i="13"/>
  <c r="O6" i="13"/>
  <c r="O36" i="25" s="1"/>
  <c r="N36" i="25"/>
  <c r="J20" i="12"/>
  <c r="J19" i="12"/>
  <c r="E20" i="12"/>
  <c r="O18" i="12"/>
  <c r="C19" i="12" s="1"/>
  <c r="N6" i="8"/>
  <c r="L2" i="42"/>
  <c r="K46" i="25"/>
  <c r="P7" i="13"/>
  <c r="O7" i="13"/>
  <c r="O37" i="25" s="1"/>
  <c r="N37" i="25"/>
  <c r="N38" i="25" s="1"/>
  <c r="G46" i="25"/>
  <c r="H2" i="42"/>
  <c r="I19" i="12"/>
  <c r="I20" i="12"/>
  <c r="J24" i="25"/>
  <c r="J20" i="25"/>
  <c r="J19" i="25"/>
  <c r="J18" i="25"/>
  <c r="J22" i="25"/>
  <c r="J21" i="25"/>
  <c r="J23" i="25"/>
  <c r="O8" i="12"/>
  <c r="N6" i="5"/>
  <c r="Q7" i="14"/>
  <c r="H10" i="14"/>
  <c r="O10" i="12"/>
  <c r="N6" i="9"/>
  <c r="M47" i="25"/>
  <c r="K35" i="12"/>
  <c r="N5" i="42"/>
  <c r="C35" i="12"/>
  <c r="E47" i="25"/>
  <c r="F5" i="42"/>
  <c r="G20" i="12"/>
  <c r="M10" i="12"/>
  <c r="N10" i="12" s="1"/>
  <c r="M12" i="12"/>
  <c r="N12" i="12" s="1"/>
  <c r="C20" i="12"/>
  <c r="L10" i="14"/>
  <c r="B19" i="12" l="1"/>
  <c r="D20" i="12"/>
  <c r="D19" i="12"/>
  <c r="N15" i="12"/>
  <c r="N20" i="12" s="1"/>
  <c r="J27" i="25"/>
  <c r="G35" i="12"/>
  <c r="J5" i="42"/>
  <c r="I47" i="25"/>
  <c r="E35" i="12"/>
  <c r="G47" i="25"/>
  <c r="H5" i="42"/>
  <c r="O9" i="43"/>
  <c r="G19" i="12"/>
  <c r="I35" i="12"/>
  <c r="K47" i="25"/>
  <c r="L5" i="42"/>
  <c r="M20" i="12"/>
  <c r="M19" i="12"/>
  <c r="Q2" i="42"/>
  <c r="P46" i="25"/>
  <c r="Q10" i="14"/>
  <c r="J25" i="25"/>
  <c r="F19" i="12"/>
  <c r="E19" i="12"/>
  <c r="H10" i="43" l="1"/>
  <c r="H11" i="43" s="1"/>
  <c r="C10" i="43"/>
  <c r="C11" i="43" s="1"/>
  <c r="N10" i="43"/>
  <c r="N11" i="43" s="1"/>
  <c r="L10" i="43"/>
  <c r="L11" i="43" s="1"/>
  <c r="K10" i="43"/>
  <c r="K11" i="43" s="1"/>
  <c r="M10" i="43"/>
  <c r="M11" i="43" s="1"/>
  <c r="J10" i="43"/>
  <c r="J11" i="43" s="1"/>
  <c r="I10" i="43"/>
  <c r="I11" i="43" s="1"/>
  <c r="G10" i="43"/>
  <c r="G11" i="43" s="1"/>
  <c r="F10" i="43"/>
  <c r="F11" i="43" s="1"/>
  <c r="E10" i="43"/>
  <c r="E11" i="43" s="1"/>
  <c r="D10" i="43"/>
  <c r="D11" i="43" s="1"/>
  <c r="N22" i="25"/>
  <c r="N19" i="25"/>
  <c r="N21" i="25"/>
  <c r="N24" i="25"/>
  <c r="N19" i="12"/>
  <c r="N16" i="25"/>
  <c r="N18" i="25"/>
  <c r="N17" i="25"/>
  <c r="N20" i="25"/>
  <c r="N25" i="25"/>
  <c r="N23" i="25"/>
  <c r="J26" i="25"/>
  <c r="N26" i="25" s="1"/>
  <c r="N27" i="25"/>
  <c r="N35" i="12"/>
  <c r="P47" i="25"/>
  <c r="Q5" i="42"/>
  <c r="O10" i="43" l="1"/>
  <c r="O11" i="43" s="1"/>
</calcChain>
</file>

<file path=xl/sharedStrings.xml><?xml version="1.0" encoding="utf-8"?>
<sst xmlns="http://schemas.openxmlformats.org/spreadsheetml/2006/main" count="693" uniqueCount="277">
  <si>
    <t>Course</t>
  </si>
  <si>
    <t>عدد الطلاب</t>
  </si>
  <si>
    <t>Students #</t>
  </si>
  <si>
    <t>#</t>
  </si>
  <si>
    <t>Prog</t>
  </si>
  <si>
    <t>Class#</t>
  </si>
  <si>
    <t>Mor/Ev</t>
  </si>
  <si>
    <t>Student #</t>
  </si>
  <si>
    <t>Name</t>
  </si>
  <si>
    <t>Max</t>
  </si>
  <si>
    <t>Min</t>
  </si>
  <si>
    <t>Assessment</t>
  </si>
  <si>
    <t>Sem</t>
  </si>
  <si>
    <t>Total Marks</t>
  </si>
  <si>
    <t>Learn Domain</t>
  </si>
  <si>
    <t>Total</t>
  </si>
  <si>
    <t>Max - Marks</t>
  </si>
  <si>
    <t>Student Outcomes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</si>
  <si>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</si>
  <si>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</si>
  <si>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</si>
  <si>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</si>
  <si>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</si>
  <si>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</si>
  <si>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</si>
  <si>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</si>
  <si>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</si>
  <si>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</si>
  <si>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</si>
  <si>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SUM</t>
  </si>
  <si>
    <t>SUMmax</t>
  </si>
  <si>
    <t>#students</t>
  </si>
  <si>
    <t>Average</t>
  </si>
  <si>
    <t>Achivement</t>
  </si>
  <si>
    <t>Score</t>
  </si>
  <si>
    <t>Institute</t>
  </si>
  <si>
    <t>Buraydah Private Colleges</t>
  </si>
  <si>
    <t>Semester</t>
  </si>
  <si>
    <t>College</t>
  </si>
  <si>
    <t>Course Code</t>
  </si>
  <si>
    <t>Course Title</t>
  </si>
  <si>
    <t>(Req-Elec-SelecElec)</t>
  </si>
  <si>
    <t>Credits Hours</t>
  </si>
  <si>
    <t>Level</t>
  </si>
  <si>
    <t>Pre-requisites</t>
  </si>
  <si>
    <t>Co-requisites</t>
  </si>
  <si>
    <t>Contact Hours</t>
  </si>
  <si>
    <t>Lec.</t>
  </si>
  <si>
    <t>Lab.</t>
  </si>
  <si>
    <t>Ex.</t>
  </si>
  <si>
    <t>Assessment Method</t>
  </si>
  <si>
    <t>SOs</t>
  </si>
  <si>
    <t>Ldomain</t>
  </si>
  <si>
    <t>W</t>
  </si>
  <si>
    <t>G</t>
  </si>
  <si>
    <t>midterm exam 1</t>
  </si>
  <si>
    <t>midterm exam 2</t>
  </si>
  <si>
    <t>final exam</t>
  </si>
  <si>
    <t>Department</t>
  </si>
  <si>
    <t>المملكة العربية السعودية</t>
  </si>
  <si>
    <t>Instructor Name</t>
  </si>
  <si>
    <t>وزارة التعليم</t>
  </si>
  <si>
    <t>كليات بريدة الأهلية</t>
  </si>
  <si>
    <t>Course/code</t>
  </si>
  <si>
    <t>Quizzes</t>
  </si>
  <si>
    <t>Projects</t>
  </si>
  <si>
    <t>Reports</t>
  </si>
  <si>
    <t>#Studens</t>
  </si>
  <si>
    <t>Max Marks</t>
  </si>
  <si>
    <t>Active</t>
  </si>
  <si>
    <t>Statistics</t>
  </si>
  <si>
    <t>Mid3</t>
  </si>
  <si>
    <t>SumInTerm</t>
  </si>
  <si>
    <t>Sum</t>
  </si>
  <si>
    <t>Grade(5)</t>
  </si>
  <si>
    <t>Grade</t>
  </si>
  <si>
    <t>TMax</t>
  </si>
  <si>
    <t>#ST-Att</t>
  </si>
  <si>
    <t>Max-Quizzes</t>
  </si>
  <si>
    <t>Max-Projects</t>
  </si>
  <si>
    <t>Max-Reports</t>
  </si>
  <si>
    <t>Max-Sum-All-ST</t>
  </si>
  <si>
    <t>T-Scores</t>
  </si>
  <si>
    <t>Achievement</t>
  </si>
  <si>
    <t>Weaknesses</t>
  </si>
  <si>
    <t>Improvements</t>
  </si>
  <si>
    <t>Signature</t>
  </si>
  <si>
    <t>Marks</t>
  </si>
  <si>
    <t>Dept.</t>
  </si>
  <si>
    <t>Sem.</t>
  </si>
  <si>
    <t>Instructor</t>
  </si>
  <si>
    <t>Reviwer</t>
  </si>
  <si>
    <t>SO Weight (Verify)</t>
  </si>
  <si>
    <t>Detailed Marks and statistics Report</t>
  </si>
  <si>
    <t>Maximum Score for each Assessment</t>
  </si>
  <si>
    <t>Maximum Student Marks in each Assessment</t>
  </si>
  <si>
    <t>Minimum Student Marks in each Assessment</t>
  </si>
  <si>
    <t>Average Student Marks in each Assessment</t>
  </si>
  <si>
    <t>Total St#</t>
  </si>
  <si>
    <t>List of All Students and their Marking for Each Assessment</t>
  </si>
  <si>
    <t>Improvements / Recommendations</t>
  </si>
  <si>
    <t>Type</t>
  </si>
  <si>
    <t>Regular</t>
  </si>
  <si>
    <t>Student List</t>
  </si>
  <si>
    <t>Detailed Assessment for each Student Outcome</t>
  </si>
  <si>
    <t>لتحديد عدد الصفوف</t>
  </si>
  <si>
    <t>Student Outcomes distribution table</t>
  </si>
  <si>
    <t>General Course Information</t>
  </si>
  <si>
    <t>#Absent of Final</t>
  </si>
  <si>
    <t>Mor</t>
  </si>
  <si>
    <t># Attendance for each Assess</t>
  </si>
  <si>
    <t>Student Numbers and attendance for each assessment</t>
  </si>
  <si>
    <t>Max (config)</t>
  </si>
  <si>
    <t>Max all</t>
  </si>
  <si>
    <t>Date</t>
  </si>
  <si>
    <t>Due Date/
Week#</t>
  </si>
  <si>
    <t>-</t>
  </si>
  <si>
    <t>Teaching Strategies</t>
  </si>
  <si>
    <t>mathematics and Basic Science</t>
  </si>
  <si>
    <t>General Education</t>
  </si>
  <si>
    <t>Other</t>
  </si>
  <si>
    <t>Facilities Required</t>
  </si>
  <si>
    <t>Classroom</t>
  </si>
  <si>
    <t>Lab</t>
  </si>
  <si>
    <t>Programs</t>
  </si>
  <si>
    <t>Devices</t>
  </si>
  <si>
    <t>Kits</t>
  </si>
  <si>
    <t>Internet</t>
  </si>
  <si>
    <t>Course Improvement Processes</t>
  </si>
  <si>
    <t>Periodical review of course contents
change teaching strategies.
Updating of the learning resources according to the latest developments in the domain of Computer Engineering</t>
  </si>
  <si>
    <t>Textbook</t>
  </si>
  <si>
    <t>References</t>
  </si>
  <si>
    <t>Other materials</t>
  </si>
  <si>
    <t>Prepared By</t>
  </si>
  <si>
    <t>Revised By</t>
  </si>
  <si>
    <t>Topic</t>
  </si>
  <si>
    <t>Objectives</t>
  </si>
  <si>
    <t>Add/Remove Row</t>
  </si>
  <si>
    <t>Sum All</t>
  </si>
  <si>
    <t>Max from all Sheets (ver)</t>
  </si>
  <si>
    <t>Course Description, Objectives, and Topics</t>
  </si>
  <si>
    <t>Stratgy</t>
  </si>
  <si>
    <t>Applay to SO#</t>
  </si>
  <si>
    <t>Objective#</t>
  </si>
  <si>
    <t>Topics#</t>
  </si>
  <si>
    <t>Facility</t>
  </si>
  <si>
    <t>SO#</t>
  </si>
  <si>
    <t>Topics</t>
  </si>
  <si>
    <t>Process</t>
  </si>
  <si>
    <t>Program(s)</t>
  </si>
  <si>
    <t>Code</t>
  </si>
  <si>
    <t>Student Ac#</t>
  </si>
  <si>
    <t>Class(s)#</t>
  </si>
  <si>
    <t>Even</t>
  </si>
  <si>
    <t>Withdrawn</t>
  </si>
  <si>
    <t>In Progress</t>
  </si>
  <si>
    <t>Denied Entry</t>
  </si>
  <si>
    <t>Incomplete</t>
  </si>
  <si>
    <t>Course #</t>
  </si>
  <si>
    <t>Computer Science</t>
  </si>
  <si>
    <t>Year</t>
  </si>
  <si>
    <t>Week#</t>
  </si>
  <si>
    <t>computer networks uses, layered architecture</t>
  </si>
  <si>
    <t>The Data Link Layer (error control, flow control, LANs, Ethernet)</t>
  </si>
  <si>
    <t>The Network Layer (routing algorithms, IP)</t>
  </si>
  <si>
    <t>Design</t>
  </si>
  <si>
    <t>#CH</t>
  </si>
  <si>
    <t>Contribution to Program Components</t>
  </si>
  <si>
    <t>Markes Range</t>
  </si>
  <si>
    <t>Number of Students</t>
  </si>
  <si>
    <t>Percentage</t>
  </si>
  <si>
    <t>Item</t>
  </si>
  <si>
    <t>F</t>
  </si>
  <si>
    <t>هـ</t>
  </si>
  <si>
    <t>D</t>
  </si>
  <si>
    <t>D+</t>
  </si>
  <si>
    <t>C</t>
  </si>
  <si>
    <t>C+</t>
  </si>
  <si>
    <t>B</t>
  </si>
  <si>
    <t>B+</t>
  </si>
  <si>
    <t>A</t>
  </si>
  <si>
    <t>A+</t>
  </si>
  <si>
    <t>د</t>
  </si>
  <si>
    <t>د+</t>
  </si>
  <si>
    <t>جـ</t>
  </si>
  <si>
    <t>جـ+</t>
  </si>
  <si>
    <t>ب</t>
  </si>
  <si>
    <t>ب+</t>
  </si>
  <si>
    <t>أ</t>
  </si>
  <si>
    <t>أ+</t>
  </si>
  <si>
    <t>Successful students</t>
  </si>
  <si>
    <t>Students who failed</t>
  </si>
  <si>
    <t>20 per class</t>
  </si>
  <si>
    <t>Comments</t>
  </si>
  <si>
    <t>Quick Course Statistical Report</t>
  </si>
  <si>
    <t>Maximum Student Marks</t>
  </si>
  <si>
    <t>Maximum Marks</t>
  </si>
  <si>
    <t>Minimum Student Marks</t>
  </si>
  <si>
    <t>St#</t>
  </si>
  <si>
    <t>Assessments Statistics</t>
  </si>
  <si>
    <t>Student attendance for each assessment</t>
  </si>
  <si>
    <t>InTerm</t>
  </si>
  <si>
    <t>StOutcomes/LD</t>
  </si>
  <si>
    <t>Max-Mid3</t>
  </si>
  <si>
    <t>Max all Assess. (ver)</t>
  </si>
  <si>
    <t>No one submit the Report and I put 3 marks for each one for their attendance</t>
  </si>
  <si>
    <t>All</t>
  </si>
  <si>
    <t>make regular sheet for problems</t>
  </si>
  <si>
    <t>the software tools have not been used regulary</t>
  </si>
  <si>
    <t>Week 12</t>
  </si>
  <si>
    <t>Absent%</t>
  </si>
  <si>
    <t># registered students</t>
  </si>
  <si>
    <t># students did not attend the final exam</t>
  </si>
  <si>
    <t># students withdraw the course</t>
  </si>
  <si>
    <t># dropouts</t>
  </si>
  <si>
    <t>Specify:</t>
  </si>
  <si>
    <t xml:space="preserve">Other: </t>
  </si>
  <si>
    <t>Students' achievement of ILOs</t>
  </si>
  <si>
    <t>Students' evaluation of the course</t>
  </si>
  <si>
    <t>Teacher-Student ratio</t>
  </si>
  <si>
    <t>Verification of students' achievement</t>
  </si>
  <si>
    <t>Improvement processes</t>
  </si>
  <si>
    <t>Evaluation processes</t>
  </si>
  <si>
    <t>Equipment</t>
  </si>
  <si>
    <t>Facilities</t>
  </si>
  <si>
    <t>Textbooks &amp; references</t>
  </si>
  <si>
    <t>Assessment processes</t>
  </si>
  <si>
    <t xml:space="preserve">Teaching strategies </t>
  </si>
  <si>
    <t>ILOs</t>
  </si>
  <si>
    <t>Pre-requisites/ co-requisites</t>
  </si>
  <si>
    <t>Level/year</t>
  </si>
  <si>
    <t>Credit hours</t>
  </si>
  <si>
    <t>Title</t>
  </si>
  <si>
    <t>Improvement</t>
  </si>
  <si>
    <t xml:space="preserve"> Areas</t>
  </si>
  <si>
    <t>course learning outcomes</t>
  </si>
  <si>
    <t>total number of students</t>
  </si>
  <si>
    <t>performance criteria</t>
  </si>
  <si>
    <t>percetage of st. achieved performance criteria</t>
  </si>
  <si>
    <t># st ach. Performance criteria</t>
  </si>
  <si>
    <t>Target</t>
  </si>
  <si>
    <t>quiz 1</t>
  </si>
  <si>
    <t>quiz 2</t>
  </si>
  <si>
    <t>practical exam/OSCE</t>
  </si>
  <si>
    <t>Assignment/Proposal</t>
  </si>
  <si>
    <t>Poster/Presentation</t>
  </si>
  <si>
    <t>College of Dentistry &amp; Pharmacy</t>
  </si>
  <si>
    <t>Req</t>
  </si>
  <si>
    <t>pharmacy</t>
  </si>
  <si>
    <t># denied entry students</t>
  </si>
  <si>
    <t>MAX SCORE</t>
  </si>
  <si>
    <t>Y</t>
  </si>
  <si>
    <t>Pharmaceutical sciences</t>
  </si>
  <si>
    <t>كلية طب الاسنان والصيدلة</t>
  </si>
  <si>
    <t>department</t>
  </si>
  <si>
    <t>instructor name</t>
  </si>
  <si>
    <t>class #</t>
  </si>
  <si>
    <t xml:space="preserve">course </t>
  </si>
  <si>
    <t>v2</t>
  </si>
  <si>
    <t>Dr Md Tanwir Athar</t>
  </si>
  <si>
    <t>Pharmacognosy-I</t>
  </si>
  <si>
    <t>K.1.1</t>
  </si>
  <si>
    <t>K.1.2</t>
  </si>
  <si>
    <t>K.2.1</t>
  </si>
  <si>
    <t>K2.2</t>
  </si>
  <si>
    <t>S.3.1</t>
  </si>
  <si>
    <t>S.7.1</t>
  </si>
  <si>
    <t>PHG301</t>
  </si>
  <si>
    <t> SADEEM FAHAD S ALSEDRANI</t>
  </si>
  <si>
    <t> ROBA RABAH H ALHARBI</t>
  </si>
  <si>
    <t> NUJUD KHAIFAH A ALAMMAR</t>
  </si>
  <si>
    <t> RINA KHALID S ALABDULRAHIM</t>
  </si>
  <si>
    <t> HANEEN HAJJI E ALHARBI</t>
  </si>
  <si>
    <t> REEM MANSWER A AJEB</t>
  </si>
  <si>
    <t> JULIEN KHALID M ALKHALDI</t>
  </si>
  <si>
    <t> SAFFANAH ABDULAZIZ A ALZAYDI</t>
  </si>
  <si>
    <t> SHAIMA BASSAM M ALALI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</si>
</sst>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2060401]B2d\ mmmm\ yyyy;@"/>
    <numFmt numFmtId="166" formatCode="[$-1170401]B2dd\ mmmm\,\ yyyy;@"/>
    <numFmt numFmtId="167" formatCode="0.0%"/>
    <numFmt numFmtId="168" formatCode="[$-1010000]d/m/yyyy;@"/>
    <numFmt numFmtId="169" formatCode="[$-409]mmmm\ d\,\ yyyy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1"/>
      <color rgb="FF000000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4"/>
      <name val="Arial"/>
      <family val="2"/>
    </font>
    <font>
      <sz val="24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0" fontId="5" fillId="0" borderId="0"/>
    <xf numFmtId="0" fontId="1" fillId="0" borderId="0"/>
    <xf numFmtId="165" fontId="16" fillId="0" borderId="0"/>
    <xf numFmtId="166" fontId="16" fillId="0" borderId="0"/>
    <xf numFmtId="0" fontId="16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20" fillId="0" borderId="0"/>
    <xf numFmtId="9" fontId="16" fillId="0" borderId="0" applyFont="0" applyFill="0" applyBorder="0" applyAlignment="0" applyProtection="0"/>
  </cellStyleXfs>
  <cellXfs count="523">
    <xf numFmtId="0" fontId="0" fillId="0" borderId="0" xfId="0"/>
    <xf numFmtId="0" fontId="7" fillId="0" borderId="0" xfId="0" applyFont="1" applyAlignment="1" applyProtection="1">
      <alignment horizontal="center" vertical="center"/>
      <protection locked="0"/>
    </xf>
    <xf numFmtId="0" fontId="7" fillId="4" borderId="14" xfId="0" applyFont="1" applyFill="1" applyBorder="1" applyAlignment="1">
      <alignment horizontal="center" vertical="center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/>
    </xf>
    <xf numFmtId="164" fontId="7" fillId="2" borderId="15" xfId="0" applyNumberFormat="1" applyFont="1" applyFill="1" applyBorder="1" applyAlignment="1">
      <alignment horizontal="center" vertical="center"/>
    </xf>
    <xf numFmtId="164" fontId="7" fillId="2" borderId="16" xfId="0" applyNumberFormat="1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9" fontId="7" fillId="5" borderId="22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0" borderId="10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164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164" fontId="7" fillId="2" borderId="9" xfId="0" applyNumberFormat="1" applyFont="1" applyFill="1" applyBorder="1" applyAlignment="1">
      <alignment horizontal="center" vertical="center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/>
    <xf numFmtId="0" fontId="7" fillId="0" borderId="0" xfId="0" applyFont="1" applyAlignment="1" applyProtection="1">
      <alignment horizontal="center"/>
      <protection locked="0"/>
    </xf>
    <xf numFmtId="0" fontId="7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3" fillId="0" borderId="24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8" xfId="0" applyFont="1" applyBorder="1" applyAlignment="1" applyProtection="1">
      <alignment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center" vertical="center"/>
      <protection locked="0"/>
    </xf>
    <xf numFmtId="0" fontId="7" fillId="7" borderId="42" xfId="0" applyFont="1" applyFill="1" applyBorder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7" fillId="7" borderId="26" xfId="0" applyFont="1" applyFill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2" borderId="34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 wrapText="1"/>
    </xf>
    <xf numFmtId="0" fontId="7" fillId="2" borderId="52" xfId="0" applyFont="1" applyFill="1" applyBorder="1" applyAlignment="1">
      <alignment horizontal="center" vertical="center" wrapText="1"/>
    </xf>
    <xf numFmtId="0" fontId="7" fillId="2" borderId="53" xfId="0" applyFont="1" applyFill="1" applyBorder="1" applyAlignment="1">
      <alignment horizontal="center" vertical="center" wrapText="1"/>
    </xf>
    <xf numFmtId="0" fontId="6" fillId="0" borderId="59" xfId="0" applyFont="1" applyBorder="1"/>
    <xf numFmtId="0" fontId="6" fillId="0" borderId="60" xfId="0" applyFont="1" applyBorder="1"/>
    <xf numFmtId="0" fontId="6" fillId="0" borderId="61" xfId="0" applyFont="1" applyBorder="1"/>
    <xf numFmtId="0" fontId="12" fillId="0" borderId="0" xfId="0" applyFont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164" fontId="7" fillId="0" borderId="1" xfId="0" applyNumberFormat="1" applyFont="1" applyBorder="1" applyAlignment="1">
      <alignment horizontal="center" vertical="center"/>
    </xf>
    <xf numFmtId="0" fontId="9" fillId="0" borderId="31" xfId="0" applyFont="1" applyBorder="1" applyAlignment="1" applyProtection="1">
      <alignment horizontal="center" vertical="center"/>
      <protection locked="0"/>
    </xf>
    <xf numFmtId="0" fontId="9" fillId="0" borderId="58" xfId="0" applyFont="1" applyBorder="1" applyAlignment="1" applyProtection="1">
      <alignment horizontal="center" vertical="center"/>
      <protection locked="0"/>
    </xf>
    <xf numFmtId="0" fontId="9" fillId="0" borderId="56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0" fontId="7" fillId="9" borderId="40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164" fontId="7" fillId="0" borderId="41" xfId="0" applyNumberFormat="1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1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164" fontId="7" fillId="0" borderId="10" xfId="0" applyNumberFormat="1" applyFont="1" applyBorder="1" applyAlignment="1" applyProtection="1">
      <alignment horizontal="center" vertical="center"/>
      <protection locked="0"/>
    </xf>
    <xf numFmtId="164" fontId="7" fillId="0" borderId="11" xfId="0" applyNumberFormat="1" applyFont="1" applyBorder="1" applyAlignment="1" applyProtection="1">
      <alignment horizontal="center" vertical="center"/>
      <protection locked="0"/>
    </xf>
    <xf numFmtId="164" fontId="7" fillId="0" borderId="16" xfId="0" applyNumberFormat="1" applyFont="1" applyBorder="1" applyAlignment="1" applyProtection="1">
      <alignment horizontal="center" vertical="center"/>
      <protection locked="0"/>
    </xf>
    <xf numFmtId="164" fontId="7" fillId="0" borderId="17" xfId="0" applyNumberFormat="1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164" fontId="7" fillId="2" borderId="9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2" borderId="36" xfId="0" applyFont="1" applyFill="1" applyBorder="1" applyAlignment="1">
      <alignment horizontal="center" vertical="center" wrapText="1"/>
    </xf>
    <xf numFmtId="0" fontId="7" fillId="2" borderId="70" xfId="0" applyFont="1" applyFill="1" applyBorder="1" applyAlignment="1">
      <alignment horizontal="center" vertical="center" wrapText="1"/>
    </xf>
    <xf numFmtId="0" fontId="9" fillId="0" borderId="55" xfId="0" applyFont="1" applyBorder="1" applyAlignment="1" applyProtection="1">
      <alignment horizontal="center" vertical="center"/>
      <protection locked="0"/>
    </xf>
    <xf numFmtId="0" fontId="7" fillId="0" borderId="56" xfId="0" applyFont="1" applyBorder="1" applyAlignment="1" applyProtection="1">
      <alignment horizontal="center" vertical="center"/>
      <protection locked="0"/>
    </xf>
    <xf numFmtId="0" fontId="7" fillId="2" borderId="66" xfId="0" applyFont="1" applyFill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7" fillId="2" borderId="33" xfId="0" applyFont="1" applyFill="1" applyBorder="1" applyAlignment="1" applyProtection="1">
      <alignment horizontal="center" vertical="center"/>
      <protection locked="0"/>
    </xf>
    <xf numFmtId="0" fontId="7" fillId="2" borderId="34" xfId="0" applyFont="1" applyFill="1" applyBorder="1" applyAlignment="1" applyProtection="1">
      <alignment horizontal="center" vertical="center"/>
      <protection locked="0"/>
    </xf>
    <xf numFmtId="0" fontId="7" fillId="2" borderId="43" xfId="0" applyFont="1" applyFill="1" applyBorder="1" applyAlignment="1" applyProtection="1">
      <alignment horizontal="center" vertical="center"/>
      <protection locked="0"/>
    </xf>
    <xf numFmtId="0" fontId="3" fillId="9" borderId="32" xfId="0" applyFont="1" applyFill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" fontId="7" fillId="2" borderId="1" xfId="0" applyNumberFormat="1" applyFont="1" applyFill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4" fontId="7" fillId="2" borderId="44" xfId="0" applyNumberFormat="1" applyFont="1" applyFill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164" fontId="7" fillId="0" borderId="37" xfId="0" applyNumberFormat="1" applyFont="1" applyBorder="1" applyAlignment="1">
      <alignment horizontal="center" vertical="center"/>
    </xf>
    <xf numFmtId="164" fontId="7" fillId="0" borderId="38" xfId="0" applyNumberFormat="1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164" fontId="7" fillId="0" borderId="39" xfId="0" applyNumberFormat="1" applyFont="1" applyBorder="1" applyAlignment="1">
      <alignment horizontal="center" vertical="center"/>
    </xf>
    <xf numFmtId="164" fontId="7" fillId="0" borderId="71" xfId="0" applyNumberFormat="1" applyFont="1" applyBorder="1" applyAlignment="1">
      <alignment horizontal="center" vertical="center"/>
    </xf>
    <xf numFmtId="9" fontId="7" fillId="0" borderId="37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164" fontId="7" fillId="2" borderId="17" xfId="0" applyNumberFormat="1" applyFont="1" applyFill="1" applyBorder="1" applyAlignment="1">
      <alignment horizontal="center" vertical="center"/>
    </xf>
    <xf numFmtId="164" fontId="7" fillId="2" borderId="20" xfId="0" applyNumberFormat="1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center" wrapText="1"/>
    </xf>
    <xf numFmtId="0" fontId="7" fillId="0" borderId="6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38" xfId="0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164" fontId="7" fillId="2" borderId="37" xfId="0" applyNumberFormat="1" applyFont="1" applyFill="1" applyBorder="1" applyAlignment="1">
      <alignment horizontal="center" vertical="center"/>
    </xf>
    <xf numFmtId="164" fontId="7" fillId="2" borderId="38" xfId="0" applyNumberFormat="1" applyFont="1" applyFill="1" applyBorder="1" applyAlignment="1">
      <alignment horizontal="center" vertical="center"/>
    </xf>
    <xf numFmtId="0" fontId="7" fillId="0" borderId="43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/>
      <protection locked="0"/>
    </xf>
    <xf numFmtId="0" fontId="7" fillId="0" borderId="34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86" xfId="0" applyFont="1" applyBorder="1" applyAlignment="1">
      <alignment horizontal="center" vertical="center"/>
    </xf>
    <xf numFmtId="0" fontId="7" fillId="0" borderId="87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2" borderId="41" xfId="0" applyFont="1" applyFill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2" borderId="80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/>
    </xf>
    <xf numFmtId="167" fontId="13" fillId="2" borderId="1" xfId="0" applyNumberFormat="1" applyFont="1" applyFill="1" applyBorder="1" applyAlignment="1">
      <alignment vertical="center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vertical="center" wrapText="1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7" fillId="2" borderId="33" xfId="0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65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7" fillId="0" borderId="42" xfId="0" applyFont="1" applyBorder="1" applyAlignment="1">
      <alignment vertical="center"/>
    </xf>
    <xf numFmtId="0" fontId="17" fillId="0" borderId="26" xfId="0" applyFont="1" applyBorder="1" applyAlignment="1">
      <alignment vertical="center"/>
    </xf>
    <xf numFmtId="0" fontId="17" fillId="0" borderId="51" xfId="0" applyFont="1" applyBorder="1" applyAlignment="1">
      <alignment vertical="center"/>
    </xf>
    <xf numFmtId="0" fontId="17" fillId="0" borderId="28" xfId="0" applyFont="1" applyBorder="1" applyAlignment="1">
      <alignment vertical="center"/>
    </xf>
    <xf numFmtId="0" fontId="17" fillId="0" borderId="29" xfId="0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0" borderId="2" xfId="0" applyFont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7" fillId="4" borderId="3" xfId="0" applyFont="1" applyFill="1" applyBorder="1" applyAlignment="1">
      <alignment horizontal="center" vertical="center"/>
    </xf>
    <xf numFmtId="0" fontId="7" fillId="0" borderId="43" xfId="0" applyFont="1" applyBorder="1" applyAlignment="1">
      <alignment horizontal="center" vertical="center"/>
    </xf>
    <xf numFmtId="0" fontId="7" fillId="0" borderId="42" xfId="0" applyFont="1" applyBorder="1" applyAlignment="1">
      <alignment vertical="center"/>
    </xf>
    <xf numFmtId="0" fontId="7" fillId="0" borderId="26" xfId="0" applyFont="1" applyBorder="1" applyAlignment="1">
      <alignment horizontal="center" vertical="center"/>
    </xf>
    <xf numFmtId="0" fontId="7" fillId="0" borderId="42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>
      <alignment horizontal="center" vertical="center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97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72" xfId="0" applyFont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76" xfId="0" applyFont="1" applyBorder="1" applyAlignment="1" applyProtection="1">
      <alignment vertical="center" wrapText="1"/>
      <protection locked="0"/>
    </xf>
    <xf numFmtId="0" fontId="3" fillId="0" borderId="77" xfId="0" applyFont="1" applyBorder="1" applyAlignment="1" applyProtection="1">
      <alignment vertical="center" wrapText="1"/>
      <protection locked="0"/>
    </xf>
    <xf numFmtId="0" fontId="3" fillId="0" borderId="78" xfId="0" applyFont="1" applyBorder="1" applyAlignment="1" applyProtection="1">
      <alignment vertical="center" wrapText="1"/>
      <protection locked="0"/>
    </xf>
    <xf numFmtId="0" fontId="3" fillId="0" borderId="79" xfId="0" applyFont="1" applyBorder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9" fontId="7" fillId="6" borderId="30" xfId="0" applyNumberFormat="1" applyFont="1" applyFill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9" fontId="7" fillId="0" borderId="30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75" xfId="0" applyFont="1" applyBorder="1" applyAlignment="1" applyProtection="1">
      <alignment vertical="center" wrapText="1"/>
      <protection locked="0"/>
    </xf>
    <xf numFmtId="9" fontId="7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7" fillId="0" borderId="1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>
      <alignment horizontal="left" vertical="center" wrapText="1" readingOrder="1"/>
    </xf>
    <xf numFmtId="0" fontId="8" fillId="0" borderId="1" xfId="0" applyFont="1" applyBorder="1" applyAlignment="1">
      <alignment horizontal="left" vertical="center" readingOrder="1"/>
    </xf>
    <xf numFmtId="0" fontId="8" fillId="12" borderId="1" xfId="0" applyFont="1" applyFill="1" applyBorder="1" applyAlignment="1">
      <alignment horizontal="center" vertical="center" wrapText="1" readingOrder="1"/>
    </xf>
    <xf numFmtId="0" fontId="8" fillId="12" borderId="1" xfId="0" applyFont="1" applyFill="1" applyBorder="1" applyAlignment="1">
      <alignment horizontal="center" vertical="center" readingOrder="1"/>
    </xf>
    <xf numFmtId="0" fontId="9" fillId="0" borderId="34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99" xfId="0" applyFont="1" applyBorder="1" applyAlignment="1" applyProtection="1">
      <alignment horizontal="center"/>
      <protection locked="0"/>
    </xf>
    <xf numFmtId="0" fontId="7" fillId="3" borderId="8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7" fillId="0" borderId="69" xfId="0" applyFont="1" applyBorder="1" applyAlignment="1" applyProtection="1">
      <alignment horizontal="center" vertical="center"/>
      <protection locked="0"/>
    </xf>
    <xf numFmtId="0" fontId="6" fillId="6" borderId="1" xfId="0" applyFont="1" applyFill="1" applyBorder="1"/>
    <xf numFmtId="0" fontId="0" fillId="6" borderId="1" xfId="0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right" vertical="center"/>
    </xf>
    <xf numFmtId="2" fontId="7" fillId="0" borderId="1" xfId="0" applyNumberFormat="1" applyFont="1" applyBorder="1" applyAlignment="1" applyProtection="1">
      <alignment horizontal="center" vertical="center"/>
      <protection locked="0"/>
    </xf>
    <xf numFmtId="9" fontId="0" fillId="0" borderId="0" xfId="15" applyFont="1"/>
    <xf numFmtId="0" fontId="7" fillId="0" borderId="36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69" xfId="0" applyFont="1" applyBorder="1" applyAlignment="1">
      <alignment horizontal="center" vertical="center" wrapText="1"/>
    </xf>
    <xf numFmtId="0" fontId="7" fillId="8" borderId="37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3" fillId="2" borderId="32" xfId="0" applyFont="1" applyFill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0" fillId="0" borderId="0" xfId="0" applyProtection="1">
      <protection locked="0"/>
    </xf>
    <xf numFmtId="0" fontId="25" fillId="13" borderId="54" xfId="0" applyFont="1" applyFill="1" applyBorder="1" applyAlignment="1" applyProtection="1">
      <alignment horizontal="center" vertical="center" wrapText="1"/>
      <protection locked="0"/>
    </xf>
    <xf numFmtId="0" fontId="25" fillId="13" borderId="1" xfId="0" applyFont="1" applyFill="1" applyBorder="1" applyAlignment="1" applyProtection="1">
      <alignment horizontal="center" vertical="center"/>
      <protection locked="0"/>
    </xf>
    <xf numFmtId="0" fontId="25" fillId="13" borderId="46" xfId="0" applyFont="1" applyFill="1" applyBorder="1" applyAlignment="1" applyProtection="1">
      <alignment horizontal="center" vertical="center" wrapText="1"/>
      <protection locked="0"/>
    </xf>
    <xf numFmtId="9" fontId="25" fillId="14" borderId="1" xfId="15" applyFont="1" applyFill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9" fontId="25" fillId="16" borderId="1" xfId="15" applyFont="1" applyFill="1" applyBorder="1" applyAlignment="1" applyProtection="1">
      <alignment horizontal="center" vertical="center"/>
      <protection locked="0"/>
    </xf>
    <xf numFmtId="9" fontId="22" fillId="16" borderId="16" xfId="15" applyFont="1" applyFill="1" applyBorder="1" applyAlignment="1" applyProtection="1">
      <alignment horizontal="center" vertical="center"/>
      <protection locked="0"/>
    </xf>
    <xf numFmtId="0" fontId="25" fillId="13" borderId="47" xfId="0" applyFont="1" applyFill="1" applyBorder="1" applyAlignment="1" applyProtection="1">
      <alignment horizontal="center" vertical="center"/>
      <protection locked="0"/>
    </xf>
    <xf numFmtId="9" fontId="25" fillId="15" borderId="1" xfId="15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11" fillId="0" borderId="73" xfId="0" applyFont="1" applyBorder="1" applyAlignment="1" applyProtection="1">
      <alignment horizontal="center" vertical="center" wrapText="1"/>
      <protection locked="0"/>
    </xf>
    <xf numFmtId="0" fontId="11" fillId="0" borderId="74" xfId="0" applyFont="1" applyBorder="1" applyAlignment="1" applyProtection="1">
      <alignment horizontal="center" vertical="center" wrapText="1"/>
      <protection locked="0"/>
    </xf>
    <xf numFmtId="0" fontId="11" fillId="0" borderId="75" xfId="0" applyFont="1" applyBorder="1" applyAlignment="1" applyProtection="1">
      <alignment horizontal="center" vertical="center" wrapText="1"/>
      <protection locked="0"/>
    </xf>
    <xf numFmtId="0" fontId="11" fillId="0" borderId="72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76" xfId="0" applyFont="1" applyBorder="1" applyAlignment="1" applyProtection="1">
      <alignment horizontal="center" vertical="center" wrapText="1"/>
      <protection locked="0"/>
    </xf>
    <xf numFmtId="0" fontId="11" fillId="0" borderId="77" xfId="0" applyFont="1" applyBorder="1" applyAlignment="1" applyProtection="1">
      <alignment horizontal="center" vertical="center" wrapText="1"/>
      <protection locked="0"/>
    </xf>
    <xf numFmtId="0" fontId="11" fillId="0" borderId="78" xfId="0" applyFont="1" applyBorder="1" applyAlignment="1" applyProtection="1">
      <alignment horizontal="center" vertical="center" wrapText="1"/>
      <protection locked="0"/>
    </xf>
    <xf numFmtId="0" fontId="11" fillId="0" borderId="79" xfId="0" applyFont="1" applyBorder="1" applyAlignment="1" applyProtection="1">
      <alignment horizontal="center" vertical="center" wrapText="1"/>
      <protection locked="0"/>
    </xf>
    <xf numFmtId="0" fontId="7" fillId="0" borderId="100" xfId="0" applyFont="1" applyBorder="1" applyAlignment="1" applyProtection="1">
      <alignment horizontal="center" vertical="center"/>
      <protection locked="0"/>
    </xf>
    <xf numFmtId="0" fontId="7" fillId="0" borderId="101" xfId="0" applyFont="1" applyBorder="1" applyAlignment="1" applyProtection="1">
      <alignment horizontal="center" vertical="center"/>
      <protection locked="0"/>
    </xf>
    <xf numFmtId="0" fontId="7" fillId="0" borderId="102" xfId="0" applyFont="1" applyBorder="1" applyAlignment="1" applyProtection="1">
      <alignment horizontal="center" vertical="center"/>
      <protection locked="0"/>
    </xf>
    <xf numFmtId="0" fontId="7" fillId="8" borderId="36" xfId="0" applyFont="1" applyFill="1" applyBorder="1" applyAlignment="1" applyProtection="1">
      <alignment horizontal="center" vertical="center"/>
      <protection locked="0"/>
    </xf>
    <xf numFmtId="0" fontId="7" fillId="8" borderId="37" xfId="0" applyFont="1" applyFill="1" applyBorder="1" applyAlignment="1" applyProtection="1">
      <alignment horizontal="center" vertical="center"/>
      <protection locked="0"/>
    </xf>
    <xf numFmtId="0" fontId="7" fillId="8" borderId="38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41" xfId="0" applyFont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>
      <alignment horizontal="center" vertical="center"/>
    </xf>
    <xf numFmtId="0" fontId="7" fillId="4" borderId="103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0" borderId="35" xfId="0" applyFont="1" applyBorder="1" applyAlignment="1" applyProtection="1">
      <alignment horizontal="center" vertical="center"/>
      <protection locked="0"/>
    </xf>
    <xf numFmtId="0" fontId="7" fillId="0" borderId="49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44" xfId="0" applyFont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4" fontId="7" fillId="0" borderId="23" xfId="0" applyNumberFormat="1" applyFont="1" applyBorder="1" applyAlignment="1" applyProtection="1">
      <alignment horizontal="center" vertical="center" wrapText="1"/>
      <protection locked="0"/>
    </xf>
    <xf numFmtId="14" fontId="7" fillId="0" borderId="88" xfId="0" applyNumberFormat="1" applyFont="1" applyBorder="1" applyAlignment="1" applyProtection="1">
      <alignment horizontal="center" vertical="center" wrapText="1"/>
      <protection locked="0"/>
    </xf>
    <xf numFmtId="14" fontId="7" fillId="0" borderId="68" xfId="0" applyNumberFormat="1" applyFont="1" applyBorder="1" applyAlignment="1" applyProtection="1">
      <alignment horizontal="center" vertical="center" wrapText="1"/>
      <protection locked="0"/>
    </xf>
    <xf numFmtId="14" fontId="7" fillId="0" borderId="11" xfId="0" applyNumberFormat="1" applyFont="1" applyBorder="1" applyAlignment="1" applyProtection="1">
      <alignment horizontal="center" vertical="center" wrapText="1"/>
      <protection locked="0"/>
    </xf>
    <xf numFmtId="14" fontId="7" fillId="0" borderId="84" xfId="0" applyNumberFormat="1" applyFont="1" applyBorder="1" applyAlignment="1" applyProtection="1">
      <alignment horizontal="center" vertical="center" wrapText="1"/>
      <protection locked="0"/>
    </xf>
    <xf numFmtId="14" fontId="7" fillId="0" borderId="10" xfId="0" applyNumberFormat="1" applyFont="1" applyBorder="1" applyAlignment="1" applyProtection="1">
      <alignment horizontal="center" vertical="center" wrapText="1"/>
      <protection locked="0"/>
    </xf>
    <xf numFmtId="0" fontId="7" fillId="2" borderId="17" xfId="0" applyFont="1" applyFill="1" applyBorder="1" applyAlignment="1">
      <alignment horizontal="center" vertical="center" wrapText="1"/>
    </xf>
    <xf numFmtId="0" fontId="7" fillId="2" borderId="82" xfId="0" applyFont="1" applyFill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" fontId="7" fillId="0" borderId="54" xfId="0" applyNumberFormat="1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82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82" xfId="0" applyFont="1" applyBorder="1" applyAlignment="1">
      <alignment horizontal="center" vertical="center" wrapText="1"/>
    </xf>
    <xf numFmtId="0" fontId="9" fillId="11" borderId="54" xfId="0" applyFont="1" applyFill="1" applyBorder="1" applyAlignment="1">
      <alignment horizontal="center" vertical="center" wrapText="1"/>
    </xf>
    <xf numFmtId="0" fontId="9" fillId="11" borderId="55" xfId="0" applyFont="1" applyFill="1" applyBorder="1" applyAlignment="1">
      <alignment horizontal="center" vertical="center" wrapText="1"/>
    </xf>
    <xf numFmtId="0" fontId="9" fillId="11" borderId="5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89" xfId="0" applyFont="1" applyFill="1" applyBorder="1" applyAlignment="1">
      <alignment horizontal="center" vertical="center" wrapText="1"/>
    </xf>
    <xf numFmtId="0" fontId="7" fillId="2" borderId="88" xfId="0" applyFont="1" applyFill="1" applyBorder="1" applyAlignment="1">
      <alignment horizontal="center" vertical="center" wrapText="1"/>
    </xf>
    <xf numFmtId="0" fontId="7" fillId="2" borderId="68" xfId="0" applyFont="1" applyFill="1" applyBorder="1" applyAlignment="1">
      <alignment horizontal="center" vertical="center" wrapText="1"/>
    </xf>
    <xf numFmtId="0" fontId="7" fillId="2" borderId="90" xfId="0" applyFont="1" applyFill="1" applyBorder="1" applyAlignment="1">
      <alignment horizontal="center" vertical="center" wrapText="1"/>
    </xf>
    <xf numFmtId="0" fontId="7" fillId="2" borderId="84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93" xfId="0" applyFont="1" applyBorder="1" applyAlignment="1" applyProtection="1">
      <alignment horizontal="center" vertical="center"/>
      <protection locked="0"/>
    </xf>
    <xf numFmtId="0" fontId="9" fillId="0" borderId="55" xfId="0" applyFont="1" applyBorder="1" applyAlignment="1" applyProtection="1">
      <alignment horizontal="center" vertical="center"/>
      <protection locked="0"/>
    </xf>
    <xf numFmtId="0" fontId="9" fillId="0" borderId="58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horizontal="center" vertical="center"/>
      <protection locked="0"/>
    </xf>
    <xf numFmtId="0" fontId="10" fillId="0" borderId="32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26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1" fillId="0" borderId="29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center" vertical="center"/>
      <protection locked="0"/>
    </xf>
    <xf numFmtId="0" fontId="3" fillId="0" borderId="28" xfId="0" applyFont="1" applyBorder="1" applyAlignment="1" applyProtection="1">
      <alignment horizontal="center" vertical="center"/>
      <protection locked="0"/>
    </xf>
    <xf numFmtId="0" fontId="7" fillId="2" borderId="41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/>
      <protection locked="0"/>
    </xf>
    <xf numFmtId="0" fontId="15" fillId="0" borderId="65" xfId="0" applyFont="1" applyBorder="1" applyAlignment="1" applyProtection="1">
      <alignment horizontal="center" vertical="center"/>
      <protection locked="0"/>
    </xf>
    <xf numFmtId="0" fontId="15" fillId="0" borderId="66" xfId="0" applyFont="1" applyBorder="1" applyAlignment="1" applyProtection="1">
      <alignment horizontal="center" vertical="center"/>
      <protection locked="0"/>
    </xf>
    <xf numFmtId="0" fontId="7" fillId="2" borderId="31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9" fillId="0" borderId="1" xfId="0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>
      <alignment horizontal="center" vertical="center" wrapText="1"/>
    </xf>
    <xf numFmtId="0" fontId="7" fillId="0" borderId="83" xfId="0" applyFont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 wrapText="1"/>
    </xf>
    <xf numFmtId="0" fontId="7" fillId="2" borderId="47" xfId="0" applyFont="1" applyFill="1" applyBorder="1" applyAlignment="1">
      <alignment horizontal="center" vertical="center" wrapText="1"/>
    </xf>
    <xf numFmtId="0" fontId="6" fillId="0" borderId="48" xfId="0" applyFont="1" applyBorder="1"/>
    <xf numFmtId="0" fontId="7" fillId="0" borderId="24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 wrapText="1"/>
    </xf>
    <xf numFmtId="0" fontId="7" fillId="2" borderId="57" xfId="0" applyFont="1" applyFill="1" applyBorder="1" applyAlignment="1">
      <alignment horizontal="center" vertical="center" wrapText="1"/>
    </xf>
    <xf numFmtId="0" fontId="7" fillId="2" borderId="65" xfId="0" applyFont="1" applyFill="1" applyBorder="1" applyAlignment="1">
      <alignment horizontal="center" vertical="center" wrapText="1"/>
    </xf>
    <xf numFmtId="0" fontId="7" fillId="2" borderId="66" xfId="0" applyFont="1" applyFill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168" fontId="7" fillId="0" borderId="1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14" fontId="7" fillId="0" borderId="23" xfId="0" applyNumberFormat="1" applyFont="1" applyBorder="1" applyAlignment="1">
      <alignment horizontal="center" vertical="center"/>
    </xf>
    <xf numFmtId="14" fontId="7" fillId="0" borderId="68" xfId="0" applyNumberFormat="1" applyFont="1" applyBorder="1" applyAlignment="1">
      <alignment horizontal="center" vertical="center"/>
    </xf>
    <xf numFmtId="14" fontId="7" fillId="0" borderId="11" xfId="0" applyNumberFormat="1" applyFont="1" applyBorder="1" applyAlignment="1">
      <alignment horizontal="center" vertical="center"/>
    </xf>
    <xf numFmtId="14" fontId="7" fillId="0" borderId="10" xfId="0" applyNumberFormat="1" applyFont="1" applyBorder="1" applyAlignment="1">
      <alignment horizontal="center" vertical="center"/>
    </xf>
    <xf numFmtId="0" fontId="7" fillId="0" borderId="73" xfId="0" applyFont="1" applyBorder="1" applyAlignment="1" applyProtection="1">
      <alignment horizontal="center" vertical="center" wrapText="1"/>
      <protection locked="0"/>
    </xf>
    <xf numFmtId="0" fontId="7" fillId="0" borderId="74" xfId="0" applyFont="1" applyBorder="1" applyAlignment="1" applyProtection="1">
      <alignment horizontal="center" vertical="center" wrapText="1"/>
      <protection locked="0"/>
    </xf>
    <xf numFmtId="0" fontId="7" fillId="0" borderId="9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3" xfId="0" applyFont="1" applyBorder="1" applyAlignment="1" applyProtection="1">
      <alignment horizontal="center" vertical="center"/>
      <protection locked="0"/>
    </xf>
    <xf numFmtId="0" fontId="7" fillId="0" borderId="74" xfId="0" applyFont="1" applyBorder="1" applyAlignment="1" applyProtection="1">
      <alignment horizontal="center" vertical="center"/>
      <protection locked="0"/>
    </xf>
    <xf numFmtId="0" fontId="7" fillId="0" borderId="75" xfId="0" applyFont="1" applyBorder="1" applyAlignment="1" applyProtection="1">
      <alignment horizontal="center" vertical="center"/>
      <protection locked="0"/>
    </xf>
    <xf numFmtId="0" fontId="7" fillId="2" borderId="94" xfId="0" applyFont="1" applyFill="1" applyBorder="1" applyAlignment="1" applyProtection="1">
      <alignment horizontal="center" vertical="center" wrapText="1"/>
      <protection locked="0"/>
    </xf>
    <xf numFmtId="0" fontId="7" fillId="2" borderId="95" xfId="0" applyFont="1" applyFill="1" applyBorder="1" applyAlignment="1" applyProtection="1">
      <alignment horizontal="center" vertical="center" wrapText="1"/>
      <protection locked="0"/>
    </xf>
    <xf numFmtId="0" fontId="7" fillId="2" borderId="96" xfId="0" applyFont="1" applyFill="1" applyBorder="1" applyAlignment="1" applyProtection="1">
      <alignment horizontal="center" vertical="center" wrapText="1"/>
      <protection locked="0"/>
    </xf>
    <xf numFmtId="0" fontId="7" fillId="0" borderId="98" xfId="0" applyFont="1" applyBorder="1" applyAlignment="1" applyProtection="1">
      <alignment horizontal="center" vertical="center" wrapText="1"/>
      <protection locked="0"/>
    </xf>
    <xf numFmtId="0" fontId="7" fillId="0" borderId="98" xfId="0" applyFont="1" applyBorder="1" applyAlignment="1" applyProtection="1">
      <alignment horizontal="center" vertical="center"/>
      <protection locked="0"/>
    </xf>
    <xf numFmtId="14" fontId="7" fillId="0" borderId="1" xfId="0" applyNumberFormat="1" applyFont="1" applyBorder="1" applyAlignment="1" applyProtection="1">
      <alignment horizontal="center" vertical="center" wrapText="1"/>
      <protection locked="0"/>
    </xf>
    <xf numFmtId="169" fontId="7" fillId="0" borderId="1" xfId="0" applyNumberFormat="1" applyFont="1" applyBorder="1" applyAlignment="1" applyProtection="1">
      <alignment horizontal="center" vertical="center" wrapText="1"/>
      <protection locked="0"/>
    </xf>
    <xf numFmtId="0" fontId="7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vertical="center" readingOrder="1"/>
    </xf>
    <xf numFmtId="0" fontId="8" fillId="0" borderId="39" xfId="0" applyFont="1" applyBorder="1" applyAlignment="1">
      <alignment horizontal="center" vertical="center" readingOrder="1"/>
    </xf>
    <xf numFmtId="0" fontId="8" fillId="0" borderId="2" xfId="0" applyFont="1" applyBorder="1" applyAlignment="1">
      <alignment horizontal="center" vertical="center" readingOrder="1"/>
    </xf>
    <xf numFmtId="0" fontId="10" fillId="0" borderId="32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65" xfId="0" applyFont="1" applyBorder="1" applyAlignment="1">
      <alignment horizontal="center" vertical="center"/>
    </xf>
    <xf numFmtId="0" fontId="7" fillId="0" borderId="66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7" fillId="0" borderId="86" xfId="0" applyFont="1" applyBorder="1" applyAlignment="1">
      <alignment horizontal="center" vertical="center" wrapText="1"/>
    </xf>
    <xf numFmtId="0" fontId="7" fillId="0" borderId="8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13" fillId="0" borderId="51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13" fillId="0" borderId="57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8" borderId="33" xfId="0" applyFont="1" applyFill="1" applyBorder="1" applyAlignment="1" applyProtection="1">
      <alignment horizontal="center" vertical="center"/>
      <protection locked="0"/>
    </xf>
    <xf numFmtId="0" fontId="7" fillId="8" borderId="1" xfId="0" applyFont="1" applyFill="1" applyBorder="1" applyAlignment="1" applyProtection="1">
      <alignment horizontal="center" vertical="center"/>
      <protection locked="0"/>
    </xf>
    <xf numFmtId="0" fontId="7" fillId="8" borderId="41" xfId="0" applyFont="1" applyFill="1" applyBorder="1" applyAlignment="1" applyProtection="1">
      <alignment horizontal="center" vertical="center"/>
      <protection locked="0"/>
    </xf>
    <xf numFmtId="0" fontId="7" fillId="2" borderId="33" xfId="0" applyFont="1" applyFill="1" applyBorder="1" applyAlignment="1" applyProtection="1">
      <alignment horizontal="center" vertical="center" wrapText="1"/>
      <protection locked="0"/>
    </xf>
    <xf numFmtId="0" fontId="7" fillId="2" borderId="41" xfId="0" applyFont="1" applyFill="1" applyBorder="1" applyAlignment="1" applyProtection="1">
      <alignment horizontal="center" vertical="center" wrapText="1"/>
      <protection locked="0"/>
    </xf>
    <xf numFmtId="0" fontId="7" fillId="0" borderId="34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7" fillId="0" borderId="68" xfId="0" applyFont="1" applyBorder="1" applyAlignment="1" applyProtection="1">
      <alignment horizontal="center" vertical="center" wrapText="1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91" xfId="0" applyFont="1" applyBorder="1" applyAlignment="1" applyProtection="1">
      <alignment horizontal="center" vertical="center" wrapText="1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10" fillId="0" borderId="40" xfId="0" applyFont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 wrapText="1"/>
      <protection locked="0"/>
    </xf>
    <xf numFmtId="0" fontId="10" fillId="0" borderId="45" xfId="0" applyFont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20" xfId="0" applyBorder="1"/>
    <xf numFmtId="0" fontId="0" fillId="0" borderId="16" xfId="0" applyBorder="1"/>
    <xf numFmtId="9" fontId="3" fillId="0" borderId="17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16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0" borderId="36" xfId="0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 applyProtection="1">
      <alignment horizontal="center" vertical="center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0" fillId="0" borderId="38" xfId="0" applyFont="1" applyBorder="1" applyAlignment="1" applyProtection="1">
      <alignment horizontal="center" vertical="center" wrapText="1"/>
      <protection locked="0"/>
    </xf>
    <xf numFmtId="0" fontId="10" fillId="10" borderId="69" xfId="0" applyFont="1" applyFill="1" applyBorder="1" applyAlignment="1" applyProtection="1">
      <alignment horizontal="center" vertical="center"/>
      <protection locked="0"/>
    </xf>
    <xf numFmtId="0" fontId="10" fillId="10" borderId="37" xfId="0" applyFont="1" applyFill="1" applyBorder="1" applyAlignment="1" applyProtection="1">
      <alignment horizontal="center" vertical="center"/>
      <protection locked="0"/>
    </xf>
    <xf numFmtId="0" fontId="10" fillId="10" borderId="38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/>
    </xf>
    <xf numFmtId="0" fontId="3" fillId="10" borderId="88" xfId="0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17" fillId="0" borderId="66" xfId="0" applyFont="1" applyBorder="1" applyAlignment="1">
      <alignment horizontal="center" vertical="center"/>
    </xf>
    <xf numFmtId="0" fontId="23" fillId="2" borderId="31" xfId="0" applyFont="1" applyFill="1" applyBorder="1" applyAlignment="1">
      <alignment horizontal="center" vertical="center" wrapText="1"/>
    </xf>
    <xf numFmtId="0" fontId="23" fillId="2" borderId="32" xfId="0" applyFont="1" applyFill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23" fillId="2" borderId="93" xfId="0" applyFont="1" applyFill="1" applyBorder="1" applyAlignment="1">
      <alignment horizontal="center" vertical="center" wrapText="1"/>
    </xf>
    <xf numFmtId="0" fontId="23" fillId="2" borderId="56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89" xfId="0" applyFont="1" applyBorder="1" applyAlignment="1">
      <alignment horizontal="center" vertical="center"/>
    </xf>
    <xf numFmtId="0" fontId="7" fillId="0" borderId="88" xfId="0" applyFont="1" applyBorder="1" applyAlignment="1">
      <alignment horizontal="center" vertical="center"/>
    </xf>
    <xf numFmtId="0" fontId="7" fillId="0" borderId="68" xfId="0" applyFont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65" xfId="0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horizontal="center" vertical="center"/>
    </xf>
    <xf numFmtId="0" fontId="13" fillId="2" borderId="65" xfId="0" applyFont="1" applyFill="1" applyBorder="1" applyAlignment="1">
      <alignment horizontal="center" vertical="center"/>
    </xf>
    <xf numFmtId="0" fontId="13" fillId="2" borderId="66" xfId="0" applyFont="1" applyFill="1" applyBorder="1" applyAlignment="1">
      <alignment horizontal="center" vertical="center"/>
    </xf>
    <xf numFmtId="0" fontId="7" fillId="2" borderId="30" xfId="0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horizontal="center" vertical="center"/>
    </xf>
  </cellXfs>
  <cellStyles count="16">
    <cellStyle name="Normal" xfId="0" builtinId="0"/>
    <cellStyle name="Normal 10" xfId="10" xr:uid="{00000000-0005-0000-0000-000001000000}"/>
    <cellStyle name="Normal 11" xfId="11" xr:uid="{00000000-0005-0000-0000-000002000000}"/>
    <cellStyle name="Normal 12" xfId="12" xr:uid="{00000000-0005-0000-0000-000003000000}"/>
    <cellStyle name="Normal 13" xfId="14" xr:uid="{00000000-0005-0000-0000-000004000000}"/>
    <cellStyle name="Normal 2" xfId="1" xr:uid="{00000000-0005-0000-0000-000005000000}"/>
    <cellStyle name="Normal 2 2" xfId="4" xr:uid="{00000000-0005-0000-0000-000006000000}"/>
    <cellStyle name="Normal 2 3" xfId="13" xr:uid="{00000000-0005-0000-0000-000007000000}"/>
    <cellStyle name="Normal 3" xfId="2" xr:uid="{00000000-0005-0000-0000-000008000000}"/>
    <cellStyle name="Normal 4" xfId="3" xr:uid="{00000000-0005-0000-0000-000009000000}"/>
    <cellStyle name="Normal 5" xfId="5" xr:uid="{00000000-0005-0000-0000-00000A000000}"/>
    <cellStyle name="Normal 6" xfId="6" xr:uid="{00000000-0005-0000-0000-00000B000000}"/>
    <cellStyle name="Normal 7" xfId="7" xr:uid="{00000000-0005-0000-0000-00000C000000}"/>
    <cellStyle name="Normal 8" xfId="8" xr:uid="{00000000-0005-0000-0000-00000D000000}"/>
    <cellStyle name="Normal 9" xfId="9" xr:uid="{00000000-0005-0000-0000-00000E000000}"/>
    <cellStyle name="Percent" xfId="15" builtinId="5"/>
  </cellStyles>
  <dxfs count="40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23240429423378E-2"/>
          <c:y val="0.14035066762158729"/>
          <c:w val="0.96353519141153254"/>
          <c:h val="0.59428079378483756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'Stat-Rep'!$G$16:$G$24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29E-407F-B7C6-CEA5561F1021}"/>
            </c:ext>
          </c:extLst>
        </c:ser>
        <c:ser>
          <c:idx val="1"/>
          <c:order val="1"/>
          <c:spPr>
            <a:solidFill>
              <a:sysClr val="windowText" lastClr="000000">
                <a:lumMod val="65000"/>
                <a:lumOff val="35000"/>
                <a:alpha val="42000"/>
              </a:sysClr>
            </a:solidFill>
            <a:ln>
              <a:solidFill>
                <a:sysClr val="windowText" lastClr="000000">
                  <a:alpha val="98000"/>
                </a:sysClr>
              </a:solidFill>
            </a:ln>
          </c:spPr>
          <c:invertIfNegative val="0"/>
          <c:dLbls>
            <c:dLbl>
              <c:idx val="3"/>
              <c:layout>
                <c:manualLayout>
                  <c:x val="0"/>
                  <c:y val="-2.8797510108938162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9E-407F-B7C6-CEA5561F1021}"/>
                </c:ext>
              </c:extLst>
            </c:dLbl>
            <c:dLbl>
              <c:idx val="4"/>
              <c:layout>
                <c:manualLayout>
                  <c:x val="4.9723433873014719E-3"/>
                  <c:y val="-4.7456489620657523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9E-407F-B7C6-CEA5561F1021}"/>
                </c:ext>
              </c:extLst>
            </c:dLbl>
            <c:dLbl>
              <c:idx val="5"/>
              <c:layout>
                <c:manualLayout>
                  <c:x val="1.1602439096330649E-2"/>
                  <c:y val="-3.4882148812474888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9E-407F-B7C6-CEA5561F1021}"/>
                </c:ext>
              </c:extLst>
            </c:dLbl>
            <c:dLbl>
              <c:idx val="6"/>
              <c:layout>
                <c:manualLayout>
                  <c:x val="-1.6574912994757891E-3"/>
                  <c:y val="-9.532292946629975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9E-407F-B7C6-CEA5561F1021}"/>
                </c:ext>
              </c:extLst>
            </c:dLbl>
            <c:spPr>
              <a:noFill/>
              <a:ln>
                <a:noFill/>
              </a:ln>
            </c:spPr>
            <c:txPr>
              <a:bodyPr rot="-5400000" vert="horz"/>
              <a:lstStyle/>
              <a:p>
                <a:pPr>
                  <a:defRPr lang="en-US" sz="160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'Stat-Rep'!$N$16:$N$24</c:f>
              <c:numCache>
                <c:formatCode>0%</c:formatCode>
                <c:ptCount val="9"/>
                <c:pt idx="0">
                  <c:v>0</c:v>
                </c:pt>
                <c:pt idx="1">
                  <c:v>0.1111111111111111</c:v>
                </c:pt>
                <c:pt idx="2">
                  <c:v>0</c:v>
                </c:pt>
                <c:pt idx="3">
                  <c:v>0.1111111111111111</c:v>
                </c:pt>
                <c:pt idx="4">
                  <c:v>0.1111111111111111</c:v>
                </c:pt>
                <c:pt idx="5">
                  <c:v>0.33333333333333331</c:v>
                </c:pt>
                <c:pt idx="6">
                  <c:v>0.22222222222222221</c:v>
                </c:pt>
                <c:pt idx="7">
                  <c:v>0.1111111111111111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9E-407F-B7C6-CEA5561F102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'Stat-Rep'!$O$16:$O$24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6-729E-407F-B7C6-CEA5561F1021}"/>
            </c:ext>
          </c:extLst>
        </c:ser>
        <c:ser>
          <c:idx val="4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'Stat-Rep'!$P$16:$P$24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7-729E-407F-B7C6-CEA5561F10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serLines>
          <c:spPr>
            <a:ln>
              <a:solidFill>
                <a:sysClr val="windowText" lastClr="000000"/>
              </a:solidFill>
              <a:prstDash val="dashDot"/>
            </a:ln>
          </c:spPr>
        </c:serLines>
        <c:axId val="165286656"/>
        <c:axId val="165288192"/>
      </c:barChart>
      <c:catAx>
        <c:axId val="1652866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288192"/>
        <c:crosses val="autoZero"/>
        <c:auto val="1"/>
        <c:lblAlgn val="ctr"/>
        <c:lblOffset val="100"/>
        <c:noMultiLvlLbl val="0"/>
      </c:catAx>
      <c:valAx>
        <c:axId val="16528819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28665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21" l="0.70000000000000062" r="0.70000000000000062" t="0.7500000000000102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'Stat-Rep'!$A$42:$C$42</c:f>
              <c:strCache>
                <c:ptCount val="3"/>
                <c:pt idx="0">
                  <c:v>StOutcomes/LD</c:v>
                </c:pt>
              </c:strCache>
            </c:strRef>
          </c:tx>
          <c:spPr>
            <a:solidFill>
              <a:srgbClr val="4F81BD">
                <a:lumMod val="20000"/>
                <a:lumOff val="80000"/>
              </a:srgbClr>
            </a:solidFill>
            <a:ln w="12700" cap="rnd">
              <a:solidFill>
                <a:sysClr val="windowText" lastClr="000000"/>
              </a:solidFill>
            </a:ln>
          </c:spPr>
          <c:invertIfNegative val="0"/>
          <c:dPt>
            <c:idx val="11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 w="12700" cap="rnd"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9E74-4425-B694-95E6BA1F87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lang="en-US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'Stat-Rep'!$D$42:$O$42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'Stat-Rep'!$D$47:$I$47</c:f>
              <c:numCache>
                <c:formatCode>0%</c:formatCode>
                <c:ptCount val="6"/>
                <c:pt idx="0">
                  <c:v>0.62222222222222223</c:v>
                </c:pt>
                <c:pt idx="1">
                  <c:v>0.75111111111111106</c:v>
                </c:pt>
                <c:pt idx="2">
                  <c:v>0.76296296296296295</c:v>
                </c:pt>
                <c:pt idx="3">
                  <c:v>0.88888888888888884</c:v>
                </c:pt>
                <c:pt idx="4">
                  <c:v>0.91111111111111109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4-4425-B694-95E6BA1F87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9"/>
        <c:overlap val="100"/>
        <c:axId val="165303808"/>
        <c:axId val="165305344"/>
      </c:barChart>
      <c:catAx>
        <c:axId val="16530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305344"/>
        <c:crosses val="autoZero"/>
        <c:auto val="1"/>
        <c:lblAlgn val="ctr"/>
        <c:lblOffset val="100"/>
        <c:noMultiLvlLbl val="0"/>
      </c:catAx>
      <c:valAx>
        <c:axId val="16530534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3038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AssessAchive</c:v>
          </c:tx>
          <c:spPr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B858-4342-9C17-4514826B1458}"/>
              </c:ext>
            </c:extLst>
          </c:dPt>
          <c:dPt>
            <c:idx val="8"/>
            <c:invertIfNegative val="0"/>
            <c:bubble3D val="0"/>
            <c:spPr>
              <a:solidFill>
                <a:srgbClr val="C0504D">
                  <a:lumMod val="75000"/>
                </a:srgb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858-4342-9C17-4514826B1458}"/>
              </c:ext>
            </c:extLst>
          </c:dPt>
          <c:dLbls>
            <c:dLbl>
              <c:idx val="7"/>
              <c:layout>
                <c:manualLayout>
                  <c:x val="-1.3830412139747721E-3"/>
                  <c:y val="-0.3052574271894674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8-4342-9C17-4514826B1458}"/>
                </c:ext>
              </c:extLst>
            </c:dLbl>
            <c:dLbl>
              <c:idx val="8"/>
              <c:layout>
                <c:manualLayout>
                  <c:x val="1.6459706379574827E-3"/>
                  <c:y val="-0.30425064503532434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58-4342-9C17-4514826B14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ctr" anchorCtr="1"/>
              <a:lstStyle/>
              <a:p>
                <a:pPr>
                  <a:defRPr lang="en-US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'Stat-Rep'!$E$33:$N$33</c:f>
              <c:strCache>
                <c:ptCount val="10"/>
                <c:pt idx="0">
                  <c:v>midterm exam 1</c:v>
                </c:pt>
                <c:pt idx="1">
                  <c:v>midterm exam 2</c:v>
                </c:pt>
                <c:pt idx="2">
                  <c:v>quiz 1</c:v>
                </c:pt>
                <c:pt idx="3">
                  <c:v>Assignment/Proposal</c:v>
                </c:pt>
                <c:pt idx="4">
                  <c:v>quiz 2</c:v>
                </c:pt>
                <c:pt idx="5">
                  <c:v>Poster/Presentation</c:v>
                </c:pt>
                <c:pt idx="6">
                  <c:v>practical exam/OSCE</c:v>
                </c:pt>
                <c:pt idx="7">
                  <c:v>InTerm</c:v>
                </c:pt>
                <c:pt idx="8">
                  <c:v>final exam</c:v>
                </c:pt>
                <c:pt idx="9">
                  <c:v>All</c:v>
                </c:pt>
              </c:strCache>
            </c:strRef>
          </c:cat>
          <c:val>
            <c:numRef>
              <c:f>'Stat-Rep'!$E$38:$N$38</c:f>
              <c:numCache>
                <c:formatCode>0%</c:formatCode>
                <c:ptCount val="10"/>
                <c:pt idx="0">
                  <c:v>0.8222222222222223</c:v>
                </c:pt>
                <c:pt idx="1">
                  <c:v>0</c:v>
                </c:pt>
                <c:pt idx="2">
                  <c:v>0.66666666666666674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0.95555555555555549</c:v>
                </c:pt>
                <c:pt idx="7">
                  <c:v>0.87777777777777777</c:v>
                </c:pt>
                <c:pt idx="8">
                  <c:v>0.69777777777777772</c:v>
                </c:pt>
                <c:pt idx="9">
                  <c:v>0.78777777777777769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8-4342-9C17-4514826B14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3"/>
        <c:overlap val="100"/>
        <c:axId val="165882880"/>
        <c:axId val="165884672"/>
      </c:barChart>
      <c:catAx>
        <c:axId val="165882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884672"/>
        <c:crosses val="autoZero"/>
        <c:auto val="1"/>
        <c:lblAlgn val="ctr"/>
        <c:lblOffset val="100"/>
        <c:noMultiLvlLbl val="0"/>
      </c:catAx>
      <c:valAx>
        <c:axId val="16588467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882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Criteria</a:t>
            </a:r>
            <a:r>
              <a:rPr lang="en-US" sz="3200" baseline="0"/>
              <a:t> For Success</a:t>
            </a:r>
            <a:endParaRPr lang="en-US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'criteia of success'!$B$11</c:f>
              <c:strCache>
                <c:ptCount val="1"/>
                <c:pt idx="0">
                  <c:v>percetage of st. achieved performance criteria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success'!$C$11:$N$11</c:f>
              <c:numCache>
                <c:formatCode>0%</c:formatCode>
                <c:ptCount val="12"/>
                <c:pt idx="0">
                  <c:v>0.77777777777777779</c:v>
                </c:pt>
                <c:pt idx="1">
                  <c:v>1</c:v>
                </c:pt>
                <c:pt idx="2">
                  <c:v>0.88888888888888884</c:v>
                </c:pt>
                <c:pt idx="3">
                  <c:v>0.88888888888888884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F-4DC5-9D61-192C452244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65838208"/>
        <c:axId val="165844096"/>
      </c:barChart>
      <c:lineChart>
        <c:grouping val="percentStacked"/>
        <c:varyColors val="0"/>
        <c:ser>
          <c:idx val="2"/>
          <c:order val="1"/>
          <c:tx>
            <c:strRef>
              <c:f>'criteia of success'!$B$12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success'!$C$12:$N$12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8F-4DC5-9D61-192C4522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38208"/>
        <c:axId val="165844096"/>
      </c:lineChart>
      <c:catAx>
        <c:axId val="16583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rtl="0"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44096"/>
        <c:crosses val="autoZero"/>
        <c:auto val="1"/>
        <c:lblAlgn val="ctr"/>
        <c:lblOffset val="100"/>
        <c:noMultiLvlLbl val="0"/>
      </c:catAx>
      <c:valAx>
        <c:axId val="165844096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165838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16" max="30000" page="10" val="8"/>
</file>

<file path=xl/ctrlProps/ctrlProp12.xml><?xml version="1.0" encoding="utf-8"?>
<formControlPr xmlns="http://schemas.microsoft.com/office/spreadsheetml/2009/9/main" objectType="Spin" dx="16" max="30000" page="10" val="4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209550</xdr:colOff>
          <xdr:row>2</xdr:row>
          <xdr:rowOff>0</xdr:rowOff>
        </xdr:from>
        <xdr:to>
          <xdr:col>24</xdr:col>
          <xdr:colOff>209550</xdr:colOff>
          <xdr:row>2</xdr:row>
          <xdr:rowOff>323850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This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0</xdr:row>
          <xdr:rowOff>123825</xdr:rowOff>
        </xdr:from>
        <xdr:to>
          <xdr:col>24</xdr:col>
          <xdr:colOff>190500</xdr:colOff>
          <xdr:row>1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All open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266700</xdr:colOff>
          <xdr:row>15</xdr:row>
          <xdr:rowOff>38100</xdr:rowOff>
        </xdr:from>
        <xdr:to>
          <xdr:col>22</xdr:col>
          <xdr:colOff>190500</xdr:colOff>
          <xdr:row>17</xdr:row>
          <xdr:rowOff>76200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342900</xdr:colOff>
          <xdr:row>21</xdr:row>
          <xdr:rowOff>38100</xdr:rowOff>
        </xdr:from>
        <xdr:to>
          <xdr:col>22</xdr:col>
          <xdr:colOff>266700</xdr:colOff>
          <xdr:row>23</xdr:row>
          <xdr:rowOff>76200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246530</xdr:colOff>
      <xdr:row>0</xdr:row>
      <xdr:rowOff>112060</xdr:rowOff>
    </xdr:from>
    <xdr:to>
      <xdr:col>12</xdr:col>
      <xdr:colOff>44824</xdr:colOff>
      <xdr:row>3</xdr:row>
      <xdr:rowOff>61245</xdr:rowOff>
    </xdr:to>
    <xdr:pic>
      <xdr:nvPicPr>
        <xdr:cNvPr id="3" name="صورة 1">
          <a:extLst>
            <a:ext uri="{FF2B5EF4-FFF2-40B4-BE49-F238E27FC236}">
              <a16:creationId xmlns:a16="http://schemas.microsoft.com/office/drawing/2014/main" id="{44723C12-86EC-28CA-C28F-6B6D9D52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7883" y="112060"/>
          <a:ext cx="2420470" cy="9913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85725</xdr:rowOff>
        </xdr:from>
        <xdr:to>
          <xdr:col>11</xdr:col>
          <xdr:colOff>495300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Fix #Students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57150</xdr:rowOff>
        </xdr:from>
        <xdr:to>
          <xdr:col>12</xdr:col>
          <xdr:colOff>609600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180975</xdr:rowOff>
    </xdr:from>
    <xdr:to>
      <xdr:col>10</xdr:col>
      <xdr:colOff>161925</xdr:colOff>
      <xdr:row>3</xdr:row>
      <xdr:rowOff>104775</xdr:rowOff>
    </xdr:to>
    <xdr:pic>
      <xdr:nvPicPr>
        <xdr:cNvPr id="3" name="صورة 5" descr="شعار كليات بريدة الجديد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0150" y="180975"/>
          <a:ext cx="2143125" cy="9239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276225</xdr:rowOff>
        </xdr:from>
        <xdr:to>
          <xdr:col>17</xdr:col>
          <xdr:colOff>295275</xdr:colOff>
          <xdr:row>2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0</xdr:row>
          <xdr:rowOff>200025</xdr:rowOff>
        </xdr:from>
        <xdr:to>
          <xdr:col>19</xdr:col>
          <xdr:colOff>447675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0</xdr:row>
          <xdr:rowOff>76200</xdr:rowOff>
        </xdr:from>
        <xdr:to>
          <xdr:col>16</xdr:col>
          <xdr:colOff>2000250</xdr:colOff>
          <xdr:row>0</xdr:row>
          <xdr:rowOff>381000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212913</xdr:colOff>
      <xdr:row>27</xdr:row>
      <xdr:rowOff>33617</xdr:rowOff>
    </xdr:from>
    <xdr:to>
      <xdr:col>16</xdr:col>
      <xdr:colOff>36020</xdr:colOff>
      <xdr:row>30</xdr:row>
      <xdr:rowOff>322729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134473</xdr:colOff>
      <xdr:row>47</xdr:row>
      <xdr:rowOff>22412</xdr:rowOff>
    </xdr:from>
    <xdr:to>
      <xdr:col>16</xdr:col>
      <xdr:colOff>100854</xdr:colOff>
      <xdr:row>51</xdr:row>
      <xdr:rowOff>56029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33618</xdr:colOff>
      <xdr:row>0</xdr:row>
      <xdr:rowOff>34372</xdr:rowOff>
    </xdr:from>
    <xdr:to>
      <xdr:col>11</xdr:col>
      <xdr:colOff>390526</xdr:colOff>
      <xdr:row>3</xdr:row>
      <xdr:rowOff>22398</xdr:rowOff>
    </xdr:to>
    <xdr:pic>
      <xdr:nvPicPr>
        <xdr:cNvPr id="6" name="Picture 5" descr="logo_bpc 1100_522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005668" y="34372"/>
          <a:ext cx="1633258" cy="702401"/>
        </a:xfrm>
        <a:prstGeom prst="rect">
          <a:avLst/>
        </a:prstGeom>
      </xdr:spPr>
    </xdr:pic>
    <xdr:clientData/>
  </xdr:twoCellAnchor>
  <xdr:twoCellAnchor>
    <xdr:from>
      <xdr:col>0</xdr:col>
      <xdr:colOff>168087</xdr:colOff>
      <xdr:row>40</xdr:row>
      <xdr:rowOff>56030</xdr:rowOff>
    </xdr:from>
    <xdr:to>
      <xdr:col>16</xdr:col>
      <xdr:colOff>44824</xdr:colOff>
      <xdr:row>40</xdr:row>
      <xdr:rowOff>1725706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0</xdr:row>
          <xdr:rowOff>304800</xdr:rowOff>
        </xdr:from>
        <xdr:to>
          <xdr:col>19</xdr:col>
          <xdr:colOff>409575</xdr:colOff>
          <xdr:row>1</xdr:row>
          <xdr:rowOff>276225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206375</xdr:colOff>
      <xdr:row>14</xdr:row>
      <xdr:rowOff>174624</xdr:rowOff>
    </xdr:from>
    <xdr:to>
      <xdr:col>13</xdr:col>
      <xdr:colOff>412750</xdr:colOff>
      <xdr:row>52</xdr:row>
      <xdr:rowOff>113393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0000"/>
    <pageSetUpPr fitToPage="1"/>
  </sheetPr>
  <dimension ref="A1:Y86"/>
  <sheetViews>
    <sheetView showGridLines="0" zoomScale="85" zoomScaleNormal="85" workbookViewId="0">
      <pane xSplit="25" ySplit="4" topLeftCell="Z5" activePane="bottomRight" state="frozen"/>
      <selection pane="topRight" activeCell="W1" sqref="W1"/>
      <selection pane="bottomLeft" activeCell="A5" sqref="A5"/>
      <selection pane="bottomRight" activeCell="A15" sqref="A15:U15"/>
    </sheetView>
  </sheetViews>
  <sheetFormatPr defaultColWidth="7" defaultRowHeight="27" customHeight="1" x14ac:dyDescent="0.25"/>
  <cols>
    <col min="1" max="1" width="24.140625" style="28" bestFit="1" customWidth="1"/>
    <col min="2" max="2" width="7" style="28"/>
    <col min="3" max="4" width="7.85546875" style="28" customWidth="1"/>
    <col min="5" max="6" width="7.28515625" style="28" customWidth="1"/>
    <col min="7" max="18" width="6.5703125" style="28" customWidth="1"/>
    <col min="19" max="20" width="6.85546875" style="28" customWidth="1"/>
    <col min="21" max="21" width="7.85546875" style="28" customWidth="1"/>
    <col min="22" max="23" width="7" style="28"/>
    <col min="24" max="24" width="11.28515625" style="28" customWidth="1"/>
    <col min="25" max="16384" width="7" style="28"/>
  </cols>
  <sheetData>
    <row r="1" spans="1:25" s="1" customFormat="1" ht="27" customHeight="1" x14ac:dyDescent="0.25">
      <c r="A1" s="33" t="s">
        <v>58</v>
      </c>
      <c r="B1" s="334" t="s">
        <v>248</v>
      </c>
      <c r="C1" s="334"/>
      <c r="D1" s="334"/>
      <c r="E1" s="334"/>
      <c r="F1" s="334"/>
      <c r="G1" s="29"/>
      <c r="H1" s="30"/>
      <c r="I1" s="30"/>
      <c r="J1" s="30"/>
      <c r="K1" s="30"/>
      <c r="L1" s="332" t="s">
        <v>59</v>
      </c>
      <c r="M1" s="332"/>
      <c r="N1" s="332"/>
      <c r="O1" s="332"/>
      <c r="P1" s="332"/>
      <c r="Q1" s="332"/>
      <c r="R1" s="332"/>
      <c r="S1" s="332"/>
      <c r="T1" s="332"/>
      <c r="U1" s="333"/>
    </row>
    <row r="2" spans="1:25" s="1" customFormat="1" ht="27" customHeight="1" x14ac:dyDescent="0.25">
      <c r="A2" s="34" t="s">
        <v>60</v>
      </c>
      <c r="B2" s="339" t="s">
        <v>259</v>
      </c>
      <c r="C2" s="339"/>
      <c r="D2" s="339"/>
      <c r="E2" s="339"/>
      <c r="F2" s="339"/>
      <c r="G2" s="31"/>
      <c r="L2" s="335" t="s">
        <v>61</v>
      </c>
      <c r="M2" s="335"/>
      <c r="N2" s="335"/>
      <c r="O2" s="335"/>
      <c r="P2" s="335"/>
      <c r="Q2" s="335"/>
      <c r="R2" s="335"/>
      <c r="S2" s="335"/>
      <c r="T2" s="335"/>
      <c r="U2" s="336"/>
    </row>
    <row r="3" spans="1:25" s="1" customFormat="1" ht="27" customHeight="1" x14ac:dyDescent="0.25">
      <c r="A3" s="34" t="s">
        <v>37</v>
      </c>
      <c r="B3" s="140">
        <v>462</v>
      </c>
      <c r="C3" s="352">
        <v>1445</v>
      </c>
      <c r="D3" s="352"/>
      <c r="E3" s="352">
        <v>1446</v>
      </c>
      <c r="F3" s="352"/>
      <c r="G3" s="31"/>
      <c r="L3" s="335" t="s">
        <v>62</v>
      </c>
      <c r="M3" s="335"/>
      <c r="N3" s="335"/>
      <c r="O3" s="335"/>
      <c r="P3" s="335"/>
      <c r="Q3" s="335"/>
      <c r="R3" s="335"/>
      <c r="S3" s="335"/>
      <c r="T3" s="335"/>
      <c r="U3" s="336"/>
    </row>
    <row r="4" spans="1:25" s="1" customFormat="1" ht="24" customHeight="1" thickBot="1" x14ac:dyDescent="0.3">
      <c r="A4" s="35" t="s">
        <v>40</v>
      </c>
      <c r="B4" s="340" t="s">
        <v>260</v>
      </c>
      <c r="C4" s="340"/>
      <c r="D4" s="340"/>
      <c r="E4" s="340"/>
      <c r="F4" s="340"/>
      <c r="G4" s="341"/>
      <c r="H4" s="342"/>
      <c r="I4" s="32"/>
      <c r="J4" s="343"/>
      <c r="K4" s="343"/>
      <c r="L4" s="337" t="s">
        <v>253</v>
      </c>
      <c r="M4" s="337"/>
      <c r="N4" s="337"/>
      <c r="O4" s="337"/>
      <c r="P4" s="337"/>
      <c r="Q4" s="337"/>
      <c r="R4" s="337"/>
      <c r="S4" s="337"/>
      <c r="T4" s="337"/>
      <c r="U4" s="338"/>
    </row>
    <row r="5" spans="1:25" s="1" customFormat="1" ht="22.5" customHeight="1" thickBot="1" x14ac:dyDescent="0.3">
      <c r="A5" s="345" t="s">
        <v>107</v>
      </c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6"/>
      <c r="R5" s="346"/>
      <c r="S5" s="346"/>
      <c r="T5" s="346"/>
      <c r="U5" s="347"/>
    </row>
    <row r="6" spans="1:25" ht="27" customHeight="1" x14ac:dyDescent="0.25">
      <c r="A6" s="348" t="s">
        <v>35</v>
      </c>
      <c r="B6" s="349"/>
      <c r="C6" s="349"/>
      <c r="D6" s="350" t="s">
        <v>36</v>
      </c>
      <c r="E6" s="350"/>
      <c r="F6" s="350"/>
      <c r="G6" s="350"/>
      <c r="H6" s="350"/>
      <c r="I6" s="350"/>
      <c r="J6" s="349" t="s">
        <v>149</v>
      </c>
      <c r="K6" s="349"/>
      <c r="L6" s="349"/>
      <c r="M6" s="349"/>
      <c r="N6" s="349"/>
      <c r="O6" s="349"/>
      <c r="P6" s="349"/>
      <c r="Q6" s="349"/>
      <c r="R6" s="349"/>
      <c r="S6" s="349" t="s">
        <v>67</v>
      </c>
      <c r="T6" s="349"/>
      <c r="U6" s="351"/>
    </row>
    <row r="7" spans="1:25" ht="38.25" customHeight="1" x14ac:dyDescent="0.25">
      <c r="A7" s="329" t="s">
        <v>38</v>
      </c>
      <c r="B7" s="313"/>
      <c r="C7" s="313"/>
      <c r="D7" s="312" t="s">
        <v>246</v>
      </c>
      <c r="E7" s="312"/>
      <c r="F7" s="312"/>
      <c r="G7" s="312"/>
      <c r="H7" s="312"/>
      <c r="I7" s="312"/>
      <c r="J7" s="312"/>
      <c r="K7" s="312"/>
      <c r="L7" s="312" t="s">
        <v>252</v>
      </c>
      <c r="M7" s="312"/>
      <c r="N7" s="312"/>
      <c r="O7" s="312"/>
      <c r="P7" s="312"/>
      <c r="Q7" s="312"/>
      <c r="R7" s="312"/>
      <c r="S7" s="306">
        <v>9</v>
      </c>
      <c r="T7" s="307"/>
      <c r="U7" s="308"/>
    </row>
    <row r="8" spans="1:25" ht="9.75" hidden="1" customHeight="1" x14ac:dyDescent="0.25">
      <c r="A8" s="36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8"/>
    </row>
    <row r="9" spans="1:25" ht="27" customHeight="1" x14ac:dyDescent="0.25">
      <c r="A9" s="138" t="s">
        <v>39</v>
      </c>
      <c r="B9" s="313" t="s">
        <v>158</v>
      </c>
      <c r="C9" s="313"/>
      <c r="D9" s="313" t="s">
        <v>152</v>
      </c>
      <c r="E9" s="313"/>
      <c r="F9" s="313"/>
      <c r="G9" s="313"/>
      <c r="H9" s="313"/>
      <c r="I9" s="313"/>
      <c r="J9" s="313" t="s">
        <v>41</v>
      </c>
      <c r="K9" s="313"/>
      <c r="L9" s="313"/>
      <c r="M9" s="313"/>
      <c r="N9" s="313"/>
      <c r="O9" s="313"/>
      <c r="P9" s="313"/>
      <c r="Q9" s="313"/>
      <c r="R9" s="313"/>
      <c r="S9" s="313" t="s">
        <v>42</v>
      </c>
      <c r="T9" s="313"/>
      <c r="U9" s="344"/>
    </row>
    <row r="10" spans="1:25" ht="27" customHeight="1" x14ac:dyDescent="0.25">
      <c r="A10" s="227" t="s">
        <v>267</v>
      </c>
      <c r="B10" s="312" t="s">
        <v>260</v>
      </c>
      <c r="C10" s="312"/>
      <c r="D10" s="306"/>
      <c r="E10" s="328"/>
      <c r="F10" s="306"/>
      <c r="G10" s="328"/>
      <c r="H10" s="306"/>
      <c r="I10" s="328"/>
      <c r="J10" s="312" t="s">
        <v>247</v>
      </c>
      <c r="K10" s="312"/>
      <c r="L10" s="312"/>
      <c r="M10" s="312"/>
      <c r="N10" s="312"/>
      <c r="O10" s="312"/>
      <c r="P10" s="312"/>
      <c r="Q10" s="312"/>
      <c r="R10" s="312"/>
      <c r="S10" s="312">
        <v>3</v>
      </c>
      <c r="T10" s="312"/>
      <c r="U10" s="324"/>
    </row>
    <row r="11" spans="1:25" ht="27" customHeight="1" thickBot="1" x14ac:dyDescent="0.3">
      <c r="A11" s="154" t="s">
        <v>160</v>
      </c>
      <c r="B11" s="313" t="s">
        <v>43</v>
      </c>
      <c r="C11" s="313"/>
      <c r="D11" s="313" t="s">
        <v>44</v>
      </c>
      <c r="E11" s="313"/>
      <c r="F11" s="313"/>
      <c r="G11" s="313"/>
      <c r="H11" s="313"/>
      <c r="I11" s="313"/>
      <c r="J11" s="313" t="s">
        <v>45</v>
      </c>
      <c r="K11" s="313"/>
      <c r="L11" s="313"/>
      <c r="M11" s="313"/>
      <c r="N11" s="313"/>
      <c r="O11" s="313"/>
      <c r="P11" s="313"/>
      <c r="Q11" s="313"/>
      <c r="R11" s="313"/>
      <c r="S11" s="313" t="s">
        <v>46</v>
      </c>
      <c r="T11" s="313"/>
      <c r="U11" s="344"/>
    </row>
    <row r="12" spans="1:25" ht="27" customHeight="1" thickBot="1" x14ac:dyDescent="0.3">
      <c r="A12" s="205">
        <v>3</v>
      </c>
      <c r="B12" s="355">
        <v>5</v>
      </c>
      <c r="C12" s="355"/>
      <c r="D12" s="325"/>
      <c r="E12" s="326"/>
      <c r="F12" s="326"/>
      <c r="G12" s="326"/>
      <c r="H12" s="326"/>
      <c r="I12" s="327"/>
      <c r="J12" s="325"/>
      <c r="K12" s="326"/>
      <c r="L12" s="326"/>
      <c r="M12" s="326"/>
      <c r="N12" s="326"/>
      <c r="O12" s="326"/>
      <c r="P12" s="326"/>
      <c r="Q12" s="326"/>
      <c r="R12" s="327"/>
      <c r="S12" s="139">
        <v>2</v>
      </c>
      <c r="T12" s="139">
        <v>2</v>
      </c>
      <c r="U12" s="117">
        <v>0</v>
      </c>
    </row>
    <row r="13" spans="1:25" ht="15.75" customHeight="1" thickBot="1" x14ac:dyDescent="0.3">
      <c r="A13" s="39"/>
      <c r="S13" s="47" t="s">
        <v>47</v>
      </c>
      <c r="T13" s="47" t="s">
        <v>48</v>
      </c>
      <c r="U13" s="48" t="s">
        <v>49</v>
      </c>
    </row>
    <row r="14" spans="1:25" ht="27" customHeight="1" thickBot="1" x14ac:dyDescent="0.3">
      <c r="A14" s="290" t="s">
        <v>140</v>
      </c>
      <c r="B14" s="291"/>
      <c r="C14" s="291"/>
      <c r="D14" s="291"/>
      <c r="E14" s="291"/>
      <c r="F14" s="291"/>
      <c r="G14" s="291"/>
      <c r="H14" s="291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2"/>
    </row>
    <row r="15" spans="1:25" ht="56.25" customHeight="1" thickBot="1" x14ac:dyDescent="0.3">
      <c r="A15" s="309"/>
      <c r="B15" s="310"/>
      <c r="C15" s="310"/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0"/>
      <c r="O15" s="310"/>
      <c r="P15" s="310"/>
      <c r="Q15" s="310"/>
      <c r="R15" s="310"/>
      <c r="S15" s="310"/>
      <c r="T15" s="310"/>
      <c r="U15" s="311"/>
    </row>
    <row r="16" spans="1:25" ht="21" hidden="1" customHeight="1" x14ac:dyDescent="0.25">
      <c r="A16" s="316" t="s">
        <v>136</v>
      </c>
      <c r="B16" s="317"/>
      <c r="C16" s="317"/>
      <c r="D16" s="317"/>
      <c r="E16" s="318"/>
      <c r="F16" s="282" t="s">
        <v>51</v>
      </c>
      <c r="G16" s="314"/>
      <c r="H16" s="314"/>
      <c r="I16" s="314"/>
      <c r="J16" s="314"/>
      <c r="K16" s="314"/>
      <c r="L16" s="314"/>
      <c r="M16" s="314"/>
      <c r="N16" s="314"/>
      <c r="O16" s="314"/>
      <c r="P16" s="314"/>
      <c r="Q16" s="314"/>
      <c r="R16" s="314"/>
      <c r="S16" s="315"/>
      <c r="T16" s="282" t="s">
        <v>14</v>
      </c>
      <c r="U16" s="283"/>
      <c r="X16" s="305" t="s">
        <v>137</v>
      </c>
      <c r="Y16" s="305"/>
    </row>
    <row r="17" spans="1:25" ht="21" hidden="1" customHeight="1" x14ac:dyDescent="0.25">
      <c r="A17" s="319"/>
      <c r="B17" s="320"/>
      <c r="C17" s="320"/>
      <c r="D17" s="320"/>
      <c r="E17" s="321"/>
      <c r="F17" s="138" t="s">
        <v>18</v>
      </c>
      <c r="G17" s="138" t="s">
        <v>19</v>
      </c>
      <c r="H17" s="138" t="s">
        <v>20</v>
      </c>
      <c r="I17" s="138" t="s">
        <v>21</v>
      </c>
      <c r="J17" s="138" t="s">
        <v>22</v>
      </c>
      <c r="K17" s="138" t="s">
        <v>23</v>
      </c>
      <c r="L17" s="138" t="s">
        <v>24</v>
      </c>
      <c r="M17" s="138"/>
      <c r="N17" s="138"/>
      <c r="O17" s="138"/>
      <c r="P17" s="138" t="s">
        <v>25</v>
      </c>
      <c r="Q17" s="138" t="s">
        <v>26</v>
      </c>
      <c r="R17" s="138" t="s">
        <v>27</v>
      </c>
      <c r="S17" s="138" t="s">
        <v>28</v>
      </c>
      <c r="T17" s="138" t="s">
        <v>53</v>
      </c>
      <c r="U17" s="141" t="s">
        <v>54</v>
      </c>
      <c r="X17" s="305"/>
      <c r="Y17" s="305"/>
    </row>
    <row r="18" spans="1:25" ht="24.75" hidden="1" customHeight="1" x14ac:dyDescent="0.25">
      <c r="A18" s="288" t="s">
        <v>162</v>
      </c>
      <c r="B18" s="322"/>
      <c r="C18" s="322"/>
      <c r="D18" s="322"/>
      <c r="E18" s="323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55"/>
    </row>
    <row r="19" spans="1:25" ht="24.75" hidden="1" customHeight="1" x14ac:dyDescent="0.25">
      <c r="A19" s="288" t="s">
        <v>163</v>
      </c>
      <c r="B19" s="322"/>
      <c r="C19" s="322"/>
      <c r="D19" s="322"/>
      <c r="E19" s="323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55"/>
    </row>
    <row r="20" spans="1:25" ht="24.75" hidden="1" customHeight="1" x14ac:dyDescent="0.25">
      <c r="A20" s="288" t="s">
        <v>164</v>
      </c>
      <c r="B20" s="322"/>
      <c r="C20" s="322"/>
      <c r="D20" s="322"/>
      <c r="E20" s="323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55"/>
    </row>
    <row r="21" spans="1:25" ht="24.75" hidden="1" customHeight="1" x14ac:dyDescent="0.25">
      <c r="A21" s="288"/>
      <c r="B21" s="322"/>
      <c r="C21" s="322"/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322"/>
      <c r="O21" s="322"/>
      <c r="P21" s="322"/>
      <c r="Q21" s="322"/>
      <c r="R21" s="322"/>
      <c r="S21" s="322"/>
      <c r="T21" s="322"/>
      <c r="U21" s="289"/>
    </row>
    <row r="22" spans="1:25" ht="21" hidden="1" customHeight="1" x14ac:dyDescent="0.25">
      <c r="A22" s="329" t="s">
        <v>135</v>
      </c>
      <c r="B22" s="313"/>
      <c r="C22" s="313"/>
      <c r="D22" s="318" t="s">
        <v>166</v>
      </c>
      <c r="E22" s="330" t="s">
        <v>161</v>
      </c>
      <c r="F22" s="282" t="s">
        <v>51</v>
      </c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5"/>
      <c r="T22" s="282" t="s">
        <v>14</v>
      </c>
      <c r="U22" s="283"/>
      <c r="X22" s="305" t="s">
        <v>137</v>
      </c>
      <c r="Y22" s="305"/>
    </row>
    <row r="23" spans="1:25" ht="21" hidden="1" customHeight="1" x14ac:dyDescent="0.25">
      <c r="A23" s="329"/>
      <c r="B23" s="313"/>
      <c r="C23" s="313"/>
      <c r="D23" s="321"/>
      <c r="E23" s="331"/>
      <c r="F23" s="138" t="s">
        <v>18</v>
      </c>
      <c r="G23" s="138" t="s">
        <v>19</v>
      </c>
      <c r="H23" s="138" t="s">
        <v>20</v>
      </c>
      <c r="I23" s="138" t="s">
        <v>21</v>
      </c>
      <c r="J23" s="138" t="s">
        <v>22</v>
      </c>
      <c r="K23" s="138" t="s">
        <v>23</v>
      </c>
      <c r="L23" s="138" t="s">
        <v>24</v>
      </c>
      <c r="M23" s="138"/>
      <c r="N23" s="138"/>
      <c r="O23" s="138"/>
      <c r="P23" s="138" t="s">
        <v>25</v>
      </c>
      <c r="Q23" s="138" t="s">
        <v>26</v>
      </c>
      <c r="R23" s="138" t="s">
        <v>27</v>
      </c>
      <c r="S23" s="138" t="s">
        <v>28</v>
      </c>
      <c r="T23" s="138" t="s">
        <v>53</v>
      </c>
      <c r="U23" s="141" t="s">
        <v>54</v>
      </c>
      <c r="X23" s="305"/>
      <c r="Y23" s="305"/>
    </row>
    <row r="24" spans="1:25" ht="34.5" hidden="1" customHeight="1" x14ac:dyDescent="0.25">
      <c r="A24" s="284"/>
      <c r="B24" s="285"/>
      <c r="C24" s="285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55"/>
    </row>
    <row r="25" spans="1:25" ht="34.5" hidden="1" customHeight="1" x14ac:dyDescent="0.25">
      <c r="A25" s="284"/>
      <c r="B25" s="285"/>
      <c r="C25" s="285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55"/>
    </row>
    <row r="26" spans="1:25" ht="34.5" hidden="1" customHeight="1" x14ac:dyDescent="0.25">
      <c r="A26" s="284"/>
      <c r="B26" s="285"/>
      <c r="C26" s="285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55"/>
    </row>
    <row r="27" spans="1:25" ht="34.5" hidden="1" customHeight="1" x14ac:dyDescent="0.25">
      <c r="A27" s="284"/>
      <c r="B27" s="285"/>
      <c r="C27" s="285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55"/>
    </row>
    <row r="28" spans="1:25" ht="34.5" hidden="1" customHeight="1" x14ac:dyDescent="0.25">
      <c r="A28" s="284"/>
      <c r="B28" s="285"/>
      <c r="C28" s="285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55"/>
    </row>
    <row r="29" spans="1:25" ht="34.5" hidden="1" customHeight="1" x14ac:dyDescent="0.25">
      <c r="A29" s="284"/>
      <c r="B29" s="285"/>
      <c r="C29" s="285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55"/>
    </row>
    <row r="30" spans="1:25" ht="34.5" hidden="1" customHeight="1" x14ac:dyDescent="0.25">
      <c r="A30" s="284"/>
      <c r="B30" s="285"/>
      <c r="C30" s="285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55"/>
    </row>
    <row r="31" spans="1:25" ht="34.5" hidden="1" customHeight="1" x14ac:dyDescent="0.25">
      <c r="A31" s="284"/>
      <c r="B31" s="285"/>
      <c r="C31" s="285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55"/>
    </row>
    <row r="32" spans="1:25" ht="34.5" hidden="1" customHeight="1" x14ac:dyDescent="0.25">
      <c r="A32" s="284"/>
      <c r="B32" s="285"/>
      <c r="C32" s="285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55"/>
    </row>
    <row r="33" spans="1:21" ht="34.5" hidden="1" customHeight="1" x14ac:dyDescent="0.25">
      <c r="A33" s="284"/>
      <c r="B33" s="285"/>
      <c r="C33" s="285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55"/>
    </row>
    <row r="34" spans="1:21" ht="34.5" hidden="1" customHeight="1" x14ac:dyDescent="0.25">
      <c r="A34" s="284"/>
      <c r="B34" s="285"/>
      <c r="C34" s="285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55"/>
    </row>
    <row r="35" spans="1:21" ht="34.5" hidden="1" customHeight="1" x14ac:dyDescent="0.25">
      <c r="A35" s="284"/>
      <c r="B35" s="285"/>
      <c r="C35" s="285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55"/>
    </row>
    <row r="36" spans="1:21" ht="34.5" hidden="1" customHeight="1" x14ac:dyDescent="0.25">
      <c r="A36" s="284"/>
      <c r="B36" s="285"/>
      <c r="C36" s="285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55"/>
    </row>
    <row r="37" spans="1:21" ht="34.5" hidden="1" customHeight="1" x14ac:dyDescent="0.25">
      <c r="A37" s="284"/>
      <c r="B37" s="285"/>
      <c r="C37" s="285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55"/>
    </row>
    <row r="38" spans="1:21" ht="34.5" hidden="1" customHeight="1" thickBot="1" x14ac:dyDescent="0.3">
      <c r="A38" s="293"/>
      <c r="B38" s="294"/>
      <c r="C38" s="294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8"/>
    </row>
    <row r="39" spans="1:21" ht="34.5" hidden="1" customHeight="1" thickBot="1" x14ac:dyDescent="0.3">
      <c r="A39" s="295" t="s">
        <v>73</v>
      </c>
      <c r="B39" s="296"/>
      <c r="C39" s="296"/>
      <c r="D39" s="159">
        <f>SUM(D24:D38)</f>
        <v>0</v>
      </c>
      <c r="E39" s="156">
        <f>COUNT(E24:E38)</f>
        <v>0</v>
      </c>
      <c r="F39" s="156" t="str">
        <f>IF(SUM(F24:F38),SUM(F24:F38),"")</f>
        <v/>
      </c>
      <c r="G39" s="156" t="str">
        <f t="shared" ref="G39:U39" si="0">IF(SUM(G24:G38),SUM(G24:G38),"")</f>
        <v/>
      </c>
      <c r="H39" s="156" t="str">
        <f t="shared" si="0"/>
        <v/>
      </c>
      <c r="I39" s="156" t="str">
        <f t="shared" si="0"/>
        <v/>
      </c>
      <c r="J39" s="156" t="str">
        <f t="shared" si="0"/>
        <v/>
      </c>
      <c r="K39" s="156" t="str">
        <f t="shared" si="0"/>
        <v/>
      </c>
      <c r="L39" s="156" t="str">
        <f t="shared" si="0"/>
        <v/>
      </c>
      <c r="M39" s="156"/>
      <c r="N39" s="156"/>
      <c r="O39" s="156"/>
      <c r="P39" s="156" t="str">
        <f t="shared" si="0"/>
        <v/>
      </c>
      <c r="Q39" s="156" t="str">
        <f t="shared" si="0"/>
        <v/>
      </c>
      <c r="R39" s="156" t="str">
        <f t="shared" si="0"/>
        <v/>
      </c>
      <c r="S39" s="156" t="str">
        <f t="shared" si="0"/>
        <v/>
      </c>
      <c r="T39" s="156" t="str">
        <f t="shared" si="0"/>
        <v/>
      </c>
      <c r="U39" s="160" t="str">
        <f t="shared" si="0"/>
        <v/>
      </c>
    </row>
    <row r="40" spans="1:21" ht="27" customHeight="1" thickBot="1" x14ac:dyDescent="0.3">
      <c r="A40" s="290" t="s">
        <v>106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2"/>
    </row>
    <row r="41" spans="1:21" ht="20.25" customHeight="1" x14ac:dyDescent="0.25">
      <c r="A41" s="299" t="s">
        <v>50</v>
      </c>
      <c r="B41" s="299" t="s">
        <v>115</v>
      </c>
      <c r="C41" s="301"/>
      <c r="D41" s="303" t="s">
        <v>69</v>
      </c>
      <c r="E41" s="356" t="s">
        <v>51</v>
      </c>
      <c r="F41" s="357"/>
      <c r="G41" s="357"/>
      <c r="H41" s="357"/>
      <c r="I41" s="357"/>
      <c r="J41" s="357"/>
      <c r="K41" s="357"/>
      <c r="L41" s="357"/>
      <c r="M41" s="357"/>
      <c r="N41" s="357"/>
      <c r="O41" s="357"/>
      <c r="P41" s="357"/>
      <c r="Q41" s="207" t="s">
        <v>68</v>
      </c>
      <c r="R41" s="206"/>
      <c r="S41" s="297"/>
      <c r="T41" s="298"/>
      <c r="U41" s="207"/>
    </row>
    <row r="42" spans="1:21" ht="24.75" customHeight="1" thickBot="1" x14ac:dyDescent="0.3">
      <c r="A42" s="300"/>
      <c r="B42" s="300"/>
      <c r="C42" s="302"/>
      <c r="D42" s="304"/>
      <c r="E42" s="40" t="s">
        <v>261</v>
      </c>
      <c r="F42" s="41" t="s">
        <v>262</v>
      </c>
      <c r="G42" s="41" t="s">
        <v>263</v>
      </c>
      <c r="H42" s="41" t="s">
        <v>264</v>
      </c>
      <c r="I42" s="41" t="s">
        <v>265</v>
      </c>
      <c r="J42" s="41" t="s">
        <v>266</v>
      </c>
      <c r="K42" s="41"/>
      <c r="L42" s="41"/>
      <c r="M42" s="41"/>
      <c r="N42" s="41"/>
      <c r="O42" s="41"/>
      <c r="P42" s="41" t="s">
        <v>258</v>
      </c>
      <c r="Q42" s="208"/>
    </row>
    <row r="43" spans="1:21" ht="27" customHeight="1" thickBot="1" x14ac:dyDescent="0.3">
      <c r="A43" s="142" t="s">
        <v>55</v>
      </c>
      <c r="B43" s="286"/>
      <c r="C43" s="287"/>
      <c r="D43" s="44"/>
      <c r="E43" s="58">
        <v>7</v>
      </c>
      <c r="F43" s="59">
        <v>8</v>
      </c>
      <c r="G43" s="59">
        <v>5</v>
      </c>
      <c r="H43" s="59"/>
      <c r="I43" s="59"/>
      <c r="J43" s="59"/>
      <c r="K43" s="59"/>
      <c r="L43" s="59"/>
      <c r="M43" s="59"/>
      <c r="N43" s="59"/>
      <c r="O43" s="60"/>
      <c r="P43" s="59"/>
      <c r="Q43" s="88">
        <f t="shared" ref="Q43:Q51" si="1">SUM(E43:P43)</f>
        <v>20</v>
      </c>
    </row>
    <row r="44" spans="1:21" ht="27" customHeight="1" thickBot="1" x14ac:dyDescent="0.3">
      <c r="A44" s="143" t="s">
        <v>56</v>
      </c>
      <c r="B44" s="288"/>
      <c r="C44" s="289"/>
      <c r="D44" s="45"/>
      <c r="E44" s="61"/>
      <c r="F44" s="62"/>
      <c r="G44" s="62"/>
      <c r="H44" s="62"/>
      <c r="I44" s="62"/>
      <c r="J44" s="62"/>
      <c r="K44" s="62"/>
      <c r="L44" s="62"/>
      <c r="M44" s="62"/>
      <c r="N44" s="62"/>
      <c r="O44" s="63"/>
      <c r="P44" s="62"/>
      <c r="Q44" s="88">
        <f t="shared" si="1"/>
        <v>0</v>
      </c>
    </row>
    <row r="45" spans="1:21" ht="27" customHeight="1" thickBot="1" x14ac:dyDescent="0.3">
      <c r="A45" s="143" t="s">
        <v>241</v>
      </c>
      <c r="B45" s="288"/>
      <c r="C45" s="289"/>
      <c r="D45" s="45"/>
      <c r="E45" s="61"/>
      <c r="F45" s="62">
        <v>5</v>
      </c>
      <c r="G45" s="62"/>
      <c r="H45" s="62"/>
      <c r="I45" s="62"/>
      <c r="J45" s="62"/>
      <c r="K45" s="62"/>
      <c r="L45" s="62"/>
      <c r="M45" s="62"/>
      <c r="N45" s="62"/>
      <c r="O45" s="63"/>
      <c r="P45" s="62"/>
      <c r="Q45" s="88">
        <f t="shared" si="1"/>
        <v>5</v>
      </c>
    </row>
    <row r="46" spans="1:21" ht="27" customHeight="1" thickBot="1" x14ac:dyDescent="0.3">
      <c r="A46" s="143" t="s">
        <v>242</v>
      </c>
      <c r="B46" s="288"/>
      <c r="C46" s="289"/>
      <c r="D46" s="45"/>
      <c r="E46" s="61"/>
      <c r="F46" s="62"/>
      <c r="G46" s="62"/>
      <c r="H46" s="62"/>
      <c r="I46" s="62"/>
      <c r="J46" s="62"/>
      <c r="K46" s="62"/>
      <c r="L46" s="62"/>
      <c r="M46" s="62"/>
      <c r="N46" s="62"/>
      <c r="O46" s="63"/>
      <c r="P46" s="62"/>
      <c r="Q46" s="88">
        <f t="shared" si="1"/>
        <v>0</v>
      </c>
    </row>
    <row r="47" spans="1:21" ht="32.25" customHeight="1" thickBot="1" x14ac:dyDescent="0.3">
      <c r="A47" s="143" t="s">
        <v>244</v>
      </c>
      <c r="B47" s="288"/>
      <c r="C47" s="289"/>
      <c r="D47" s="45"/>
      <c r="E47" s="61"/>
      <c r="F47" s="62">
        <v>5</v>
      </c>
      <c r="G47" s="62"/>
      <c r="H47" s="62"/>
      <c r="I47" s="62"/>
      <c r="J47" s="62"/>
      <c r="K47" s="62"/>
      <c r="L47" s="62"/>
      <c r="M47" s="62"/>
      <c r="N47" s="62"/>
      <c r="O47" s="63"/>
      <c r="P47" s="62"/>
      <c r="Q47" s="88">
        <f t="shared" si="1"/>
        <v>5</v>
      </c>
    </row>
    <row r="48" spans="1:21" ht="27" customHeight="1" thickBot="1" x14ac:dyDescent="0.3">
      <c r="A48" s="143" t="s">
        <v>245</v>
      </c>
      <c r="B48" s="288"/>
      <c r="C48" s="289"/>
      <c r="D48" s="45"/>
      <c r="E48" s="61"/>
      <c r="F48" s="62"/>
      <c r="G48" s="62"/>
      <c r="H48" s="62"/>
      <c r="I48" s="62"/>
      <c r="J48" s="62"/>
      <c r="K48" s="62"/>
      <c r="L48" s="62"/>
      <c r="M48" s="62"/>
      <c r="N48" s="62"/>
      <c r="O48" s="63"/>
      <c r="P48" s="62"/>
      <c r="Q48" s="88">
        <f t="shared" si="1"/>
        <v>0</v>
      </c>
    </row>
    <row r="49" spans="1:21" ht="27" customHeight="1" thickBot="1" x14ac:dyDescent="0.3">
      <c r="A49" s="143" t="s">
        <v>243</v>
      </c>
      <c r="B49" s="288"/>
      <c r="C49" s="289"/>
      <c r="D49" s="45"/>
      <c r="E49" s="61"/>
      <c r="F49" s="62"/>
      <c r="G49" s="62"/>
      <c r="H49" s="62"/>
      <c r="I49" s="62">
        <v>10</v>
      </c>
      <c r="J49" s="62">
        <v>10</v>
      </c>
      <c r="K49" s="62"/>
      <c r="L49" s="62"/>
      <c r="M49" s="62"/>
      <c r="N49" s="62"/>
      <c r="O49" s="63"/>
      <c r="P49" s="62"/>
      <c r="Q49" s="88">
        <f t="shared" si="1"/>
        <v>20</v>
      </c>
    </row>
    <row r="50" spans="1:21" ht="27" customHeight="1" thickBot="1" x14ac:dyDescent="0.3">
      <c r="A50" s="144" t="s">
        <v>57</v>
      </c>
      <c r="B50" s="353"/>
      <c r="C50" s="354"/>
      <c r="D50" s="46"/>
      <c r="E50" s="71">
        <v>3</v>
      </c>
      <c r="F50" s="72">
        <v>32</v>
      </c>
      <c r="G50" s="72">
        <v>10</v>
      </c>
      <c r="H50" s="72">
        <v>5</v>
      </c>
      <c r="I50" s="72"/>
      <c r="J50" s="72"/>
      <c r="K50" s="72"/>
      <c r="L50" s="72"/>
      <c r="M50" s="72"/>
      <c r="N50" s="72"/>
      <c r="O50" s="214"/>
      <c r="P50" s="72"/>
      <c r="Q50" s="88">
        <f t="shared" si="1"/>
        <v>50</v>
      </c>
    </row>
    <row r="51" spans="1:21" ht="26.25" customHeight="1" thickBot="1" x14ac:dyDescent="0.3">
      <c r="A51" s="359" t="s">
        <v>15</v>
      </c>
      <c r="B51" s="360"/>
      <c r="C51" s="360"/>
      <c r="D51" s="360"/>
      <c r="E51" s="85">
        <f>SUM(E43:E50)</f>
        <v>10</v>
      </c>
      <c r="F51" s="85">
        <f>SUM(F43:F50)</f>
        <v>50</v>
      </c>
      <c r="G51" s="85">
        <f t="shared" ref="G51:P51" si="2">SUM(G43:G50)</f>
        <v>15</v>
      </c>
      <c r="H51" s="85">
        <f t="shared" si="2"/>
        <v>5</v>
      </c>
      <c r="I51" s="85">
        <f t="shared" si="2"/>
        <v>10</v>
      </c>
      <c r="J51" s="85">
        <f t="shared" si="2"/>
        <v>10</v>
      </c>
      <c r="K51" s="85">
        <f t="shared" si="2"/>
        <v>0</v>
      </c>
      <c r="L51" s="85">
        <f t="shared" si="2"/>
        <v>0</v>
      </c>
      <c r="M51" s="85">
        <f t="shared" si="2"/>
        <v>0</v>
      </c>
      <c r="N51" s="85">
        <f>SUM(N43:N50)</f>
        <v>0</v>
      </c>
      <c r="O51" s="85">
        <f t="shared" si="2"/>
        <v>0</v>
      </c>
      <c r="P51" s="85">
        <f t="shared" si="2"/>
        <v>0</v>
      </c>
      <c r="Q51" s="89">
        <f t="shared" si="1"/>
        <v>100</v>
      </c>
    </row>
    <row r="52" spans="1:21" ht="26.25" hidden="1" customHeight="1" x14ac:dyDescent="0.25">
      <c r="A52" s="39"/>
      <c r="U52" s="145"/>
    </row>
    <row r="53" spans="1:21" ht="11.25" customHeight="1" x14ac:dyDescent="0.25">
      <c r="A53" s="39"/>
      <c r="U53" s="145"/>
    </row>
    <row r="54" spans="1:21" ht="21.75" hidden="1" customHeight="1" thickBot="1" x14ac:dyDescent="0.3">
      <c r="A54" s="364" t="s">
        <v>167</v>
      </c>
      <c r="B54" s="365"/>
      <c r="C54" s="365"/>
      <c r="D54" s="366"/>
      <c r="E54" s="361" t="s">
        <v>51</v>
      </c>
      <c r="F54" s="361"/>
      <c r="G54" s="361"/>
      <c r="H54" s="361"/>
      <c r="I54" s="361"/>
      <c r="J54" s="361"/>
      <c r="K54" s="361"/>
      <c r="L54" s="361"/>
      <c r="M54" s="361"/>
      <c r="N54" s="361"/>
      <c r="O54" s="361"/>
      <c r="P54" s="361"/>
      <c r="Q54" s="361"/>
      <c r="R54" s="361"/>
      <c r="S54" s="297" t="s">
        <v>52</v>
      </c>
      <c r="T54" s="298"/>
      <c r="U54" s="362" t="s">
        <v>15</v>
      </c>
    </row>
    <row r="55" spans="1:21" ht="21.75" hidden="1" customHeight="1" thickBot="1" x14ac:dyDescent="0.3">
      <c r="A55" s="364"/>
      <c r="B55" s="365"/>
      <c r="C55" s="365"/>
      <c r="D55" s="366"/>
      <c r="E55" s="147" t="s">
        <v>18</v>
      </c>
      <c r="F55" s="41" t="s">
        <v>19</v>
      </c>
      <c r="G55" s="41" t="s">
        <v>20</v>
      </c>
      <c r="H55" s="41" t="s">
        <v>21</v>
      </c>
      <c r="I55" s="41" t="s">
        <v>22</v>
      </c>
      <c r="J55" s="41" t="s">
        <v>23</v>
      </c>
      <c r="K55" s="41" t="s">
        <v>24</v>
      </c>
      <c r="L55" s="41" t="s">
        <v>25</v>
      </c>
      <c r="M55" s="41"/>
      <c r="N55" s="41"/>
      <c r="O55" s="41"/>
      <c r="P55" s="41" t="s">
        <v>26</v>
      </c>
      <c r="Q55" s="41" t="s">
        <v>27</v>
      </c>
      <c r="R55" s="86" t="s">
        <v>28</v>
      </c>
      <c r="S55" s="42" t="s">
        <v>53</v>
      </c>
      <c r="T55" s="43" t="s">
        <v>54</v>
      </c>
      <c r="U55" s="363"/>
    </row>
    <row r="56" spans="1:21" ht="27" hidden="1" customHeight="1" thickBot="1" x14ac:dyDescent="0.3">
      <c r="A56" s="364" t="s">
        <v>118</v>
      </c>
      <c r="B56" s="365"/>
      <c r="C56" s="365"/>
      <c r="D56" s="366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87"/>
      <c r="S56" s="58"/>
      <c r="T56" s="60"/>
      <c r="U56" s="88" t="str">
        <f>IF(SUM(E56:R56)&lt;&gt;0,SUM(E56:R56),"")</f>
        <v/>
      </c>
    </row>
    <row r="57" spans="1:21" ht="27" hidden="1" customHeight="1" thickBot="1" x14ac:dyDescent="0.3">
      <c r="A57" s="364" t="s">
        <v>119</v>
      </c>
      <c r="B57" s="365"/>
      <c r="C57" s="365"/>
      <c r="D57" s="366"/>
      <c r="E57" s="61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3"/>
      <c r="S57" s="90"/>
      <c r="T57" s="91"/>
      <c r="U57" s="88" t="str">
        <f>IF(SUM(E57:R57)&lt;&gt;0,SUM(E57:R57),"")</f>
        <v/>
      </c>
    </row>
    <row r="58" spans="1:21" ht="27" hidden="1" customHeight="1" thickBot="1" x14ac:dyDescent="0.3">
      <c r="A58" s="364" t="s">
        <v>159</v>
      </c>
      <c r="B58" s="365"/>
      <c r="C58" s="365"/>
      <c r="D58" s="366"/>
      <c r="E58" s="61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3"/>
      <c r="S58" s="90"/>
      <c r="T58" s="91"/>
      <c r="U58" s="88" t="str">
        <f>IF(SUM(E58:R58)&lt;&gt;0,SUM(E58:R58),"")</f>
        <v/>
      </c>
    </row>
    <row r="59" spans="1:21" ht="27" hidden="1" customHeight="1" thickBot="1" x14ac:dyDescent="0.3">
      <c r="A59" s="364" t="s">
        <v>165</v>
      </c>
      <c r="B59" s="365"/>
      <c r="C59" s="365"/>
      <c r="D59" s="366"/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3"/>
      <c r="S59" s="90"/>
      <c r="T59" s="91"/>
      <c r="U59" s="88" t="str">
        <f>IF(SUM(E59:R59)&lt;&gt;0,SUM(E59:R59),"")</f>
        <v/>
      </c>
    </row>
    <row r="60" spans="1:21" ht="27" hidden="1" customHeight="1" thickBot="1" x14ac:dyDescent="0.3">
      <c r="A60" s="364" t="s">
        <v>120</v>
      </c>
      <c r="B60" s="365"/>
      <c r="C60" s="365"/>
      <c r="D60" s="366"/>
      <c r="E60" s="61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3"/>
      <c r="S60" s="90"/>
      <c r="T60" s="91"/>
      <c r="U60" s="88" t="str">
        <f>IF(SUM(E60:R60)&lt;&gt;0,SUM(E60:R60),"")</f>
        <v/>
      </c>
    </row>
    <row r="61" spans="1:21" ht="24.75" hidden="1" customHeight="1" thickBot="1" x14ac:dyDescent="0.3">
      <c r="A61" s="359" t="s">
        <v>15</v>
      </c>
      <c r="B61" s="360"/>
      <c r="C61" s="360"/>
      <c r="D61" s="360"/>
      <c r="E61" s="85" t="str">
        <f>IF(SUM(E56:E60)&gt;0,SUM(E54:E60),"")</f>
        <v/>
      </c>
      <c r="F61" s="85" t="str">
        <f t="shared" ref="F61:U61" si="3">IF(SUM(F56:F60)&gt;0,SUM(F54:F60),"")</f>
        <v/>
      </c>
      <c r="G61" s="85" t="str">
        <f t="shared" si="3"/>
        <v/>
      </c>
      <c r="H61" s="85" t="str">
        <f t="shared" si="3"/>
        <v/>
      </c>
      <c r="I61" s="85" t="str">
        <f t="shared" si="3"/>
        <v/>
      </c>
      <c r="J61" s="85" t="str">
        <f t="shared" si="3"/>
        <v/>
      </c>
      <c r="K61" s="85" t="str">
        <f t="shared" si="3"/>
        <v/>
      </c>
      <c r="L61" s="85" t="str">
        <f t="shared" si="3"/>
        <v/>
      </c>
      <c r="M61" s="85"/>
      <c r="N61" s="85"/>
      <c r="O61" s="85"/>
      <c r="P61" s="85" t="str">
        <f t="shared" si="3"/>
        <v/>
      </c>
      <c r="Q61" s="85" t="str">
        <f t="shared" si="3"/>
        <v/>
      </c>
      <c r="R61" s="85" t="str">
        <f t="shared" si="3"/>
        <v/>
      </c>
      <c r="S61" s="85" t="str">
        <f t="shared" si="3"/>
        <v/>
      </c>
      <c r="T61" s="85" t="str">
        <f t="shared" si="3"/>
        <v/>
      </c>
      <c r="U61" s="85" t="str">
        <f t="shared" si="3"/>
        <v/>
      </c>
    </row>
    <row r="62" spans="1:21" ht="24.75" hidden="1" customHeight="1" x14ac:dyDescent="0.25">
      <c r="A62" s="356"/>
      <c r="B62" s="357"/>
      <c r="C62" s="357"/>
      <c r="D62" s="357"/>
      <c r="E62" s="357"/>
      <c r="F62" s="357"/>
      <c r="G62" s="357"/>
      <c r="H62" s="357"/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357"/>
      <c r="T62" s="357"/>
      <c r="U62" s="287"/>
    </row>
    <row r="63" spans="1:21" ht="24.75" hidden="1" customHeight="1" x14ac:dyDescent="0.25">
      <c r="A63" s="329" t="s">
        <v>117</v>
      </c>
      <c r="B63" s="313"/>
      <c r="C63" s="313"/>
      <c r="D63" s="313"/>
      <c r="E63" s="313"/>
      <c r="F63" s="313"/>
      <c r="G63" s="313"/>
      <c r="H63" s="313"/>
      <c r="I63" s="313"/>
      <c r="J63" s="313"/>
      <c r="K63" s="313"/>
      <c r="L63" s="313"/>
      <c r="M63" s="313"/>
      <c r="N63" s="313"/>
      <c r="O63" s="313"/>
      <c r="P63" s="313"/>
      <c r="Q63" s="313"/>
      <c r="R63" s="313"/>
      <c r="S63" s="313"/>
      <c r="T63" s="313"/>
      <c r="U63" s="344"/>
    </row>
    <row r="64" spans="1:21" ht="27" hidden="1" customHeight="1" x14ac:dyDescent="0.25">
      <c r="A64" s="146" t="s">
        <v>141</v>
      </c>
      <c r="B64" s="285" t="s">
        <v>142</v>
      </c>
      <c r="C64" s="285"/>
      <c r="D64" s="285"/>
      <c r="E64" s="285"/>
      <c r="F64" s="137"/>
      <c r="G64" s="285" t="s">
        <v>143</v>
      </c>
      <c r="H64" s="285"/>
      <c r="I64" s="285"/>
      <c r="J64" s="285"/>
      <c r="K64" s="137"/>
      <c r="L64" s="285" t="s">
        <v>144</v>
      </c>
      <c r="M64" s="285"/>
      <c r="N64" s="285"/>
      <c r="O64" s="285"/>
      <c r="P64" s="285"/>
      <c r="Q64" s="285"/>
      <c r="R64" s="137"/>
      <c r="S64" s="285"/>
      <c r="T64" s="285"/>
      <c r="U64" s="358"/>
    </row>
    <row r="65" spans="1:21" ht="27" hidden="1" customHeight="1" x14ac:dyDescent="0.25">
      <c r="A65" s="146"/>
      <c r="B65" s="285"/>
      <c r="C65" s="285"/>
      <c r="D65" s="285"/>
      <c r="E65" s="285"/>
      <c r="G65" s="285"/>
      <c r="H65" s="285"/>
      <c r="I65" s="285"/>
      <c r="J65" s="285"/>
      <c r="K65" s="137"/>
      <c r="L65" s="285"/>
      <c r="M65" s="285"/>
      <c r="N65" s="285"/>
      <c r="O65" s="285"/>
      <c r="P65" s="285"/>
      <c r="Q65" s="285"/>
      <c r="R65" s="137"/>
      <c r="S65" s="285"/>
      <c r="T65" s="285"/>
      <c r="U65" s="358"/>
    </row>
    <row r="66" spans="1:21" ht="27" hidden="1" customHeight="1" x14ac:dyDescent="0.25">
      <c r="A66" s="146"/>
      <c r="B66" s="285"/>
      <c r="C66" s="285"/>
      <c r="D66" s="285"/>
      <c r="E66" s="285"/>
      <c r="F66" s="137"/>
      <c r="G66" s="285"/>
      <c r="H66" s="285"/>
      <c r="I66" s="285"/>
      <c r="J66" s="285"/>
      <c r="K66" s="137"/>
      <c r="L66" s="285"/>
      <c r="M66" s="285"/>
      <c r="N66" s="285"/>
      <c r="O66" s="285"/>
      <c r="P66" s="285"/>
      <c r="Q66" s="285"/>
      <c r="R66" s="137"/>
      <c r="S66" s="285"/>
      <c r="T66" s="285"/>
      <c r="U66" s="358"/>
    </row>
    <row r="67" spans="1:21" ht="22.5" hidden="1" customHeight="1" x14ac:dyDescent="0.25">
      <c r="A67" s="329" t="s">
        <v>121</v>
      </c>
      <c r="B67" s="313"/>
      <c r="C67" s="313"/>
      <c r="D67" s="313"/>
      <c r="E67" s="313"/>
      <c r="F67" s="313"/>
      <c r="G67" s="313"/>
      <c r="H67" s="313"/>
      <c r="I67" s="313"/>
      <c r="J67" s="313"/>
      <c r="K67" s="313"/>
      <c r="L67" s="313"/>
      <c r="M67" s="313"/>
      <c r="N67" s="313"/>
      <c r="O67" s="313"/>
      <c r="P67" s="313"/>
      <c r="Q67" s="313"/>
      <c r="R67" s="313"/>
      <c r="S67" s="313"/>
      <c r="T67" s="313"/>
      <c r="U67" s="344"/>
    </row>
    <row r="68" spans="1:21" ht="33" hidden="1" customHeight="1" x14ac:dyDescent="0.25">
      <c r="A68" s="284" t="s">
        <v>145</v>
      </c>
      <c r="B68" s="285"/>
      <c r="C68" s="285"/>
      <c r="D68" s="285" t="s">
        <v>146</v>
      </c>
      <c r="E68" s="285"/>
      <c r="F68" s="285"/>
      <c r="G68" s="285" t="s">
        <v>143</v>
      </c>
      <c r="H68" s="285"/>
      <c r="I68" s="285"/>
      <c r="J68" s="285" t="s">
        <v>147</v>
      </c>
      <c r="K68" s="285"/>
      <c r="L68" s="285"/>
      <c r="M68" s="137"/>
      <c r="N68" s="137"/>
      <c r="O68" s="137"/>
      <c r="P68" s="285" t="s">
        <v>116</v>
      </c>
      <c r="Q68" s="285"/>
      <c r="R68" s="285"/>
      <c r="S68" s="285"/>
      <c r="T68" s="285"/>
      <c r="U68" s="358"/>
    </row>
    <row r="69" spans="1:21" ht="22.5" hidden="1" customHeight="1" x14ac:dyDescent="0.25">
      <c r="A69" s="329" t="s">
        <v>122</v>
      </c>
      <c r="B69" s="313"/>
      <c r="C69" s="313"/>
      <c r="D69" s="313" t="s">
        <v>123</v>
      </c>
      <c r="E69" s="313"/>
      <c r="F69" s="313"/>
      <c r="G69" s="313" t="s">
        <v>124</v>
      </c>
      <c r="H69" s="313"/>
      <c r="I69" s="313"/>
      <c r="J69" s="313" t="s">
        <v>125</v>
      </c>
      <c r="K69" s="313"/>
      <c r="L69" s="313"/>
      <c r="M69" s="138"/>
      <c r="N69" s="138"/>
      <c r="O69" s="138"/>
      <c r="P69" s="313" t="s">
        <v>126</v>
      </c>
      <c r="Q69" s="313"/>
      <c r="R69" s="313"/>
      <c r="S69" s="313" t="s">
        <v>120</v>
      </c>
      <c r="T69" s="313"/>
      <c r="U69" s="344"/>
    </row>
    <row r="70" spans="1:21" ht="33" hidden="1" customHeight="1" x14ac:dyDescent="0.25">
      <c r="A70" s="284" t="s">
        <v>192</v>
      </c>
      <c r="B70" s="285"/>
      <c r="C70" s="285"/>
      <c r="D70" s="285" t="s">
        <v>116</v>
      </c>
      <c r="E70" s="285"/>
      <c r="F70" s="285"/>
      <c r="G70" s="285" t="s">
        <v>116</v>
      </c>
      <c r="H70" s="285"/>
      <c r="I70" s="285"/>
      <c r="J70" s="285" t="s">
        <v>116</v>
      </c>
      <c r="K70" s="285"/>
      <c r="L70" s="285"/>
      <c r="M70" s="137"/>
      <c r="N70" s="137"/>
      <c r="O70" s="137"/>
      <c r="P70" s="285" t="s">
        <v>116</v>
      </c>
      <c r="Q70" s="285"/>
      <c r="R70" s="285"/>
      <c r="S70" s="285" t="s">
        <v>127</v>
      </c>
      <c r="T70" s="285"/>
      <c r="U70" s="358"/>
    </row>
    <row r="71" spans="1:21" ht="11.25" hidden="1" customHeight="1" x14ac:dyDescent="0.25">
      <c r="A71" s="39"/>
      <c r="U71" s="145"/>
    </row>
    <row r="72" spans="1:21" ht="27" hidden="1" customHeight="1" x14ac:dyDescent="0.25">
      <c r="A72" s="329" t="s">
        <v>128</v>
      </c>
      <c r="B72" s="313"/>
      <c r="C72" s="313"/>
      <c r="D72" s="313"/>
      <c r="E72" s="313"/>
      <c r="F72" s="313"/>
      <c r="G72" s="313"/>
      <c r="H72" s="313"/>
      <c r="I72" s="313"/>
      <c r="J72" s="313"/>
      <c r="K72" s="313"/>
      <c r="L72" s="313"/>
      <c r="M72" s="313"/>
      <c r="N72" s="313"/>
      <c r="O72" s="313"/>
      <c r="P72" s="313"/>
      <c r="Q72" s="313"/>
      <c r="R72" s="313"/>
      <c r="S72" s="313"/>
      <c r="T72" s="313"/>
      <c r="U72" s="344"/>
    </row>
    <row r="73" spans="1:21" ht="33" hidden="1" customHeight="1" x14ac:dyDescent="0.25">
      <c r="A73" s="284" t="s">
        <v>148</v>
      </c>
      <c r="B73" s="285"/>
      <c r="C73" s="285"/>
      <c r="D73" s="285" t="s">
        <v>146</v>
      </c>
      <c r="E73" s="285"/>
      <c r="F73" s="285"/>
      <c r="G73" s="285" t="s">
        <v>143</v>
      </c>
      <c r="H73" s="285"/>
      <c r="I73" s="285"/>
      <c r="J73" s="285" t="s">
        <v>147</v>
      </c>
      <c r="K73" s="285"/>
      <c r="L73" s="285"/>
      <c r="M73" s="137"/>
      <c r="N73" s="137"/>
      <c r="O73" s="137"/>
      <c r="P73" s="285" t="s">
        <v>116</v>
      </c>
      <c r="Q73" s="285"/>
      <c r="R73" s="285"/>
      <c r="S73" s="285"/>
      <c r="T73" s="285"/>
      <c r="U73" s="358"/>
    </row>
    <row r="74" spans="1:21" ht="60.75" hidden="1" customHeight="1" x14ac:dyDescent="0.25">
      <c r="A74" s="284" t="s">
        <v>129</v>
      </c>
      <c r="B74" s="285"/>
      <c r="C74" s="285"/>
      <c r="D74" s="285"/>
      <c r="E74" s="285"/>
      <c r="F74" s="285"/>
      <c r="G74" s="285"/>
      <c r="H74" s="285"/>
      <c r="I74" s="285"/>
      <c r="J74" s="285"/>
      <c r="K74" s="285"/>
      <c r="L74" s="285"/>
      <c r="M74" s="285"/>
      <c r="N74" s="285"/>
      <c r="O74" s="285"/>
      <c r="P74" s="285"/>
      <c r="Q74" s="285"/>
      <c r="R74" s="285"/>
      <c r="S74" s="285"/>
      <c r="T74" s="285"/>
      <c r="U74" s="358"/>
    </row>
    <row r="75" spans="1:21" ht="11.25" customHeight="1" x14ac:dyDescent="0.25">
      <c r="A75" s="39"/>
      <c r="U75" s="145"/>
    </row>
    <row r="76" spans="1:21" ht="33" customHeight="1" x14ac:dyDescent="0.25">
      <c r="A76" s="313" t="s">
        <v>130</v>
      </c>
      <c r="B76" s="313"/>
      <c r="C76" s="313"/>
      <c r="D76" s="313"/>
      <c r="E76" s="285"/>
      <c r="F76" s="285"/>
      <c r="G76" s="285"/>
      <c r="H76" s="285"/>
      <c r="I76" s="285"/>
      <c r="J76" s="285"/>
      <c r="K76" s="285"/>
      <c r="L76" s="285"/>
      <c r="M76" s="285"/>
      <c r="N76" s="285"/>
      <c r="O76" s="285"/>
      <c r="P76" s="285"/>
      <c r="Q76" s="285"/>
      <c r="R76" s="285"/>
      <c r="S76" s="285"/>
      <c r="T76" s="285"/>
      <c r="U76" s="285"/>
    </row>
    <row r="77" spans="1:21" ht="33.75" customHeight="1" x14ac:dyDescent="0.25">
      <c r="A77" s="313" t="s">
        <v>131</v>
      </c>
      <c r="B77" s="313"/>
      <c r="C77" s="313"/>
      <c r="D77" s="313"/>
      <c r="E77" s="285"/>
      <c r="F77" s="285"/>
      <c r="G77" s="285"/>
      <c r="H77" s="285"/>
      <c r="I77" s="285"/>
      <c r="J77" s="285"/>
      <c r="K77" s="285"/>
      <c r="L77" s="285"/>
      <c r="M77" s="285"/>
      <c r="N77" s="285"/>
      <c r="O77" s="285"/>
      <c r="P77" s="285"/>
      <c r="Q77" s="285"/>
      <c r="R77" s="285"/>
      <c r="S77" s="285"/>
      <c r="T77" s="285"/>
      <c r="U77" s="285"/>
    </row>
    <row r="78" spans="1:21" ht="27" customHeight="1" x14ac:dyDescent="0.25">
      <c r="A78" s="313" t="s">
        <v>132</v>
      </c>
      <c r="B78" s="313"/>
      <c r="C78" s="313"/>
      <c r="D78" s="313"/>
      <c r="E78" s="285"/>
      <c r="F78" s="285"/>
      <c r="G78" s="285"/>
      <c r="H78" s="285"/>
      <c r="I78" s="285"/>
      <c r="J78" s="285"/>
      <c r="K78" s="285"/>
      <c r="L78" s="285"/>
      <c r="M78" s="285"/>
      <c r="N78" s="285"/>
      <c r="O78" s="285"/>
      <c r="P78" s="285"/>
      <c r="Q78" s="285"/>
      <c r="R78" s="285"/>
      <c r="S78" s="285"/>
      <c r="T78" s="285"/>
      <c r="U78" s="285"/>
    </row>
    <row r="79" spans="1:21" ht="11.25" customHeight="1" x14ac:dyDescent="0.25"/>
    <row r="80" spans="1:21" ht="27" customHeight="1" x14ac:dyDescent="0.25">
      <c r="A80" s="313" t="s">
        <v>133</v>
      </c>
      <c r="B80" s="313"/>
      <c r="C80" s="313"/>
      <c r="D80" s="313"/>
      <c r="E80" s="313"/>
      <c r="F80" s="313"/>
      <c r="G80" s="313" t="s">
        <v>114</v>
      </c>
      <c r="H80" s="313"/>
      <c r="I80" s="313"/>
      <c r="J80" s="313" t="s">
        <v>134</v>
      </c>
      <c r="K80" s="313"/>
      <c r="L80" s="313"/>
      <c r="M80" s="313"/>
      <c r="N80" s="313"/>
      <c r="O80" s="313"/>
      <c r="P80" s="313"/>
      <c r="Q80" s="313"/>
      <c r="R80" s="313"/>
      <c r="S80" s="313" t="s">
        <v>114</v>
      </c>
      <c r="T80" s="313"/>
      <c r="U80" s="313"/>
    </row>
    <row r="81" spans="1:21" ht="45" customHeight="1" x14ac:dyDescent="0.25">
      <c r="A81" s="137" t="s">
        <v>8</v>
      </c>
      <c r="B81" s="369" t="str">
        <f>B2</f>
        <v>Dr Md Tanwir Athar</v>
      </c>
      <c r="C81" s="322"/>
      <c r="D81" s="322"/>
      <c r="E81" s="322"/>
      <c r="F81" s="323"/>
      <c r="G81" s="368"/>
      <c r="H81" s="368"/>
      <c r="I81" s="368"/>
      <c r="J81" s="285" t="s">
        <v>8</v>
      </c>
      <c r="K81" s="285"/>
      <c r="L81" s="369"/>
      <c r="M81" s="322"/>
      <c r="N81" s="322"/>
      <c r="O81" s="322"/>
      <c r="P81" s="322"/>
      <c r="Q81" s="322"/>
      <c r="R81" s="323"/>
      <c r="S81" s="367"/>
      <c r="T81" s="367"/>
      <c r="U81" s="367"/>
    </row>
    <row r="82" spans="1:21" ht="45" customHeight="1" x14ac:dyDescent="0.25">
      <c r="A82" s="73" t="s">
        <v>86</v>
      </c>
      <c r="B82" s="285"/>
      <c r="C82" s="285"/>
      <c r="D82" s="285"/>
      <c r="E82" s="285"/>
      <c r="F82" s="285"/>
      <c r="G82" s="368"/>
      <c r="H82" s="368"/>
      <c r="I82" s="368"/>
      <c r="J82" s="259" t="s">
        <v>86</v>
      </c>
      <c r="K82" s="259"/>
      <c r="L82" s="285"/>
      <c r="M82" s="285"/>
      <c r="N82" s="285"/>
      <c r="O82" s="285"/>
      <c r="P82" s="285"/>
      <c r="Q82" s="285"/>
      <c r="R82" s="285"/>
      <c r="S82" s="367"/>
      <c r="T82" s="367"/>
      <c r="U82" s="367"/>
    </row>
    <row r="83" spans="1:21" ht="26.25" customHeight="1" x14ac:dyDescent="0.25"/>
    <row r="84" spans="1:21" ht="26.25" customHeight="1" x14ac:dyDescent="0.25"/>
    <row r="85" spans="1:21" ht="26.25" customHeight="1" x14ac:dyDescent="0.25"/>
    <row r="86" spans="1:21" ht="26.25" customHeight="1" x14ac:dyDescent="0.25"/>
  </sheetData>
  <mergeCells count="158">
    <mergeCell ref="A69:C69"/>
    <mergeCell ref="D69:F69"/>
    <mergeCell ref="A70:C70"/>
    <mergeCell ref="D70:F70"/>
    <mergeCell ref="B65:E65"/>
    <mergeCell ref="G65:J65"/>
    <mergeCell ref="L65:Q65"/>
    <mergeCell ref="S65:U65"/>
    <mergeCell ref="B66:E66"/>
    <mergeCell ref="P68:R68"/>
    <mergeCell ref="G66:J66"/>
    <mergeCell ref="L66:Q66"/>
    <mergeCell ref="S66:U66"/>
    <mergeCell ref="A67:U67"/>
    <mergeCell ref="A68:C68"/>
    <mergeCell ref="D68:F68"/>
    <mergeCell ref="G68:I68"/>
    <mergeCell ref="J68:L68"/>
    <mergeCell ref="S68:U68"/>
    <mergeCell ref="G69:I69"/>
    <mergeCell ref="J69:L69"/>
    <mergeCell ref="P69:R69"/>
    <mergeCell ref="S69:U69"/>
    <mergeCell ref="J81:K81"/>
    <mergeCell ref="S81:U82"/>
    <mergeCell ref="G81:I82"/>
    <mergeCell ref="B81:F81"/>
    <mergeCell ref="L81:R81"/>
    <mergeCell ref="J82:K82"/>
    <mergeCell ref="L82:R82"/>
    <mergeCell ref="B82:F82"/>
    <mergeCell ref="E78:R78"/>
    <mergeCell ref="S78:U78"/>
    <mergeCell ref="S80:U80"/>
    <mergeCell ref="A78:D78"/>
    <mergeCell ref="A80:F80"/>
    <mergeCell ref="G80:I80"/>
    <mergeCell ref="J80:R80"/>
    <mergeCell ref="D73:F73"/>
    <mergeCell ref="G73:I73"/>
    <mergeCell ref="J73:L73"/>
    <mergeCell ref="P73:R73"/>
    <mergeCell ref="E77:R77"/>
    <mergeCell ref="A76:D76"/>
    <mergeCell ref="S77:U77"/>
    <mergeCell ref="G70:I70"/>
    <mergeCell ref="J70:L70"/>
    <mergeCell ref="P70:R70"/>
    <mergeCell ref="S70:U70"/>
    <mergeCell ref="A73:C73"/>
    <mergeCell ref="S73:U73"/>
    <mergeCell ref="E76:R76"/>
    <mergeCell ref="S76:U76"/>
    <mergeCell ref="A72:U72"/>
    <mergeCell ref="A74:U74"/>
    <mergeCell ref="A77:D77"/>
    <mergeCell ref="S64:U64"/>
    <mergeCell ref="A51:D51"/>
    <mergeCell ref="E54:R54"/>
    <mergeCell ref="S54:T54"/>
    <mergeCell ref="U54:U55"/>
    <mergeCell ref="A63:U63"/>
    <mergeCell ref="A54:D55"/>
    <mergeCell ref="A56:D56"/>
    <mergeCell ref="A57:D57"/>
    <mergeCell ref="A58:D58"/>
    <mergeCell ref="A59:D59"/>
    <mergeCell ref="A60:D60"/>
    <mergeCell ref="A61:D61"/>
    <mergeCell ref="A62:U62"/>
    <mergeCell ref="C3:D3"/>
    <mergeCell ref="E3:F3"/>
    <mergeCell ref="B47:C47"/>
    <mergeCell ref="B48:C48"/>
    <mergeCell ref="B64:E64"/>
    <mergeCell ref="G64:J64"/>
    <mergeCell ref="L64:Q64"/>
    <mergeCell ref="B49:C49"/>
    <mergeCell ref="B50:C50"/>
    <mergeCell ref="F10:G10"/>
    <mergeCell ref="H10:I10"/>
    <mergeCell ref="B11:C11"/>
    <mergeCell ref="B12:C12"/>
    <mergeCell ref="A28:C28"/>
    <mergeCell ref="A29:C29"/>
    <mergeCell ref="A30:C30"/>
    <mergeCell ref="A34:C34"/>
    <mergeCell ref="E41:P41"/>
    <mergeCell ref="L1:U1"/>
    <mergeCell ref="B1:F1"/>
    <mergeCell ref="A14:U14"/>
    <mergeCell ref="L2:U2"/>
    <mergeCell ref="L3:U3"/>
    <mergeCell ref="L4:U4"/>
    <mergeCell ref="B2:F2"/>
    <mergeCell ref="B4:F4"/>
    <mergeCell ref="G4:H4"/>
    <mergeCell ref="J4:K4"/>
    <mergeCell ref="J11:R11"/>
    <mergeCell ref="S11:U11"/>
    <mergeCell ref="D9:I9"/>
    <mergeCell ref="S9:U9"/>
    <mergeCell ref="A5:U5"/>
    <mergeCell ref="A6:C6"/>
    <mergeCell ref="D6:I6"/>
    <mergeCell ref="J6:R6"/>
    <mergeCell ref="S6:U6"/>
    <mergeCell ref="A7:C7"/>
    <mergeCell ref="D7:I7"/>
    <mergeCell ref="J10:R10"/>
    <mergeCell ref="B9:C9"/>
    <mergeCell ref="B10:C10"/>
    <mergeCell ref="X16:Y17"/>
    <mergeCell ref="X22:Y23"/>
    <mergeCell ref="S7:U7"/>
    <mergeCell ref="A15:U15"/>
    <mergeCell ref="J7:K7"/>
    <mergeCell ref="L7:P7"/>
    <mergeCell ref="Q7:R7"/>
    <mergeCell ref="J9:R9"/>
    <mergeCell ref="F16:S16"/>
    <mergeCell ref="T16:U16"/>
    <mergeCell ref="A16:E17"/>
    <mergeCell ref="A18:E18"/>
    <mergeCell ref="A20:E20"/>
    <mergeCell ref="A21:U21"/>
    <mergeCell ref="S10:U10"/>
    <mergeCell ref="D11:I11"/>
    <mergeCell ref="D12:I12"/>
    <mergeCell ref="J12:R12"/>
    <mergeCell ref="A19:E19"/>
    <mergeCell ref="D10:E10"/>
    <mergeCell ref="A22:C23"/>
    <mergeCell ref="D22:D23"/>
    <mergeCell ref="E22:E23"/>
    <mergeCell ref="F22:S22"/>
    <mergeCell ref="T22:U22"/>
    <mergeCell ref="A24:C24"/>
    <mergeCell ref="A25:C25"/>
    <mergeCell ref="A26:C26"/>
    <mergeCell ref="A27:C27"/>
    <mergeCell ref="B43:C43"/>
    <mergeCell ref="B44:C44"/>
    <mergeCell ref="B45:C45"/>
    <mergeCell ref="B46:C46"/>
    <mergeCell ref="A31:C31"/>
    <mergeCell ref="A32:C32"/>
    <mergeCell ref="A33:C33"/>
    <mergeCell ref="A40:U40"/>
    <mergeCell ref="A35:C35"/>
    <mergeCell ref="A36:C36"/>
    <mergeCell ref="A37:C37"/>
    <mergeCell ref="A38:C38"/>
    <mergeCell ref="A39:C39"/>
    <mergeCell ref="S41:T41"/>
    <mergeCell ref="A41:A42"/>
    <mergeCell ref="B41:C42"/>
    <mergeCell ref="D41:D42"/>
  </mergeCells>
  <conditionalFormatting sqref="E56:U60 D12:R12 E43:Q50">
    <cfRule type="cellIs" dxfId="36" priority="315" operator="equal">
      <formula>0</formula>
    </cfRule>
  </conditionalFormatting>
  <conditionalFormatting sqref="E56:U60 F18:U20 F24:U39 B43:C50 D12:R12 E43:Q50">
    <cfRule type="containsBlanks" dxfId="35" priority="314">
      <formula>LEN(TRIM(B12))=0</formula>
    </cfRule>
  </conditionalFormatting>
  <dataValidations count="3">
    <dataValidation type="list" allowBlank="1" showInputMessage="1" showErrorMessage="1" sqref="B1:F1" xr:uid="{00000000-0002-0000-0000-000000000000}">
      <formula1>"pharmacy, dentistry"</formula1>
    </dataValidation>
    <dataValidation type="list" allowBlank="1" showInputMessage="1" showErrorMessage="1" sqref="L7:P7" xr:uid="{00000000-0002-0000-0000-000001000000}">
      <formula1>"Pharmaceutical sciences,Pharm D, dentistry "</formula1>
    </dataValidation>
    <dataValidation type="list" allowBlank="1" showInputMessage="1" showErrorMessage="1" sqref="J10:R10" xr:uid="{00000000-0002-0000-0000-000002000000}">
      <formula1>"required, elective, free elective"</formula1>
    </dataValidation>
  </dataValidations>
  <printOptions horizontalCentered="1"/>
  <pageMargins left="0.5" right="0.196850393700787" top="1" bottom="1" header="0.196850393700787" footer="0.196850393700787"/>
  <pageSetup paperSize="9" scale="5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HideMid1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intSheet">
                <anchor moveWithCells="1" sizeWithCells="1">
                  <from>
                    <xdr:col>21</xdr:col>
                    <xdr:colOff>209550</xdr:colOff>
                    <xdr:row>2</xdr:row>
                    <xdr:rowOff>0</xdr:rowOff>
                  </from>
                  <to>
                    <xdr:col>24</xdr:col>
                    <xdr:colOff>209550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 macro="[0]!HideMid2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 macro="[0]!HideMid3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HideQuizzes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HideAssignment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 macro="[0]!HideProjects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 macro="[0]!HideReports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 macro="[0]!HideFinal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PrintActiveSheets">
                <anchor moveWithCells="1" sizeWithCells="1">
                  <from>
                    <xdr:col>21</xdr:col>
                    <xdr:colOff>190500</xdr:colOff>
                    <xdr:row>0</xdr:row>
                    <xdr:rowOff>123825</xdr:rowOff>
                  </from>
                  <to>
                    <xdr:col>24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Spinner 12">
              <controlPr defaultSize="0" autoPict="0">
                <anchor moveWithCells="1" sizeWithCells="1">
                  <from>
                    <xdr:col>21</xdr:col>
                    <xdr:colOff>266700</xdr:colOff>
                    <xdr:row>15</xdr:row>
                    <xdr:rowOff>38100</xdr:rowOff>
                  </from>
                  <to>
                    <xdr:col>22</xdr:col>
                    <xdr:colOff>190500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Spinner 13">
              <controlPr defaultSize="0" autoPict="0">
                <anchor moveWithCells="1" sizeWithCells="1">
                  <from>
                    <xdr:col>21</xdr:col>
                    <xdr:colOff>342900</xdr:colOff>
                    <xdr:row>21</xdr:row>
                    <xdr:rowOff>38100</xdr:rowOff>
                  </from>
                  <to>
                    <xdr:col>22</xdr:col>
                    <xdr:colOff>266700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Check Box 17">
              <controlPr defaultSize="0" autoFill="0" autoLine="0" autoPict="0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9" name="Check Box 18">
              <controlPr defaultSize="0" autoFill="0" autoLine="0" autoPict="0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Check Box 19">
              <controlPr defaultSize="0" autoFill="0" autoLine="0" autoPict="0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Check Box 20">
              <controlPr defaultSize="0" autoFill="0" autoLine="0" autoPict="0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2" name="Check Box 21">
              <controlPr defaultSize="0" autoFill="0" autoLine="0" autoPict="0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3" name="Check Box 22">
              <controlPr defaultSize="0" autoFill="0" autoLine="0" autoPict="0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  <pageSetUpPr fitToPage="1"/>
  </sheetPr>
  <dimension ref="A1:R117"/>
  <sheetViews>
    <sheetView showGridLines="0" tabSelected="1" zoomScale="115" zoomScaleNormal="11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L6" sqref="L6"/>
    </sheetView>
  </sheetViews>
  <sheetFormatPr defaultColWidth="9.140625" defaultRowHeight="20.25" customHeight="1" x14ac:dyDescent="0.25"/>
  <cols>
    <col min="1" max="1" width="7.28515625" style="26" customWidth="1"/>
    <col min="2" max="2" width="21.42578125" style="23" bestFit="1" customWidth="1"/>
    <col min="3" max="3" width="7.42578125" style="23" bestFit="1" customWidth="1"/>
    <col min="4" max="4" width="10.28515625" style="23" customWidth="1"/>
    <col min="5" max="5" width="14.7109375" style="23" customWidth="1"/>
    <col min="6" max="6" width="36" style="23" customWidth="1"/>
    <col min="7" max="7" width="11.42578125" style="23" customWidth="1"/>
    <col min="8" max="8" width="11" style="23" customWidth="1"/>
    <col min="9" max="9" width="10.85546875" style="23" customWidth="1"/>
    <col min="10" max="10" width="12.7109375" style="23" customWidth="1"/>
    <col min="11" max="12" width="9.140625" style="23"/>
    <col min="13" max="13" width="9.85546875" style="23" customWidth="1"/>
    <col min="14" max="17" width="9.140625" style="23"/>
    <col min="18" max="18" width="16.85546875" style="23" customWidth="1"/>
    <col min="19" max="16384" width="9.140625" style="23"/>
  </cols>
  <sheetData>
    <row r="1" spans="1:18" ht="30" customHeight="1" x14ac:dyDescent="0.25">
      <c r="A1" s="73" t="s">
        <v>12</v>
      </c>
      <c r="B1" s="73">
        <f>Config!B3</f>
        <v>462</v>
      </c>
      <c r="C1" s="73" t="s">
        <v>150</v>
      </c>
      <c r="D1" s="73" t="str">
        <f>Config!A10</f>
        <v>PHG301</v>
      </c>
      <c r="E1" s="150" t="s">
        <v>0</v>
      </c>
      <c r="F1" s="275" t="str">
        <f>Config!B4</f>
        <v>Pharmacognosy-I</v>
      </c>
      <c r="G1" s="275"/>
      <c r="H1" s="200"/>
      <c r="I1" s="22" t="s">
        <v>1</v>
      </c>
      <c r="J1" s="22" t="s">
        <v>2</v>
      </c>
      <c r="M1" s="114" t="s">
        <v>105</v>
      </c>
      <c r="Q1" s="23" t="s">
        <v>109</v>
      </c>
      <c r="R1" s="23" t="s">
        <v>102</v>
      </c>
    </row>
    <row r="2" spans="1:18" ht="20.25" customHeight="1" x14ac:dyDescent="0.25">
      <c r="A2" s="105" t="s">
        <v>3</v>
      </c>
      <c r="B2" s="105" t="s">
        <v>4</v>
      </c>
      <c r="C2" s="105" t="s">
        <v>5</v>
      </c>
      <c r="D2" s="105" t="s">
        <v>6</v>
      </c>
      <c r="E2" s="105" t="s">
        <v>151</v>
      </c>
      <c r="F2" s="105" t="s">
        <v>8</v>
      </c>
      <c r="G2" s="105" t="s">
        <v>101</v>
      </c>
      <c r="H2" s="105" t="s">
        <v>210</v>
      </c>
      <c r="I2" s="370">
        <v>9</v>
      </c>
      <c r="J2" s="371"/>
      <c r="Q2" s="23" t="s">
        <v>153</v>
      </c>
      <c r="R2" s="23" t="s">
        <v>154</v>
      </c>
    </row>
    <row r="3" spans="1:18" ht="20.25" customHeight="1" x14ac:dyDescent="0.25">
      <c r="A3" s="24">
        <v>1</v>
      </c>
      <c r="B3" s="62" t="str">
        <f>Config!L7</f>
        <v>Pharmaceutical sciences</v>
      </c>
      <c r="C3" s="72"/>
      <c r="D3" s="72"/>
      <c r="E3" s="243">
        <v>431003107</v>
      </c>
      <c r="F3" s="243" t="s">
        <v>268</v>
      </c>
      <c r="G3" s="62"/>
      <c r="H3" s="198"/>
      <c r="I3" s="50" t="s">
        <v>9</v>
      </c>
      <c r="J3" s="27">
        <v>110</v>
      </c>
      <c r="R3" s="23" t="s">
        <v>157</v>
      </c>
    </row>
    <row r="4" spans="1:18" ht="20.25" customHeight="1" x14ac:dyDescent="0.25">
      <c r="A4" s="24">
        <v>2</v>
      </c>
      <c r="B4" s="62" t="str">
        <f>Config!L7</f>
        <v>Pharmaceutical sciences</v>
      </c>
      <c r="C4" s="72"/>
      <c r="D4" s="72"/>
      <c r="E4" s="243">
        <v>431003423</v>
      </c>
      <c r="F4" s="243" t="s">
        <v>269</v>
      </c>
      <c r="G4" s="62"/>
      <c r="H4" s="198"/>
      <c r="I4" s="50" t="s">
        <v>10</v>
      </c>
      <c r="J4" s="27">
        <v>1</v>
      </c>
      <c r="R4" s="23" t="s">
        <v>155</v>
      </c>
    </row>
    <row r="5" spans="1:18" ht="20.25" customHeight="1" x14ac:dyDescent="0.25">
      <c r="A5" s="24">
        <v>3</v>
      </c>
      <c r="B5" s="62" t="str">
        <f>Config!L7</f>
        <v>Pharmaceutical sciences</v>
      </c>
      <c r="C5" s="72"/>
      <c r="D5" s="72"/>
      <c r="E5" s="243">
        <v>431003483</v>
      </c>
      <c r="F5" s="243" t="s">
        <v>270</v>
      </c>
      <c r="G5" s="62"/>
      <c r="H5" s="198"/>
      <c r="R5" s="23" t="s">
        <v>156</v>
      </c>
    </row>
    <row r="6" spans="1:18" ht="20.25" customHeight="1" x14ac:dyDescent="0.25">
      <c r="A6" s="24">
        <v>4</v>
      </c>
      <c r="B6" s="62" t="str">
        <f>Config!L7</f>
        <v>Pharmaceutical sciences</v>
      </c>
      <c r="C6" s="72"/>
      <c r="D6" s="72"/>
      <c r="E6" s="243">
        <v>432003601</v>
      </c>
      <c r="F6" s="243" t="s">
        <v>271</v>
      </c>
      <c r="G6" s="62"/>
      <c r="H6" s="198"/>
    </row>
    <row r="7" spans="1:18" ht="20.25" customHeight="1" x14ac:dyDescent="0.25">
      <c r="A7" s="24">
        <v>5</v>
      </c>
      <c r="B7" s="62" t="str">
        <f>Config!L7</f>
        <v>Pharmaceutical sciences</v>
      </c>
      <c r="C7" s="72"/>
      <c r="D7" s="72"/>
      <c r="E7" s="243">
        <v>432003648</v>
      </c>
      <c r="F7" s="243" t="s">
        <v>272</v>
      </c>
      <c r="G7" s="62"/>
      <c r="H7" s="198"/>
    </row>
    <row r="8" spans="1:18" ht="20.25" customHeight="1" x14ac:dyDescent="0.25">
      <c r="A8" s="24">
        <v>6</v>
      </c>
      <c r="B8" s="62" t="str">
        <f>Config!L7</f>
        <v>Pharmaceutical sciences</v>
      </c>
      <c r="C8" s="72"/>
      <c r="D8" s="72"/>
      <c r="E8" s="243">
        <v>432003748</v>
      </c>
      <c r="F8" s="243" t="s">
        <v>273</v>
      </c>
      <c r="G8" s="62"/>
      <c r="H8" s="198"/>
    </row>
    <row r="9" spans="1:18" ht="20.25" customHeight="1" x14ac:dyDescent="0.25">
      <c r="A9" s="24">
        <v>7</v>
      </c>
      <c r="B9" s="62" t="str">
        <f>Config!L7</f>
        <v>Pharmaceutical sciences</v>
      </c>
      <c r="C9" s="72"/>
      <c r="D9" s="72"/>
      <c r="E9" s="243">
        <v>452003804</v>
      </c>
      <c r="F9" s="243" t="s">
        <v>274</v>
      </c>
      <c r="G9" s="62"/>
      <c r="H9" s="198"/>
    </row>
    <row r="10" spans="1:18" ht="20.25" customHeight="1" x14ac:dyDescent="0.25">
      <c r="A10" s="24">
        <v>8</v>
      </c>
      <c r="B10" s="62" t="str">
        <f>Config!L7</f>
        <v>Pharmaceutical sciences</v>
      </c>
      <c r="C10" s="72"/>
      <c r="D10" s="72"/>
      <c r="E10" s="243">
        <v>452003886</v>
      </c>
      <c r="F10" s="243" t="s">
        <v>275</v>
      </c>
      <c r="G10" s="62"/>
      <c r="H10" s="198"/>
    </row>
    <row r="11" spans="1:18" ht="20.25" customHeight="1" x14ac:dyDescent="0.25">
      <c r="A11" s="24">
        <v>9</v>
      </c>
      <c r="B11" s="62" t="str">
        <f>Config!L7</f>
        <v>Pharmaceutical sciences</v>
      </c>
      <c r="C11" s="72"/>
      <c r="D11" s="72"/>
      <c r="E11" s="243">
        <v>461003576</v>
      </c>
      <c r="F11" s="243" t="s">
        <v>276</v>
      </c>
      <c r="G11" s="62"/>
      <c r="H11" s="198"/>
    </row>
    <row r="12" spans="1:18" ht="20.25" hidden="1" customHeight="1" x14ac:dyDescent="0.25">
      <c r="A12" s="24">
        <v>10</v>
      </c>
      <c r="B12" s="62" t="str">
        <f>Config!L7</f>
        <v>Pharmaceutical sciences</v>
      </c>
      <c r="C12" s="72"/>
      <c r="D12" s="72"/>
      <c r="E12" s="218"/>
      <c r="F12" s="219"/>
      <c r="G12" s="62"/>
      <c r="H12" s="198"/>
    </row>
    <row r="13" spans="1:18" ht="20.25" hidden="1" customHeight="1" x14ac:dyDescent="0.25">
      <c r="A13" s="24">
        <v>11</v>
      </c>
      <c r="B13" s="62" t="str">
        <f>Config!L7</f>
        <v>Pharmaceutical sciences</v>
      </c>
      <c r="C13" s="72"/>
      <c r="D13" s="72"/>
      <c r="E13" s="218"/>
      <c r="F13" s="219"/>
      <c r="G13" s="62"/>
      <c r="H13" s="198"/>
    </row>
    <row r="14" spans="1:18" ht="20.25" hidden="1" customHeight="1" x14ac:dyDescent="0.25">
      <c r="A14" s="24">
        <v>12</v>
      </c>
      <c r="B14" s="62" t="str">
        <f>Config!L7</f>
        <v>Pharmaceutical sciences</v>
      </c>
      <c r="C14" s="72"/>
      <c r="D14" s="72"/>
      <c r="E14" s="218"/>
      <c r="F14" s="219"/>
      <c r="G14" s="62"/>
      <c r="H14" s="198"/>
    </row>
    <row r="15" spans="1:18" ht="20.25" hidden="1" customHeight="1" x14ac:dyDescent="0.25">
      <c r="A15" s="24">
        <v>13</v>
      </c>
      <c r="B15" s="62" t="str">
        <f>Config!L7</f>
        <v>Pharmaceutical sciences</v>
      </c>
      <c r="C15" s="72"/>
      <c r="D15" s="72"/>
      <c r="E15" s="218"/>
      <c r="F15" s="219"/>
      <c r="G15" s="62"/>
      <c r="H15" s="198"/>
    </row>
    <row r="16" spans="1:18" ht="20.25" hidden="1" customHeight="1" x14ac:dyDescent="0.25">
      <c r="A16" s="24">
        <v>14</v>
      </c>
      <c r="B16" s="62" t="str">
        <f>Config!L7</f>
        <v>Pharmaceutical sciences</v>
      </c>
      <c r="C16" s="72"/>
      <c r="D16" s="72"/>
      <c r="E16" s="218"/>
      <c r="F16" s="219"/>
      <c r="G16" s="62"/>
      <c r="H16" s="198"/>
    </row>
    <row r="17" spans="1:8" ht="20.25" hidden="1" customHeight="1" x14ac:dyDescent="0.25">
      <c r="A17" s="24">
        <v>15</v>
      </c>
      <c r="B17" s="62" t="str">
        <f>Config!L7</f>
        <v>Pharmaceutical sciences</v>
      </c>
      <c r="C17" s="72"/>
      <c r="D17" s="72"/>
      <c r="E17" s="218"/>
      <c r="F17" s="219"/>
      <c r="G17" s="62"/>
      <c r="H17" s="198"/>
    </row>
    <row r="18" spans="1:8" ht="20.25" hidden="1" customHeight="1" x14ac:dyDescent="0.25">
      <c r="A18" s="24">
        <v>16</v>
      </c>
      <c r="B18" s="62" t="str">
        <f>Config!L7</f>
        <v>Pharmaceutical sciences</v>
      </c>
      <c r="C18" s="72"/>
      <c r="D18" s="72"/>
      <c r="E18" s="218"/>
      <c r="F18" s="219"/>
      <c r="G18" s="62"/>
      <c r="H18" s="198"/>
    </row>
    <row r="19" spans="1:8" ht="20.25" hidden="1" customHeight="1" x14ac:dyDescent="0.25">
      <c r="A19" s="24">
        <v>17</v>
      </c>
      <c r="B19" s="62" t="str">
        <f>Config!L7</f>
        <v>Pharmaceutical sciences</v>
      </c>
      <c r="C19" s="72"/>
      <c r="D19" s="72"/>
      <c r="E19" s="218"/>
      <c r="F19" s="219"/>
      <c r="G19" s="62"/>
      <c r="H19" s="198"/>
    </row>
    <row r="20" spans="1:8" ht="20.25" hidden="1" customHeight="1" x14ac:dyDescent="0.25">
      <c r="A20" s="24">
        <v>18</v>
      </c>
      <c r="B20" s="62" t="str">
        <f>Config!L7</f>
        <v>Pharmaceutical sciences</v>
      </c>
      <c r="C20" s="72"/>
      <c r="D20" s="72"/>
      <c r="E20" s="218"/>
      <c r="F20" s="219"/>
      <c r="G20" s="62"/>
      <c r="H20" s="198"/>
    </row>
    <row r="21" spans="1:8" ht="20.25" hidden="1" customHeight="1" x14ac:dyDescent="0.25">
      <c r="A21" s="24">
        <v>19</v>
      </c>
      <c r="B21" s="62" t="str">
        <f>Config!L7</f>
        <v>Pharmaceutical sciences</v>
      </c>
      <c r="C21" s="72"/>
      <c r="D21" s="72"/>
      <c r="E21" s="218"/>
      <c r="F21" s="219"/>
      <c r="G21" s="62"/>
      <c r="H21" s="198"/>
    </row>
    <row r="22" spans="1:8" ht="20.25" hidden="1" customHeight="1" x14ac:dyDescent="0.25">
      <c r="A22" s="24">
        <v>20</v>
      </c>
      <c r="B22" s="62" t="str">
        <f>Config!L7</f>
        <v>Pharmaceutical sciences</v>
      </c>
      <c r="C22" s="72"/>
      <c r="D22" s="72"/>
      <c r="E22" s="218"/>
      <c r="F22" s="219"/>
      <c r="G22" s="62"/>
      <c r="H22" s="198"/>
    </row>
    <row r="23" spans="1:8" ht="20.25" hidden="1" customHeight="1" x14ac:dyDescent="0.25">
      <c r="A23" s="24">
        <v>21</v>
      </c>
      <c r="B23" s="62" t="str">
        <f>Config!L7</f>
        <v>Pharmaceutical sciences</v>
      </c>
      <c r="C23" s="62"/>
      <c r="D23" s="62"/>
      <c r="E23" s="217"/>
      <c r="F23" s="216"/>
      <c r="G23" s="62"/>
      <c r="H23" s="198"/>
    </row>
    <row r="24" spans="1:8" ht="20.25" hidden="1" customHeight="1" x14ac:dyDescent="0.25">
      <c r="A24" s="24">
        <v>22</v>
      </c>
      <c r="B24" s="62" t="str">
        <f>Config!L7</f>
        <v>Pharmaceutical sciences</v>
      </c>
      <c r="C24" s="62"/>
      <c r="D24" s="62"/>
      <c r="E24" s="217"/>
      <c r="F24" s="216"/>
      <c r="G24" s="62"/>
      <c r="H24" s="198"/>
    </row>
    <row r="25" spans="1:8" ht="20.25" hidden="1" customHeight="1" x14ac:dyDescent="0.25">
      <c r="A25" s="24">
        <v>23</v>
      </c>
      <c r="B25" s="62" t="str">
        <f>Config!L7</f>
        <v>Pharmaceutical sciences</v>
      </c>
      <c r="C25" s="62"/>
      <c r="D25" s="62"/>
      <c r="E25" s="217"/>
      <c r="F25" s="216"/>
      <c r="G25" s="62"/>
      <c r="H25" s="198"/>
    </row>
    <row r="26" spans="1:8" ht="20.25" hidden="1" customHeight="1" x14ac:dyDescent="0.25">
      <c r="A26" s="24">
        <v>24</v>
      </c>
      <c r="B26" s="62" t="str">
        <f>Config!L7</f>
        <v>Pharmaceutical sciences</v>
      </c>
      <c r="C26" s="62"/>
      <c r="D26" s="62"/>
      <c r="E26" s="217"/>
      <c r="F26" s="216"/>
      <c r="G26" s="62"/>
      <c r="H26" s="198"/>
    </row>
    <row r="27" spans="1:8" ht="20.25" hidden="1" customHeight="1" x14ac:dyDescent="0.25">
      <c r="A27" s="24">
        <v>25</v>
      </c>
      <c r="B27" s="62" t="str">
        <f>Config!L7</f>
        <v>Pharmaceutical sciences</v>
      </c>
      <c r="C27" s="62"/>
      <c r="D27" s="62"/>
      <c r="E27" s="217"/>
      <c r="F27" s="216"/>
      <c r="G27" s="62"/>
      <c r="H27" s="198"/>
    </row>
    <row r="28" spans="1:8" ht="20.25" hidden="1" customHeight="1" x14ac:dyDescent="0.25">
      <c r="A28" s="24">
        <v>26</v>
      </c>
      <c r="B28" s="62" t="str">
        <f>Config!L7</f>
        <v>Pharmaceutical sciences</v>
      </c>
      <c r="C28" s="62"/>
      <c r="D28" s="62"/>
      <c r="E28" s="217"/>
      <c r="F28" s="216"/>
      <c r="G28" s="62"/>
      <c r="H28" s="198"/>
    </row>
    <row r="29" spans="1:8" ht="20.25" hidden="1" customHeight="1" x14ac:dyDescent="0.25">
      <c r="A29" s="24">
        <v>27</v>
      </c>
      <c r="B29" s="62" t="str">
        <f>Config!L7</f>
        <v>Pharmaceutical sciences</v>
      </c>
      <c r="C29" s="62"/>
      <c r="D29" s="62"/>
      <c r="E29" s="217"/>
      <c r="F29" s="216"/>
      <c r="G29" s="62"/>
      <c r="H29" s="198"/>
    </row>
    <row r="30" spans="1:8" ht="20.25" hidden="1" customHeight="1" x14ac:dyDescent="0.25">
      <c r="A30" s="24">
        <v>28</v>
      </c>
      <c r="B30" s="62" t="str">
        <f>Config!L7</f>
        <v>Pharmaceutical sciences</v>
      </c>
      <c r="C30" s="62"/>
      <c r="D30" s="62"/>
      <c r="E30" s="217"/>
      <c r="F30" s="216"/>
      <c r="G30" s="62"/>
      <c r="H30" s="198"/>
    </row>
    <row r="31" spans="1:8" ht="20.25" hidden="1" customHeight="1" x14ac:dyDescent="0.25">
      <c r="A31" s="24">
        <v>29</v>
      </c>
      <c r="B31" s="62" t="str">
        <f>Config!L7</f>
        <v>Pharmaceutical sciences</v>
      </c>
      <c r="C31" s="62"/>
      <c r="D31" s="62"/>
      <c r="E31" s="217"/>
      <c r="F31" s="216"/>
      <c r="G31" s="62"/>
      <c r="H31" s="198"/>
    </row>
    <row r="32" spans="1:8" ht="20.25" hidden="1" customHeight="1" x14ac:dyDescent="0.25">
      <c r="A32" s="24">
        <v>30</v>
      </c>
      <c r="B32" s="62" t="str">
        <f>Config!L7</f>
        <v>Pharmaceutical sciences</v>
      </c>
      <c r="C32" s="62"/>
      <c r="D32" s="62"/>
      <c r="E32" s="217"/>
      <c r="F32" s="216"/>
      <c r="G32" s="62"/>
      <c r="H32" s="198"/>
    </row>
    <row r="33" spans="1:8" ht="20.25" hidden="1" customHeight="1" x14ac:dyDescent="0.25">
      <c r="A33" s="24">
        <v>31</v>
      </c>
      <c r="B33" s="62" t="str">
        <f>Config!L7</f>
        <v>Pharmaceutical sciences</v>
      </c>
      <c r="C33" s="62"/>
      <c r="D33" s="62"/>
      <c r="E33" s="217"/>
      <c r="F33" s="216"/>
      <c r="G33" s="62"/>
      <c r="H33" s="198"/>
    </row>
    <row r="34" spans="1:8" ht="20.25" hidden="1" customHeight="1" x14ac:dyDescent="0.25">
      <c r="A34" s="24">
        <v>32</v>
      </c>
      <c r="B34" s="62" t="str">
        <f>Config!L7</f>
        <v>Pharmaceutical sciences</v>
      </c>
      <c r="C34" s="62"/>
      <c r="D34" s="62"/>
      <c r="E34" s="217"/>
      <c r="F34" s="216"/>
      <c r="G34" s="62"/>
      <c r="H34" s="198"/>
    </row>
    <row r="35" spans="1:8" ht="20.25" hidden="1" customHeight="1" x14ac:dyDescent="0.25">
      <c r="A35" s="24">
        <v>33</v>
      </c>
      <c r="B35" s="62" t="str">
        <f>Config!L7</f>
        <v>Pharmaceutical sciences</v>
      </c>
      <c r="C35" s="62"/>
      <c r="D35" s="62"/>
      <c r="E35" s="217"/>
      <c r="F35" s="216"/>
      <c r="G35" s="62"/>
      <c r="H35" s="198"/>
    </row>
    <row r="36" spans="1:8" ht="20.25" hidden="1" customHeight="1" x14ac:dyDescent="0.25">
      <c r="A36" s="24">
        <v>34</v>
      </c>
      <c r="B36" s="62" t="str">
        <f>Config!L7</f>
        <v>Pharmaceutical sciences</v>
      </c>
      <c r="C36" s="62"/>
      <c r="D36" s="62"/>
      <c r="E36" s="217"/>
      <c r="F36" s="216"/>
      <c r="G36" s="62"/>
      <c r="H36" s="198"/>
    </row>
    <row r="37" spans="1:8" ht="20.25" hidden="1" customHeight="1" x14ac:dyDescent="0.25">
      <c r="A37" s="24">
        <v>35</v>
      </c>
      <c r="B37" s="62" t="str">
        <f>Config!L7</f>
        <v>Pharmaceutical sciences</v>
      </c>
      <c r="C37" s="62"/>
      <c r="D37" s="62"/>
      <c r="E37" s="217"/>
      <c r="F37" s="216"/>
      <c r="G37" s="62"/>
      <c r="H37" s="198"/>
    </row>
    <row r="38" spans="1:8" ht="20.25" hidden="1" customHeight="1" x14ac:dyDescent="0.25">
      <c r="A38" s="24">
        <v>36</v>
      </c>
      <c r="B38" s="62" t="str">
        <f>Config!L7</f>
        <v>Pharmaceutical sciences</v>
      </c>
      <c r="C38" s="62"/>
      <c r="D38" s="62"/>
      <c r="E38" s="217"/>
      <c r="F38" s="216"/>
      <c r="G38" s="62"/>
      <c r="H38" s="198"/>
    </row>
    <row r="39" spans="1:8" ht="20.25" hidden="1" customHeight="1" x14ac:dyDescent="0.25">
      <c r="A39" s="24">
        <v>37</v>
      </c>
      <c r="B39" s="62" t="str">
        <f>Config!L7</f>
        <v>Pharmaceutical sciences</v>
      </c>
      <c r="C39" s="62"/>
      <c r="D39" s="62"/>
      <c r="E39" s="217"/>
      <c r="F39" s="216"/>
      <c r="G39" s="62"/>
      <c r="H39" s="198"/>
    </row>
    <row r="40" spans="1:8" ht="20.25" hidden="1" customHeight="1" x14ac:dyDescent="0.25">
      <c r="A40" s="24">
        <v>38</v>
      </c>
      <c r="B40" s="62" t="str">
        <f>Config!L7</f>
        <v>Pharmaceutical sciences</v>
      </c>
      <c r="C40" s="62"/>
      <c r="D40" s="62"/>
      <c r="E40" s="217"/>
      <c r="F40" s="216"/>
      <c r="G40" s="62"/>
      <c r="H40" s="198"/>
    </row>
    <row r="41" spans="1:8" ht="20.25" hidden="1" customHeight="1" x14ac:dyDescent="0.25">
      <c r="A41" s="24">
        <v>39</v>
      </c>
      <c r="B41" s="62" t="str">
        <f>Config!L7</f>
        <v>Pharmaceutical sciences</v>
      </c>
      <c r="C41" s="62"/>
      <c r="D41" s="62"/>
      <c r="E41" s="217"/>
      <c r="F41" s="216"/>
      <c r="G41" s="62"/>
      <c r="H41" s="198"/>
    </row>
    <row r="42" spans="1:8" ht="20.25" hidden="1" customHeight="1" x14ac:dyDescent="0.25">
      <c r="A42" s="24">
        <v>40</v>
      </c>
      <c r="B42" s="62" t="str">
        <f>Config!L7</f>
        <v>Pharmaceutical sciences</v>
      </c>
      <c r="C42" s="62"/>
      <c r="D42" s="62"/>
      <c r="E42" s="217"/>
      <c r="F42" s="216"/>
      <c r="G42" s="62"/>
      <c r="H42" s="198"/>
    </row>
    <row r="43" spans="1:8" ht="20.25" hidden="1" customHeight="1" x14ac:dyDescent="0.25">
      <c r="A43" s="24">
        <v>41</v>
      </c>
      <c r="B43" s="62" t="str">
        <f>Config!L7</f>
        <v>Pharmaceutical sciences</v>
      </c>
      <c r="C43" s="62"/>
      <c r="D43" s="62"/>
      <c r="E43" s="217"/>
      <c r="F43" s="216"/>
      <c r="G43" s="62"/>
      <c r="H43" s="198"/>
    </row>
    <row r="44" spans="1:8" ht="20.25" hidden="1" customHeight="1" x14ac:dyDescent="0.25">
      <c r="A44" s="24">
        <v>42</v>
      </c>
      <c r="B44" s="62" t="str">
        <f>Config!L7</f>
        <v>Pharmaceutical sciences</v>
      </c>
      <c r="C44" s="62"/>
      <c r="D44" s="62"/>
      <c r="E44" s="217"/>
      <c r="F44" s="216"/>
      <c r="G44" s="62"/>
      <c r="H44" s="198"/>
    </row>
    <row r="45" spans="1:8" ht="20.25" hidden="1" customHeight="1" x14ac:dyDescent="0.25">
      <c r="A45" s="24">
        <v>43</v>
      </c>
      <c r="B45" s="62" t="str">
        <f>Config!L7</f>
        <v>Pharmaceutical sciences</v>
      </c>
      <c r="C45" s="62"/>
      <c r="D45" s="62"/>
      <c r="E45" s="217"/>
      <c r="F45" s="216"/>
      <c r="G45" s="62"/>
      <c r="H45" s="198"/>
    </row>
    <row r="46" spans="1:8" ht="20.25" hidden="1" customHeight="1" x14ac:dyDescent="0.25">
      <c r="A46" s="24">
        <v>44</v>
      </c>
      <c r="B46" s="62" t="str">
        <f>Config!L7</f>
        <v>Pharmaceutical sciences</v>
      </c>
      <c r="C46" s="62"/>
      <c r="D46" s="62"/>
      <c r="E46" s="217"/>
      <c r="F46" s="216"/>
      <c r="G46" s="62"/>
      <c r="H46" s="198"/>
    </row>
    <row r="47" spans="1:8" ht="20.25" hidden="1" customHeight="1" x14ac:dyDescent="0.25">
      <c r="A47" s="24">
        <v>45</v>
      </c>
      <c r="B47" s="62" t="str">
        <f>Config!L7</f>
        <v>Pharmaceutical sciences</v>
      </c>
      <c r="C47" s="62"/>
      <c r="D47" s="62"/>
      <c r="E47" s="217"/>
      <c r="F47" s="216"/>
      <c r="G47" s="62"/>
      <c r="H47" s="198"/>
    </row>
    <row r="48" spans="1:8" ht="20.25" hidden="1" customHeight="1" x14ac:dyDescent="0.25">
      <c r="A48" s="24">
        <v>46</v>
      </c>
      <c r="B48" s="25" t="str">
        <f>Config!L7</f>
        <v>Pharmaceutical sciences</v>
      </c>
      <c r="C48" s="62"/>
      <c r="D48" s="62"/>
      <c r="E48" s="62"/>
      <c r="F48" s="62"/>
      <c r="G48" s="62"/>
      <c r="H48" s="198"/>
    </row>
    <row r="49" spans="1:8" ht="20.25" hidden="1" customHeight="1" x14ac:dyDescent="0.25">
      <c r="A49" s="24">
        <v>47</v>
      </c>
      <c r="B49" s="25" t="str">
        <f>Config!L7</f>
        <v>Pharmaceutical sciences</v>
      </c>
      <c r="C49" s="62"/>
      <c r="D49" s="62"/>
      <c r="E49" s="62"/>
      <c r="F49" s="62"/>
      <c r="G49" s="62"/>
      <c r="H49" s="198"/>
    </row>
    <row r="50" spans="1:8" ht="20.25" hidden="1" customHeight="1" x14ac:dyDescent="0.25">
      <c r="A50" s="24">
        <v>48</v>
      </c>
      <c r="B50" s="25" t="str">
        <f>Config!L7</f>
        <v>Pharmaceutical sciences</v>
      </c>
      <c r="C50" s="62"/>
      <c r="D50" s="62"/>
      <c r="E50" s="62"/>
      <c r="F50" s="62"/>
      <c r="G50" s="62"/>
      <c r="H50" s="198"/>
    </row>
    <row r="51" spans="1:8" ht="20.25" hidden="1" customHeight="1" x14ac:dyDescent="0.25">
      <c r="A51" s="24">
        <v>49</v>
      </c>
      <c r="B51" s="25" t="str">
        <f>Config!L7</f>
        <v>Pharmaceutical sciences</v>
      </c>
      <c r="C51" s="62"/>
      <c r="D51" s="62"/>
      <c r="E51" s="62"/>
      <c r="F51" s="62"/>
      <c r="G51" s="62"/>
      <c r="H51" s="198"/>
    </row>
    <row r="52" spans="1:8" ht="20.25" hidden="1" customHeight="1" x14ac:dyDescent="0.25">
      <c r="A52" s="24">
        <v>50</v>
      </c>
      <c r="B52" s="25" t="str">
        <f>Config!L7</f>
        <v>Pharmaceutical sciences</v>
      </c>
      <c r="C52" s="62"/>
      <c r="D52" s="62"/>
      <c r="E52" s="62"/>
      <c r="F52" s="62"/>
      <c r="G52" s="62"/>
      <c r="H52" s="198"/>
    </row>
    <row r="53" spans="1:8" ht="20.25" hidden="1" customHeight="1" x14ac:dyDescent="0.25">
      <c r="A53" s="24">
        <v>51</v>
      </c>
      <c r="B53" s="25" t="str">
        <f>Config!L7</f>
        <v>Pharmaceutical sciences</v>
      </c>
      <c r="C53" s="62"/>
      <c r="D53" s="62"/>
      <c r="E53" s="62"/>
      <c r="F53" s="62"/>
      <c r="G53" s="62"/>
      <c r="H53" s="198"/>
    </row>
    <row r="54" spans="1:8" ht="20.25" hidden="1" customHeight="1" x14ac:dyDescent="0.25">
      <c r="A54" s="24">
        <v>52</v>
      </c>
      <c r="B54" s="25" t="str">
        <f>Config!L7</f>
        <v>Pharmaceutical sciences</v>
      </c>
      <c r="C54" s="62"/>
      <c r="D54" s="62"/>
      <c r="E54" s="62"/>
      <c r="F54" s="62"/>
      <c r="G54" s="62"/>
      <c r="H54" s="198"/>
    </row>
    <row r="55" spans="1:8" ht="20.25" hidden="1" customHeight="1" x14ac:dyDescent="0.25">
      <c r="A55" s="24">
        <v>53</v>
      </c>
      <c r="B55" s="25" t="str">
        <f>Config!L7</f>
        <v>Pharmaceutical sciences</v>
      </c>
      <c r="C55" s="62"/>
      <c r="D55" s="62"/>
      <c r="E55" s="62"/>
      <c r="F55" s="62"/>
      <c r="G55" s="62"/>
      <c r="H55" s="198"/>
    </row>
    <row r="56" spans="1:8" ht="20.25" hidden="1" customHeight="1" x14ac:dyDescent="0.25">
      <c r="A56" s="24">
        <v>54</v>
      </c>
      <c r="B56" s="25" t="str">
        <f>Config!L7</f>
        <v>Pharmaceutical sciences</v>
      </c>
      <c r="C56" s="62"/>
      <c r="D56" s="62"/>
      <c r="E56" s="62"/>
      <c r="F56" s="62"/>
      <c r="G56" s="62"/>
      <c r="H56" s="198"/>
    </row>
    <row r="57" spans="1:8" ht="20.25" hidden="1" customHeight="1" x14ac:dyDescent="0.25">
      <c r="A57" s="24">
        <v>55</v>
      </c>
      <c r="B57" s="25" t="str">
        <f>Config!L7</f>
        <v>Pharmaceutical sciences</v>
      </c>
      <c r="C57" s="62"/>
      <c r="D57" s="62"/>
      <c r="E57" s="62"/>
      <c r="F57" s="62"/>
      <c r="G57" s="62"/>
      <c r="H57" s="198"/>
    </row>
    <row r="58" spans="1:8" ht="20.25" hidden="1" customHeight="1" x14ac:dyDescent="0.25">
      <c r="A58" s="24">
        <v>56</v>
      </c>
      <c r="B58" s="25" t="str">
        <f>Config!L7</f>
        <v>Pharmaceutical sciences</v>
      </c>
      <c r="C58" s="62"/>
      <c r="D58" s="62"/>
      <c r="E58" s="62"/>
      <c r="F58" s="62"/>
      <c r="G58" s="62"/>
      <c r="H58" s="198"/>
    </row>
    <row r="59" spans="1:8" ht="20.25" hidden="1" customHeight="1" x14ac:dyDescent="0.25">
      <c r="A59" s="24">
        <v>57</v>
      </c>
      <c r="B59" s="25" t="str">
        <f>Config!L7</f>
        <v>Pharmaceutical sciences</v>
      </c>
      <c r="C59" s="62"/>
      <c r="D59" s="62"/>
      <c r="E59" s="62"/>
      <c r="F59" s="62"/>
      <c r="G59" s="62"/>
      <c r="H59" s="198"/>
    </row>
    <row r="60" spans="1:8" ht="20.25" hidden="1" customHeight="1" x14ac:dyDescent="0.25">
      <c r="A60" s="24">
        <v>58</v>
      </c>
      <c r="B60" s="25" t="str">
        <f>Config!L7</f>
        <v>Pharmaceutical sciences</v>
      </c>
      <c r="C60" s="62"/>
      <c r="D60" s="62"/>
      <c r="E60" s="62"/>
      <c r="F60" s="62"/>
      <c r="G60" s="62"/>
      <c r="H60" s="198"/>
    </row>
    <row r="61" spans="1:8" ht="20.25" hidden="1" customHeight="1" x14ac:dyDescent="0.25">
      <c r="A61" s="24">
        <v>59</v>
      </c>
      <c r="B61" s="25" t="str">
        <f>Config!L7</f>
        <v>Pharmaceutical sciences</v>
      </c>
      <c r="C61" s="62"/>
      <c r="D61" s="62"/>
      <c r="E61" s="62"/>
      <c r="F61" s="62"/>
      <c r="G61" s="62"/>
      <c r="H61" s="198"/>
    </row>
    <row r="62" spans="1:8" ht="20.25" hidden="1" customHeight="1" x14ac:dyDescent="0.25">
      <c r="A62" s="24">
        <v>60</v>
      </c>
      <c r="B62" s="25" t="str">
        <f>Config!L7</f>
        <v>Pharmaceutical sciences</v>
      </c>
      <c r="C62" s="62"/>
      <c r="D62" s="62"/>
      <c r="E62" s="62"/>
      <c r="F62" s="62"/>
      <c r="G62" s="62"/>
      <c r="H62" s="198"/>
    </row>
    <row r="63" spans="1:8" ht="20.25" hidden="1" customHeight="1" x14ac:dyDescent="0.25">
      <c r="A63" s="24">
        <v>61</v>
      </c>
      <c r="B63" s="25" t="str">
        <f>Config!L7</f>
        <v>Pharmaceutical sciences</v>
      </c>
      <c r="C63" s="62"/>
      <c r="D63" s="62"/>
      <c r="E63" s="62"/>
      <c r="F63" s="62"/>
      <c r="G63" s="62"/>
      <c r="H63" s="198"/>
    </row>
    <row r="64" spans="1:8" ht="20.25" hidden="1" customHeight="1" x14ac:dyDescent="0.25">
      <c r="A64" s="24">
        <v>62</v>
      </c>
      <c r="B64" s="25" t="str">
        <f>Config!L7</f>
        <v>Pharmaceutical sciences</v>
      </c>
      <c r="C64" s="62"/>
      <c r="D64" s="62"/>
      <c r="E64" s="62"/>
      <c r="F64" s="62"/>
      <c r="G64" s="62"/>
      <c r="H64" s="198"/>
    </row>
    <row r="65" spans="1:8" ht="20.25" hidden="1" customHeight="1" x14ac:dyDescent="0.25">
      <c r="A65" s="24">
        <v>63</v>
      </c>
      <c r="B65" s="25" t="str">
        <f>Config!L7</f>
        <v>Pharmaceutical sciences</v>
      </c>
      <c r="C65" s="62"/>
      <c r="D65" s="62"/>
      <c r="E65" s="62"/>
      <c r="F65" s="62"/>
      <c r="G65" s="62"/>
      <c r="H65" s="198"/>
    </row>
    <row r="66" spans="1:8" ht="20.25" hidden="1" customHeight="1" x14ac:dyDescent="0.25">
      <c r="A66" s="24">
        <v>64</v>
      </c>
      <c r="B66" s="25" t="str">
        <f>Config!L7</f>
        <v>Pharmaceutical sciences</v>
      </c>
      <c r="C66" s="62"/>
      <c r="D66" s="62"/>
      <c r="E66" s="62"/>
      <c r="F66" s="62"/>
      <c r="G66" s="62"/>
      <c r="H66" s="198"/>
    </row>
    <row r="67" spans="1:8" ht="20.25" hidden="1" customHeight="1" x14ac:dyDescent="0.25">
      <c r="A67" s="24">
        <v>65</v>
      </c>
      <c r="B67" s="25" t="str">
        <f>Config!L7</f>
        <v>Pharmaceutical sciences</v>
      </c>
      <c r="C67" s="62"/>
      <c r="D67" s="62"/>
      <c r="E67" s="62"/>
      <c r="F67" s="62"/>
      <c r="G67" s="62"/>
      <c r="H67" s="198"/>
    </row>
    <row r="68" spans="1:8" ht="20.25" hidden="1" customHeight="1" x14ac:dyDescent="0.25">
      <c r="A68" s="24">
        <v>66</v>
      </c>
      <c r="B68" s="25" t="str">
        <f>Config!L7</f>
        <v>Pharmaceutical sciences</v>
      </c>
      <c r="C68" s="62"/>
      <c r="D68" s="62"/>
      <c r="E68" s="62"/>
      <c r="F68" s="62"/>
      <c r="G68" s="62"/>
      <c r="H68" s="198"/>
    </row>
    <row r="69" spans="1:8" ht="20.25" hidden="1" customHeight="1" x14ac:dyDescent="0.25">
      <c r="A69" s="24">
        <v>67</v>
      </c>
      <c r="B69" s="25" t="str">
        <f>Config!L7</f>
        <v>Pharmaceutical sciences</v>
      </c>
      <c r="C69" s="62"/>
      <c r="D69" s="62"/>
      <c r="E69" s="62"/>
      <c r="F69" s="62"/>
      <c r="G69" s="62"/>
      <c r="H69" s="198"/>
    </row>
    <row r="70" spans="1:8" ht="20.25" hidden="1" customHeight="1" x14ac:dyDescent="0.25">
      <c r="A70" s="24">
        <v>68</v>
      </c>
      <c r="B70" s="25" t="str">
        <f>Config!L7</f>
        <v>Pharmaceutical sciences</v>
      </c>
      <c r="C70" s="62"/>
      <c r="D70" s="62"/>
      <c r="E70" s="62"/>
      <c r="F70" s="62"/>
      <c r="G70" s="62"/>
      <c r="H70" s="198"/>
    </row>
    <row r="71" spans="1:8" ht="20.25" hidden="1" customHeight="1" x14ac:dyDescent="0.25">
      <c r="A71" s="24">
        <v>69</v>
      </c>
      <c r="B71" s="25" t="str">
        <f>Config!L7</f>
        <v>Pharmaceutical sciences</v>
      </c>
      <c r="C71" s="62"/>
      <c r="D71" s="62"/>
      <c r="E71" s="62"/>
      <c r="F71" s="62"/>
      <c r="G71" s="62"/>
      <c r="H71" s="198"/>
    </row>
    <row r="72" spans="1:8" ht="20.25" hidden="1" customHeight="1" x14ac:dyDescent="0.25">
      <c r="A72" s="24">
        <v>70</v>
      </c>
      <c r="B72" s="25" t="str">
        <f>Config!L7</f>
        <v>Pharmaceutical sciences</v>
      </c>
      <c r="C72" s="62"/>
      <c r="D72" s="62"/>
      <c r="E72" s="62"/>
      <c r="F72" s="62"/>
      <c r="G72" s="62"/>
      <c r="H72" s="198"/>
    </row>
    <row r="73" spans="1:8" ht="20.25" hidden="1" customHeight="1" x14ac:dyDescent="0.25">
      <c r="A73" s="24">
        <v>71</v>
      </c>
      <c r="B73" s="25" t="str">
        <f>Config!L7</f>
        <v>Pharmaceutical sciences</v>
      </c>
      <c r="C73" s="62"/>
      <c r="D73" s="62"/>
      <c r="E73" s="62"/>
      <c r="F73" s="62"/>
      <c r="G73" s="62"/>
      <c r="H73" s="198"/>
    </row>
    <row r="74" spans="1:8" ht="20.25" hidden="1" customHeight="1" x14ac:dyDescent="0.25">
      <c r="A74" s="24">
        <v>72</v>
      </c>
      <c r="B74" s="25" t="str">
        <f>Config!L7</f>
        <v>Pharmaceutical sciences</v>
      </c>
      <c r="C74" s="62"/>
      <c r="D74" s="62"/>
      <c r="E74" s="62"/>
      <c r="F74" s="62"/>
      <c r="G74" s="62"/>
      <c r="H74" s="198"/>
    </row>
    <row r="75" spans="1:8" ht="20.25" hidden="1" customHeight="1" x14ac:dyDescent="0.25">
      <c r="A75" s="24">
        <v>73</v>
      </c>
      <c r="B75" s="25" t="str">
        <f>Config!L7</f>
        <v>Pharmaceutical sciences</v>
      </c>
      <c r="C75" s="62"/>
      <c r="D75" s="62"/>
      <c r="E75" s="62"/>
      <c r="F75" s="62"/>
      <c r="G75" s="62"/>
      <c r="H75" s="198"/>
    </row>
    <row r="76" spans="1:8" ht="20.25" hidden="1" customHeight="1" x14ac:dyDescent="0.25">
      <c r="A76" s="24">
        <v>74</v>
      </c>
      <c r="B76" s="25" t="str">
        <f>Config!L7</f>
        <v>Pharmaceutical sciences</v>
      </c>
      <c r="C76" s="62"/>
      <c r="D76" s="62"/>
      <c r="E76" s="62"/>
      <c r="F76" s="62"/>
      <c r="G76" s="62"/>
      <c r="H76" s="198"/>
    </row>
    <row r="77" spans="1:8" ht="20.25" hidden="1" customHeight="1" x14ac:dyDescent="0.25">
      <c r="A77" s="24">
        <v>75</v>
      </c>
      <c r="B77" s="25" t="str">
        <f>Config!L7</f>
        <v>Pharmaceutical sciences</v>
      </c>
      <c r="C77" s="62"/>
      <c r="D77" s="62"/>
      <c r="E77" s="62"/>
      <c r="F77" s="62"/>
      <c r="G77" s="62"/>
      <c r="H77" s="198"/>
    </row>
    <row r="78" spans="1:8" ht="20.25" hidden="1" customHeight="1" x14ac:dyDescent="0.25">
      <c r="A78" s="24">
        <v>76</v>
      </c>
      <c r="B78" s="25" t="str">
        <f>Config!L7</f>
        <v>Pharmaceutical sciences</v>
      </c>
      <c r="C78" s="62"/>
      <c r="D78" s="62"/>
      <c r="E78" s="62"/>
      <c r="F78" s="62"/>
      <c r="G78" s="62"/>
      <c r="H78" s="198"/>
    </row>
    <row r="79" spans="1:8" ht="20.25" hidden="1" customHeight="1" x14ac:dyDescent="0.25">
      <c r="A79" s="24">
        <v>77</v>
      </c>
      <c r="B79" s="25" t="str">
        <f>Config!L7</f>
        <v>Pharmaceutical sciences</v>
      </c>
      <c r="C79" s="62"/>
      <c r="D79" s="62"/>
      <c r="E79" s="62"/>
      <c r="F79" s="62"/>
      <c r="G79" s="62"/>
      <c r="H79" s="198"/>
    </row>
    <row r="80" spans="1:8" ht="20.25" hidden="1" customHeight="1" x14ac:dyDescent="0.25">
      <c r="A80" s="24">
        <v>78</v>
      </c>
      <c r="B80" s="25" t="str">
        <f>Config!L7</f>
        <v>Pharmaceutical sciences</v>
      </c>
      <c r="C80" s="62"/>
      <c r="D80" s="62"/>
      <c r="E80" s="62"/>
      <c r="F80" s="62"/>
      <c r="G80" s="62"/>
      <c r="H80" s="198"/>
    </row>
    <row r="81" spans="1:8" ht="20.25" hidden="1" customHeight="1" x14ac:dyDescent="0.25">
      <c r="A81" s="24">
        <v>79</v>
      </c>
      <c r="B81" s="25" t="str">
        <f>Config!L7</f>
        <v>Pharmaceutical sciences</v>
      </c>
      <c r="C81" s="62"/>
      <c r="D81" s="62"/>
      <c r="E81" s="62"/>
      <c r="F81" s="62"/>
      <c r="G81" s="62"/>
      <c r="H81" s="198"/>
    </row>
    <row r="82" spans="1:8" ht="20.25" hidden="1" customHeight="1" x14ac:dyDescent="0.25">
      <c r="A82" s="24">
        <v>80</v>
      </c>
      <c r="B82" s="25" t="str">
        <f>Config!L7</f>
        <v>Pharmaceutical sciences</v>
      </c>
      <c r="C82" s="62"/>
      <c r="D82" s="62"/>
      <c r="E82" s="62"/>
      <c r="F82" s="62"/>
      <c r="G82" s="62"/>
      <c r="H82" s="198"/>
    </row>
    <row r="83" spans="1:8" ht="20.25" hidden="1" customHeight="1" x14ac:dyDescent="0.25">
      <c r="A83" s="24">
        <v>81</v>
      </c>
      <c r="B83" s="25" t="str">
        <f>Config!L7</f>
        <v>Pharmaceutical sciences</v>
      </c>
      <c r="C83" s="62"/>
      <c r="D83" s="62"/>
      <c r="E83" s="62"/>
      <c r="F83" s="62"/>
      <c r="G83" s="62"/>
      <c r="H83" s="198"/>
    </row>
    <row r="84" spans="1:8" ht="20.25" hidden="1" customHeight="1" x14ac:dyDescent="0.25">
      <c r="A84" s="24">
        <v>82</v>
      </c>
      <c r="B84" s="25" t="str">
        <f>Config!L7</f>
        <v>Pharmaceutical sciences</v>
      </c>
      <c r="C84" s="62"/>
      <c r="D84" s="62"/>
      <c r="E84" s="62"/>
      <c r="F84" s="62"/>
      <c r="G84" s="62"/>
      <c r="H84" s="198"/>
    </row>
    <row r="85" spans="1:8" ht="20.25" hidden="1" customHeight="1" x14ac:dyDescent="0.25">
      <c r="A85" s="24">
        <v>83</v>
      </c>
      <c r="B85" s="25" t="str">
        <f>Config!L7</f>
        <v>Pharmaceutical sciences</v>
      </c>
      <c r="C85" s="62"/>
      <c r="D85" s="62"/>
      <c r="E85" s="62"/>
      <c r="F85" s="62"/>
      <c r="G85" s="62"/>
      <c r="H85" s="198"/>
    </row>
    <row r="86" spans="1:8" ht="20.25" hidden="1" customHeight="1" x14ac:dyDescent="0.25">
      <c r="A86" s="24">
        <v>84</v>
      </c>
      <c r="B86" s="25" t="str">
        <f>Config!L7</f>
        <v>Pharmaceutical sciences</v>
      </c>
      <c r="C86" s="62"/>
      <c r="D86" s="62"/>
      <c r="E86" s="62"/>
      <c r="F86" s="62"/>
      <c r="G86" s="62"/>
      <c r="H86" s="198"/>
    </row>
    <row r="87" spans="1:8" ht="20.25" hidden="1" customHeight="1" x14ac:dyDescent="0.25">
      <c r="A87" s="24">
        <v>85</v>
      </c>
      <c r="B87" s="25" t="str">
        <f>Config!L7</f>
        <v>Pharmaceutical sciences</v>
      </c>
      <c r="C87" s="62"/>
      <c r="D87" s="62"/>
      <c r="E87" s="62"/>
      <c r="F87" s="62"/>
      <c r="G87" s="62"/>
      <c r="H87" s="198"/>
    </row>
    <row r="88" spans="1:8" ht="20.25" hidden="1" customHeight="1" x14ac:dyDescent="0.25">
      <c r="A88" s="24">
        <v>86</v>
      </c>
      <c r="B88" s="25" t="str">
        <f>Config!L7</f>
        <v>Pharmaceutical sciences</v>
      </c>
      <c r="C88" s="62"/>
      <c r="D88" s="62"/>
      <c r="E88" s="62"/>
      <c r="F88" s="62"/>
      <c r="G88" s="62"/>
      <c r="H88" s="198"/>
    </row>
    <row r="89" spans="1:8" ht="20.25" hidden="1" customHeight="1" x14ac:dyDescent="0.25">
      <c r="A89" s="24">
        <v>87</v>
      </c>
      <c r="B89" s="25" t="str">
        <f>Config!L7</f>
        <v>Pharmaceutical sciences</v>
      </c>
      <c r="C89" s="62"/>
      <c r="D89" s="62"/>
      <c r="E89" s="62"/>
      <c r="F89" s="62"/>
      <c r="G89" s="62"/>
      <c r="H89" s="198"/>
    </row>
    <row r="90" spans="1:8" ht="20.25" hidden="1" customHeight="1" x14ac:dyDescent="0.25">
      <c r="A90" s="24">
        <v>88</v>
      </c>
      <c r="B90" s="25" t="str">
        <f>Config!L7</f>
        <v>Pharmaceutical sciences</v>
      </c>
      <c r="C90" s="62"/>
      <c r="D90" s="62"/>
      <c r="E90" s="62"/>
      <c r="F90" s="62"/>
      <c r="G90" s="62"/>
      <c r="H90" s="198"/>
    </row>
    <row r="91" spans="1:8" ht="20.25" hidden="1" customHeight="1" x14ac:dyDescent="0.25">
      <c r="A91" s="24">
        <v>89</v>
      </c>
      <c r="B91" s="25" t="str">
        <f>Config!L7</f>
        <v>Pharmaceutical sciences</v>
      </c>
      <c r="C91" s="62"/>
      <c r="D91" s="62"/>
      <c r="E91" s="62"/>
      <c r="F91" s="62"/>
      <c r="G91" s="62"/>
      <c r="H91" s="198"/>
    </row>
    <row r="92" spans="1:8" ht="20.25" hidden="1" customHeight="1" x14ac:dyDescent="0.25">
      <c r="A92" s="24">
        <v>90</v>
      </c>
      <c r="B92" s="25" t="str">
        <f>Config!L7</f>
        <v>Pharmaceutical sciences</v>
      </c>
      <c r="C92" s="62"/>
      <c r="D92" s="62"/>
      <c r="E92" s="62"/>
      <c r="F92" s="62"/>
      <c r="G92" s="62"/>
      <c r="H92" s="198"/>
    </row>
    <row r="93" spans="1:8" ht="20.25" hidden="1" customHeight="1" x14ac:dyDescent="0.25">
      <c r="A93" s="24">
        <v>91</v>
      </c>
      <c r="B93" s="25" t="str">
        <f>Config!L7</f>
        <v>Pharmaceutical sciences</v>
      </c>
      <c r="C93" s="62"/>
      <c r="D93" s="62"/>
      <c r="E93" s="62"/>
      <c r="F93" s="62"/>
      <c r="G93" s="62"/>
      <c r="H93" s="198"/>
    </row>
    <row r="94" spans="1:8" ht="20.25" hidden="1" customHeight="1" x14ac:dyDescent="0.25">
      <c r="A94" s="24">
        <v>92</v>
      </c>
      <c r="B94" s="25" t="str">
        <f>Config!L7</f>
        <v>Pharmaceutical sciences</v>
      </c>
      <c r="C94" s="62"/>
      <c r="D94" s="62"/>
      <c r="E94" s="62"/>
      <c r="F94" s="62"/>
      <c r="G94" s="62"/>
      <c r="H94" s="198"/>
    </row>
    <row r="95" spans="1:8" ht="20.25" hidden="1" customHeight="1" x14ac:dyDescent="0.25">
      <c r="A95" s="24">
        <v>93</v>
      </c>
      <c r="B95" s="25" t="str">
        <f>Config!L7</f>
        <v>Pharmaceutical sciences</v>
      </c>
      <c r="C95" s="62"/>
      <c r="D95" s="62"/>
      <c r="E95" s="62"/>
      <c r="F95" s="62"/>
      <c r="G95" s="62"/>
      <c r="H95" s="198"/>
    </row>
    <row r="96" spans="1:8" ht="20.25" hidden="1" customHeight="1" x14ac:dyDescent="0.25">
      <c r="A96" s="24">
        <v>94</v>
      </c>
      <c r="B96" s="25" t="str">
        <f>Config!L7</f>
        <v>Pharmaceutical sciences</v>
      </c>
      <c r="C96" s="62"/>
      <c r="D96" s="62"/>
      <c r="E96" s="62"/>
      <c r="F96" s="62"/>
      <c r="G96" s="62"/>
      <c r="H96" s="198"/>
    </row>
    <row r="97" spans="1:8" ht="20.25" hidden="1" customHeight="1" x14ac:dyDescent="0.25">
      <c r="A97" s="24">
        <v>95</v>
      </c>
      <c r="B97" s="25" t="str">
        <f>Config!L7</f>
        <v>Pharmaceutical sciences</v>
      </c>
      <c r="C97" s="62"/>
      <c r="D97" s="62"/>
      <c r="E97" s="62"/>
      <c r="F97" s="62"/>
      <c r="G97" s="62"/>
      <c r="H97" s="198"/>
    </row>
    <row r="98" spans="1:8" ht="20.25" hidden="1" customHeight="1" x14ac:dyDescent="0.25">
      <c r="A98" s="24">
        <v>96</v>
      </c>
      <c r="B98" s="25" t="str">
        <f>Config!L7</f>
        <v>Pharmaceutical sciences</v>
      </c>
      <c r="C98" s="62"/>
      <c r="D98" s="62"/>
      <c r="E98" s="62"/>
      <c r="F98" s="62"/>
      <c r="G98" s="62"/>
      <c r="H98" s="198"/>
    </row>
    <row r="99" spans="1:8" ht="20.25" hidden="1" customHeight="1" x14ac:dyDescent="0.25">
      <c r="A99" s="24">
        <v>97</v>
      </c>
      <c r="B99" s="25" t="str">
        <f>Config!L7</f>
        <v>Pharmaceutical sciences</v>
      </c>
      <c r="C99" s="62"/>
      <c r="D99" s="62"/>
      <c r="E99" s="62"/>
      <c r="F99" s="62"/>
      <c r="G99" s="62"/>
      <c r="H99" s="198"/>
    </row>
    <row r="100" spans="1:8" ht="20.25" hidden="1" customHeight="1" x14ac:dyDescent="0.25">
      <c r="A100" s="24">
        <v>98</v>
      </c>
      <c r="B100" s="25" t="str">
        <f>Config!L7</f>
        <v>Pharmaceutical sciences</v>
      </c>
      <c r="C100" s="62"/>
      <c r="D100" s="62"/>
      <c r="E100" s="62"/>
      <c r="F100" s="62"/>
      <c r="G100" s="62"/>
      <c r="H100" s="198"/>
    </row>
    <row r="101" spans="1:8" ht="20.25" hidden="1" customHeight="1" x14ac:dyDescent="0.25">
      <c r="A101" s="24">
        <v>99</v>
      </c>
      <c r="B101" s="25" t="str">
        <f>Config!L7</f>
        <v>Pharmaceutical sciences</v>
      </c>
      <c r="C101" s="62"/>
      <c r="D101" s="62"/>
      <c r="E101" s="62"/>
      <c r="F101" s="62"/>
      <c r="G101" s="62"/>
      <c r="H101" s="198"/>
    </row>
    <row r="102" spans="1:8" ht="20.25" hidden="1" customHeight="1" x14ac:dyDescent="0.25">
      <c r="A102" s="24">
        <v>100</v>
      </c>
      <c r="B102" s="25" t="str">
        <f>Config!L7</f>
        <v>Pharmaceutical sciences</v>
      </c>
      <c r="C102" s="62"/>
      <c r="D102" s="62"/>
      <c r="E102" s="62"/>
      <c r="F102" s="62"/>
      <c r="G102" s="62"/>
      <c r="H102" s="198"/>
    </row>
    <row r="103" spans="1:8" ht="20.25" hidden="1" customHeight="1" x14ac:dyDescent="0.25">
      <c r="A103" s="24">
        <v>101</v>
      </c>
      <c r="B103" s="25" t="str">
        <f>Config!L7</f>
        <v>Pharmaceutical sciences</v>
      </c>
      <c r="C103" s="62"/>
      <c r="D103" s="62"/>
      <c r="E103" s="62"/>
      <c r="F103" s="62"/>
      <c r="G103" s="62"/>
      <c r="H103" s="198"/>
    </row>
    <row r="104" spans="1:8" ht="20.25" hidden="1" customHeight="1" x14ac:dyDescent="0.25">
      <c r="A104" s="24">
        <v>102</v>
      </c>
      <c r="B104" s="25" t="str">
        <f>Config!L7</f>
        <v>Pharmaceutical sciences</v>
      </c>
      <c r="C104" s="62"/>
      <c r="D104" s="62"/>
      <c r="E104" s="62"/>
      <c r="F104" s="62"/>
      <c r="G104" s="62"/>
      <c r="H104" s="198"/>
    </row>
    <row r="105" spans="1:8" ht="20.25" hidden="1" customHeight="1" x14ac:dyDescent="0.25">
      <c r="A105" s="24">
        <v>103</v>
      </c>
      <c r="B105" s="25" t="str">
        <f>Config!L7</f>
        <v>Pharmaceutical sciences</v>
      </c>
      <c r="C105" s="62"/>
      <c r="D105" s="62"/>
      <c r="E105" s="62"/>
      <c r="F105" s="62"/>
      <c r="G105" s="62"/>
      <c r="H105" s="198"/>
    </row>
    <row r="106" spans="1:8" ht="20.25" hidden="1" customHeight="1" x14ac:dyDescent="0.25">
      <c r="A106" s="24">
        <v>104</v>
      </c>
      <c r="B106" s="25" t="str">
        <f>Config!L7</f>
        <v>Pharmaceutical sciences</v>
      </c>
      <c r="C106" s="62"/>
      <c r="D106" s="62"/>
      <c r="E106" s="62"/>
      <c r="F106" s="62"/>
      <c r="G106" s="62"/>
      <c r="H106" s="198"/>
    </row>
    <row r="107" spans="1:8" ht="20.25" hidden="1" customHeight="1" x14ac:dyDescent="0.25">
      <c r="A107" s="24">
        <v>105</v>
      </c>
      <c r="B107" s="25" t="str">
        <f>Config!L7</f>
        <v>Pharmaceutical sciences</v>
      </c>
      <c r="C107" s="62"/>
      <c r="D107" s="62"/>
      <c r="E107" s="62"/>
      <c r="F107" s="62"/>
      <c r="G107" s="62"/>
      <c r="H107" s="198"/>
    </row>
    <row r="108" spans="1:8" ht="20.25" hidden="1" customHeight="1" x14ac:dyDescent="0.25">
      <c r="A108" s="24">
        <v>106</v>
      </c>
      <c r="B108" s="25" t="str">
        <f>Config!L7</f>
        <v>Pharmaceutical sciences</v>
      </c>
      <c r="C108" s="62"/>
      <c r="D108" s="62"/>
      <c r="E108" s="62"/>
      <c r="F108" s="62"/>
      <c r="G108" s="62"/>
      <c r="H108" s="198"/>
    </row>
    <row r="109" spans="1:8" ht="20.25" hidden="1" customHeight="1" x14ac:dyDescent="0.25">
      <c r="A109" s="24">
        <v>107</v>
      </c>
      <c r="B109" s="25" t="str">
        <f>Config!L7</f>
        <v>Pharmaceutical sciences</v>
      </c>
      <c r="C109" s="62"/>
      <c r="D109" s="62"/>
      <c r="E109" s="62"/>
      <c r="F109" s="62"/>
      <c r="G109" s="62"/>
      <c r="H109" s="198"/>
    </row>
    <row r="110" spans="1:8" ht="20.25" hidden="1" customHeight="1" x14ac:dyDescent="0.25">
      <c r="A110" s="24">
        <v>108</v>
      </c>
      <c r="B110" s="25" t="str">
        <f>Config!L7</f>
        <v>Pharmaceutical sciences</v>
      </c>
      <c r="C110" s="62"/>
      <c r="D110" s="62"/>
      <c r="E110" s="62"/>
      <c r="F110" s="62"/>
      <c r="G110" s="62"/>
      <c r="H110" s="198"/>
    </row>
    <row r="111" spans="1:8" ht="20.25" hidden="1" customHeight="1" x14ac:dyDescent="0.25">
      <c r="A111" s="24">
        <v>109</v>
      </c>
      <c r="B111" s="25" t="str">
        <f>Config!L7</f>
        <v>Pharmaceutical sciences</v>
      </c>
      <c r="C111" s="62"/>
      <c r="D111" s="62"/>
      <c r="E111" s="62"/>
      <c r="F111" s="62"/>
      <c r="G111" s="62"/>
      <c r="H111" s="198"/>
    </row>
    <row r="112" spans="1:8" ht="20.25" hidden="1" customHeight="1" x14ac:dyDescent="0.25">
      <c r="A112" s="24">
        <v>110</v>
      </c>
      <c r="B112" s="25" t="str">
        <f>Config!L7</f>
        <v>Pharmaceutical sciences</v>
      </c>
      <c r="C112" s="62"/>
      <c r="D112" s="62"/>
      <c r="E112" s="62"/>
      <c r="F112" s="62"/>
      <c r="G112" s="62"/>
      <c r="H112" s="198"/>
    </row>
    <row r="113" spans="1:8" ht="20.25" hidden="1" customHeight="1" x14ac:dyDescent="0.25">
      <c r="G113" s="62" t="s">
        <v>102</v>
      </c>
    </row>
    <row r="115" spans="1:8" ht="20.25" customHeight="1" x14ac:dyDescent="0.25">
      <c r="A115" s="372" t="s">
        <v>133</v>
      </c>
      <c r="B115" s="373"/>
      <c r="C115" s="373"/>
      <c r="D115" s="373"/>
      <c r="E115" s="374"/>
      <c r="F115" s="27" t="s">
        <v>134</v>
      </c>
      <c r="G115" s="372" t="s">
        <v>114</v>
      </c>
      <c r="H115" s="374"/>
    </row>
    <row r="116" spans="1:8" ht="25.5" customHeight="1" x14ac:dyDescent="0.25">
      <c r="A116" s="272" t="s">
        <v>8</v>
      </c>
      <c r="B116" s="272"/>
      <c r="C116" s="272" t="str">
        <f>Config!B2</f>
        <v>Dr Md Tanwir Athar</v>
      </c>
      <c r="D116" s="272"/>
      <c r="E116" s="272"/>
      <c r="F116" s="153"/>
      <c r="G116" s="375"/>
      <c r="H116" s="376"/>
    </row>
    <row r="117" spans="1:8" ht="30" customHeight="1" x14ac:dyDescent="0.25">
      <c r="A117" s="259" t="s">
        <v>86</v>
      </c>
      <c r="B117" s="259"/>
      <c r="C117" s="259"/>
      <c r="D117" s="259"/>
      <c r="E117" s="259"/>
      <c r="F117" s="153"/>
      <c r="G117" s="377"/>
      <c r="H117" s="378"/>
    </row>
  </sheetData>
  <mergeCells count="9">
    <mergeCell ref="I2:J2"/>
    <mergeCell ref="F1:G1"/>
    <mergeCell ref="C117:E117"/>
    <mergeCell ref="A117:B117"/>
    <mergeCell ref="C116:E116"/>
    <mergeCell ref="A116:B116"/>
    <mergeCell ref="A115:E115"/>
    <mergeCell ref="G115:H115"/>
    <mergeCell ref="G116:H117"/>
  </mergeCells>
  <dataValidations count="3">
    <dataValidation type="list" allowBlank="1" showInputMessage="1" showErrorMessage="1" sqref="B14" xr:uid="{00000000-0002-0000-0100-000000000000}">
      <formula1>"pharmaceutical sciences"</formula1>
    </dataValidation>
    <dataValidation type="list" allowBlank="1" showInputMessage="1" showErrorMessage="1" sqref="D3:D112" xr:uid="{00000000-0002-0000-0100-000001000000}">
      <formula1>$Q$1:$Q$2</formula1>
    </dataValidation>
    <dataValidation type="list" allowBlank="1" showInputMessage="1" showErrorMessage="1" sqref="G3:G112" xr:uid="{00000000-0002-0000-0100-000002000000}">
      <formula1>$R$1:$R$5</formula1>
    </dataValidation>
  </dataValidations>
  <printOptions horizontalCentered="1"/>
  <pageMargins left="0.5" right="0.5" top="0.5" bottom="0.5" header="0.5" footer="0.5"/>
  <pageSetup scale="86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StNo">
                <anchor moveWithCells="1" sizeWithCells="1">
                  <from>
                    <xdr:col>10</xdr:col>
                    <xdr:colOff>104775</xdr:colOff>
                    <xdr:row>0</xdr:row>
                    <xdr:rowOff>85725</xdr:rowOff>
                  </from>
                  <to>
                    <xdr:col>11</xdr:col>
                    <xdr:colOff>495300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heet">
                <anchor moveWithCells="1" sizeWithCells="1">
                  <from>
                    <xdr:col>12</xdr:col>
                    <xdr:colOff>9525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Q137"/>
  <sheetViews>
    <sheetView showGridLines="0" workbookViewId="0">
      <pane ySplit="10" topLeftCell="A11" activePane="bottomLeft" state="frozen"/>
      <selection activeCell="D6" sqref="D6"/>
      <selection pane="bottomLeft" activeCell="E19" sqref="E19"/>
    </sheetView>
  </sheetViews>
  <sheetFormatPr defaultColWidth="9.140625" defaultRowHeight="21.75" customHeight="1" x14ac:dyDescent="0.25"/>
  <cols>
    <col min="1" max="1" width="17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11.140625" style="19" customWidth="1"/>
    <col min="15" max="15" width="6.28515625" style="21" customWidth="1"/>
    <col min="16" max="16" width="6.5703125" style="19" customWidth="1"/>
    <col min="17" max="17" width="38.710937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Config!A43</f>
        <v>midterm exam 1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178">
        <f>Config!B3</f>
        <v>462</v>
      </c>
      <c r="O1" s="379" t="str">
        <f>L1</f>
        <v>PHG301</v>
      </c>
      <c r="P1" s="380"/>
      <c r="Q1" s="197" t="str">
        <f>G1</f>
        <v>Pharmacognosy-I</v>
      </c>
    </row>
    <row r="2" spans="1:17" s="1" customFormat="1" ht="27" customHeight="1" thickTop="1" thickBot="1" x14ac:dyDescent="0.3">
      <c r="A2" s="172" t="s">
        <v>15</v>
      </c>
      <c r="B2" s="381">
        <f>IF(SUM(B3:M3)&lt;&gt;N3,"ERROR",SUM(B3:M3))</f>
        <v>20</v>
      </c>
      <c r="C2" s="382"/>
      <c r="D2" s="383"/>
      <c r="E2" s="381"/>
      <c r="F2" s="382"/>
      <c r="G2" s="382"/>
      <c r="H2" s="382"/>
      <c r="I2" s="382"/>
      <c r="J2" s="382"/>
      <c r="K2" s="382"/>
      <c r="L2" s="382"/>
      <c r="M2" s="383"/>
      <c r="N2" s="172" t="s">
        <v>87</v>
      </c>
      <c r="O2" s="182"/>
      <c r="P2" s="183"/>
      <c r="Q2" s="184"/>
    </row>
    <row r="3" spans="1:17" s="1" customFormat="1" ht="21.75" customHeight="1" thickTop="1" thickBot="1" x14ac:dyDescent="0.3">
      <c r="A3" s="119" t="s">
        <v>9</v>
      </c>
      <c r="B3" s="99">
        <f>IF(Config!E43&lt;&gt;"",Config!E43,"")</f>
        <v>7</v>
      </c>
      <c r="C3" s="99">
        <f>IF(Config!F43&lt;&gt;"",Config!F43,"")</f>
        <v>8</v>
      </c>
      <c r="D3" s="99">
        <f>IF(Config!G43&lt;&gt;"",Config!G43,"")</f>
        <v>5</v>
      </c>
      <c r="E3" s="99" t="str">
        <f>IF(Config!H43&lt;&gt;"",Config!H43,"")</f>
        <v/>
      </c>
      <c r="F3" s="99" t="str">
        <f>IF(Config!I43&lt;&gt;"",Config!I43,"")</f>
        <v/>
      </c>
      <c r="G3" s="99" t="str">
        <f>IF(Config!J43&lt;&gt;"",Config!J43,"")</f>
        <v/>
      </c>
      <c r="H3" s="99" t="str">
        <f>IF(Config!K43&lt;&gt;"",Config!K43,"")</f>
        <v/>
      </c>
      <c r="I3" s="99" t="str">
        <f>IF(Config!L43&lt;&gt;"",Config!L43,"")</f>
        <v/>
      </c>
      <c r="J3" s="99" t="str">
        <f>IF(Config!M43&lt;&gt;"",Config!M43,"")</f>
        <v/>
      </c>
      <c r="K3" s="99" t="str">
        <f>IF(Config!N43&lt;&gt;"",Config!N43,"")</f>
        <v/>
      </c>
      <c r="L3" s="99" t="str">
        <f>IF(Config!O43&lt;&gt;"",Config!O43,"")</f>
        <v/>
      </c>
      <c r="M3" s="99" t="str">
        <f>IF(Config!P43&lt;&gt;"",Config!P43,"")</f>
        <v/>
      </c>
      <c r="N3" s="120">
        <f>SUM(B3:M3)</f>
        <v>20</v>
      </c>
      <c r="O3" s="185"/>
      <c r="P3" s="186"/>
      <c r="Q3" s="187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>
        <f t="shared" ref="B5:M5" si="0">IF(SUM(B11:B120)&gt;0,SUM(B11:B120),"")</f>
        <v>44</v>
      </c>
      <c r="C5" s="7">
        <f t="shared" si="0"/>
        <v>61</v>
      </c>
      <c r="D5" s="7">
        <f t="shared" si="0"/>
        <v>43</v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115" t="str">
        <f t="shared" si="0"/>
        <v/>
      </c>
      <c r="N5" s="8">
        <f>IF(SUM(B5:M5),SUM(B5:M5),"")</f>
        <v>148</v>
      </c>
    </row>
    <row r="6" spans="1:17" s="1" customFormat="1" ht="21.75" hidden="1" customHeight="1" x14ac:dyDescent="0.25">
      <c r="A6" s="6" t="s">
        <v>30</v>
      </c>
      <c r="B6" s="9">
        <f>IF(B7="","",B7*B3)</f>
        <v>63</v>
      </c>
      <c r="C6" s="9">
        <f t="shared" ref="C6:M6" si="1">IF(C7="","",C7*C3)</f>
        <v>72</v>
      </c>
      <c r="D6" s="9">
        <f t="shared" si="1"/>
        <v>45</v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116" t="str">
        <f t="shared" si="1"/>
        <v/>
      </c>
      <c r="N6" s="8">
        <f>IF(N7="","",N7*N3)</f>
        <v>180</v>
      </c>
    </row>
    <row r="7" spans="1:17" s="1" customFormat="1" ht="21.75" hidden="1" customHeight="1" x14ac:dyDescent="0.25">
      <c r="A7" s="6" t="s">
        <v>31</v>
      </c>
      <c r="B7" s="7">
        <f>IF(B8="","",B5/B8)</f>
        <v>9</v>
      </c>
      <c r="C7" s="7">
        <f t="shared" ref="C7:M7" si="2">IF(C8="","",C5/C8)</f>
        <v>9</v>
      </c>
      <c r="D7" s="7">
        <f t="shared" si="2"/>
        <v>9</v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115" t="str">
        <f t="shared" si="2"/>
        <v/>
      </c>
      <c r="N7" s="8">
        <f>IF(MAX(B7:M7),MAX(B7:M7),"")</f>
        <v>9</v>
      </c>
    </row>
    <row r="8" spans="1:17" s="1" customFormat="1" ht="21.75" hidden="1" customHeight="1" thickBot="1" x14ac:dyDescent="0.3">
      <c r="A8" s="6" t="s">
        <v>32</v>
      </c>
      <c r="B8" s="7">
        <f>IF(B3&lt;&gt;"",AVERAGE(B11:B121),"")</f>
        <v>4.8888888888888893</v>
      </c>
      <c r="C8" s="7">
        <f t="shared" ref="C8:M8" si="3">IF(C3&lt;&gt;"",AVERAGE(C11:C121),"")</f>
        <v>6.7777777777777777</v>
      </c>
      <c r="D8" s="7">
        <f t="shared" si="3"/>
        <v>4.7777777777777777</v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115" t="str">
        <f t="shared" si="3"/>
        <v/>
      </c>
      <c r="N8" s="8">
        <f>IF(SUM(B8:M8),SUM(B8:M8),"")</f>
        <v>16.444444444444446</v>
      </c>
    </row>
    <row r="9" spans="1:17" s="1" customFormat="1" ht="21.75" customHeight="1" thickTop="1" thickBot="1" x14ac:dyDescent="0.3">
      <c r="A9" s="10" t="s">
        <v>33</v>
      </c>
      <c r="B9" s="11">
        <f>IF(B3&lt;&gt;"",B8/B3,"")</f>
        <v>0.69841269841269848</v>
      </c>
      <c r="C9" s="11">
        <f t="shared" ref="C9:N9" si="4">IF(C3&lt;&gt;"",C8/C3,"")</f>
        <v>0.84722222222222221</v>
      </c>
      <c r="D9" s="11">
        <f t="shared" si="4"/>
        <v>0.95555555555555549</v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0.8222222222222223</v>
      </c>
      <c r="O9" s="384" t="s">
        <v>103</v>
      </c>
      <c r="P9" s="385"/>
      <c r="Q9" s="386"/>
    </row>
    <row r="10" spans="1:17" s="1" customFormat="1" ht="21.75" customHeight="1" thickBot="1" x14ac:dyDescent="0.3">
      <c r="A10" s="131" t="s">
        <v>7</v>
      </c>
      <c r="B10" s="130" t="str">
        <f>Config!E42</f>
        <v>K.1.1</v>
      </c>
      <c r="C10" s="97" t="str">
        <f>Config!F42</f>
        <v>K.1.2</v>
      </c>
      <c r="D10" s="97" t="str">
        <f>Config!G42</f>
        <v>K.2.1</v>
      </c>
      <c r="E10" s="97" t="str">
        <f>Config!H42</f>
        <v>K2.2</v>
      </c>
      <c r="F10" s="97" t="str">
        <f>Config!I42</f>
        <v>S.3.1</v>
      </c>
      <c r="G10" s="97" t="str">
        <f>Config!J42</f>
        <v>S.7.1</v>
      </c>
      <c r="H10" s="97">
        <f>Config!K42</f>
        <v>0</v>
      </c>
      <c r="I10" s="97">
        <f>Config!L42</f>
        <v>0</v>
      </c>
      <c r="J10" s="97">
        <f>Config!M42</f>
        <v>0</v>
      </c>
      <c r="K10" s="97">
        <f>Config!N42</f>
        <v>0</v>
      </c>
      <c r="L10" s="97">
        <f>Config!O42</f>
        <v>0</v>
      </c>
      <c r="M10" s="97" t="str">
        <f>Config!P42</f>
        <v>v2</v>
      </c>
      <c r="N10" s="131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x14ac:dyDescent="0.25">
      <c r="A11" s="82">
        <f>IF(StList!E3&lt;&gt;"",StList!E3,"")</f>
        <v>431003107</v>
      </c>
      <c r="B11" s="78">
        <v>3</v>
      </c>
      <c r="C11" s="78">
        <v>5</v>
      </c>
      <c r="D11" s="78">
        <v>4</v>
      </c>
      <c r="E11" s="78"/>
      <c r="F11" s="78"/>
      <c r="G11" s="78"/>
      <c r="H11" s="78"/>
      <c r="I11" s="78"/>
      <c r="J11" s="78"/>
      <c r="K11" s="78"/>
      <c r="L11" s="78"/>
      <c r="M11" s="78"/>
      <c r="N11" s="83">
        <f>IF(SUM(B11:M11),SUM(B11:M11),"")</f>
        <v>12</v>
      </c>
      <c r="O11" s="14">
        <f>IF(StList!A3&lt;&gt;"",StList!A3,"")</f>
        <v>1</v>
      </c>
      <c r="P11" s="14" t="str">
        <f>IF(StList!B3&lt;&gt;"",StList!B3,"")</f>
        <v>Pharmaceutical sciences</v>
      </c>
      <c r="Q11" s="121" t="str">
        <f>IF(StList!F3&lt;&gt;"",StList!F3,"")</f>
        <v> SADEEM FAHAD S ALSEDRANI</v>
      </c>
    </row>
    <row r="12" spans="1:17" s="1" customFormat="1" ht="21.75" customHeight="1" x14ac:dyDescent="0.25">
      <c r="A12" s="82">
        <f>IF(StList!E4&lt;&gt;"",StList!E4,"")</f>
        <v>431003423</v>
      </c>
      <c r="B12" s="78">
        <v>4</v>
      </c>
      <c r="C12" s="18">
        <v>6</v>
      </c>
      <c r="D12" s="18">
        <v>5</v>
      </c>
      <c r="E12" s="18"/>
      <c r="F12" s="18"/>
      <c r="G12" s="18"/>
      <c r="H12" s="18"/>
      <c r="I12" s="18"/>
      <c r="J12" s="18"/>
      <c r="K12" s="18"/>
      <c r="L12" s="18"/>
      <c r="M12" s="81"/>
      <c r="N12" s="83">
        <f>IF(SUM(B12:M12),SUM(B12:M12),"")</f>
        <v>15</v>
      </c>
      <c r="O12" s="73">
        <f>IF(StList!A4&lt;&gt;"",StList!A4,"")</f>
        <v>2</v>
      </c>
      <c r="P12" s="73" t="str">
        <f>IF(StList!B4&lt;&gt;"",StList!B4,"")</f>
        <v>Pharmaceutical sciences</v>
      </c>
      <c r="Q12" s="84" t="str">
        <f>IF(StList!F4&lt;&gt;"",StList!F4,"")</f>
        <v> ROBA RABAH H ALHARBI</v>
      </c>
    </row>
    <row r="13" spans="1:17" s="1" customFormat="1" ht="21.75" customHeight="1" x14ac:dyDescent="0.25">
      <c r="A13" s="82">
        <f>IF(StList!E5&lt;&gt;"",StList!E5,"")</f>
        <v>431003483</v>
      </c>
      <c r="B13" s="78">
        <v>7</v>
      </c>
      <c r="C13" s="18">
        <v>6</v>
      </c>
      <c r="D13" s="18">
        <v>5</v>
      </c>
      <c r="E13" s="18"/>
      <c r="F13" s="18"/>
      <c r="G13" s="18"/>
      <c r="H13" s="18"/>
      <c r="I13" s="18"/>
      <c r="J13" s="18"/>
      <c r="K13" s="18"/>
      <c r="L13" s="18"/>
      <c r="M13" s="81"/>
      <c r="N13" s="83">
        <f t="shared" ref="N13:N76" si="5">IF(SUM(B13:M13),SUM(B13:M13),"")</f>
        <v>18</v>
      </c>
      <c r="O13" s="73">
        <f>IF(StList!A5&lt;&gt;"",StList!A5,"")</f>
        <v>3</v>
      </c>
      <c r="P13" s="73" t="str">
        <f>IF(StList!B5&lt;&gt;"",StList!B5,"")</f>
        <v>Pharmaceutical sciences</v>
      </c>
      <c r="Q13" s="84" t="str">
        <f>IF(StList!F5&lt;&gt;"",StList!F5,"")</f>
        <v> NUJUD KHAIFAH A ALAMMAR</v>
      </c>
    </row>
    <row r="14" spans="1:17" s="1" customFormat="1" ht="21.75" customHeight="1" x14ac:dyDescent="0.25">
      <c r="A14" s="82">
        <f>IF(StList!E6&lt;&gt;"",StList!E6,"")</f>
        <v>432003601</v>
      </c>
      <c r="B14" s="78">
        <v>7</v>
      </c>
      <c r="C14" s="18">
        <v>8</v>
      </c>
      <c r="D14" s="18">
        <v>5</v>
      </c>
      <c r="E14" s="18"/>
      <c r="F14" s="18"/>
      <c r="G14" s="18"/>
      <c r="H14" s="18"/>
      <c r="I14" s="18"/>
      <c r="J14" s="18"/>
      <c r="K14" s="18"/>
      <c r="L14" s="18"/>
      <c r="M14" s="81"/>
      <c r="N14" s="83">
        <f t="shared" si="5"/>
        <v>20</v>
      </c>
      <c r="O14" s="73">
        <f>IF(StList!A6&lt;&gt;"",StList!A6,"")</f>
        <v>4</v>
      </c>
      <c r="P14" s="73" t="str">
        <f>IF(StList!B6&lt;&gt;"",StList!B6,"")</f>
        <v>Pharmaceutical sciences</v>
      </c>
      <c r="Q14" s="84" t="str">
        <f>IF(StList!F6&lt;&gt;"",StList!F6,"")</f>
        <v> RINA KHALID S ALABDULRAHIM</v>
      </c>
    </row>
    <row r="15" spans="1:17" s="1" customFormat="1" ht="21.75" customHeight="1" x14ac:dyDescent="0.25">
      <c r="A15" s="82">
        <f>IF(StList!E7&lt;&gt;"",StList!E7,"")</f>
        <v>432003648</v>
      </c>
      <c r="B15" s="80">
        <v>5</v>
      </c>
      <c r="C15" s="18">
        <v>8</v>
      </c>
      <c r="D15" s="18">
        <v>5</v>
      </c>
      <c r="E15" s="18"/>
      <c r="F15" s="18"/>
      <c r="G15" s="18"/>
      <c r="H15" s="18"/>
      <c r="I15" s="18"/>
      <c r="J15" s="18"/>
      <c r="K15" s="18"/>
      <c r="L15" s="18"/>
      <c r="M15" s="81"/>
      <c r="N15" s="83">
        <f t="shared" si="5"/>
        <v>18</v>
      </c>
      <c r="O15" s="73">
        <f>IF(StList!A7&lt;&gt;"",StList!A7,"")</f>
        <v>5</v>
      </c>
      <c r="P15" s="73" t="str">
        <f>IF(StList!B7&lt;&gt;"",StList!B7,"")</f>
        <v>Pharmaceutical sciences</v>
      </c>
      <c r="Q15" s="84" t="str">
        <f>IF(StList!F7&lt;&gt;"",StList!F7,"")</f>
        <v> HANEEN HAJJI E ALHARBI</v>
      </c>
    </row>
    <row r="16" spans="1:17" ht="21.75" customHeight="1" x14ac:dyDescent="0.25">
      <c r="A16" s="82">
        <f>IF(StList!E8&lt;&gt;"",StList!E8,"")</f>
        <v>432003748</v>
      </c>
      <c r="B16" s="80">
        <v>5</v>
      </c>
      <c r="C16" s="18">
        <v>7</v>
      </c>
      <c r="D16" s="18">
        <v>5</v>
      </c>
      <c r="E16" s="18"/>
      <c r="F16" s="18"/>
      <c r="G16" s="18"/>
      <c r="H16" s="18"/>
      <c r="I16" s="18"/>
      <c r="J16" s="18"/>
      <c r="K16" s="18"/>
      <c r="L16" s="18"/>
      <c r="M16" s="81"/>
      <c r="N16" s="83">
        <f t="shared" si="5"/>
        <v>17</v>
      </c>
      <c r="O16" s="73">
        <f>IF(StList!A8&lt;&gt;"",StList!A8,"")</f>
        <v>6</v>
      </c>
      <c r="P16" s="73" t="str">
        <f>IF(StList!B8&lt;&gt;"",StList!B8,"")</f>
        <v>Pharmaceutical sciences</v>
      </c>
      <c r="Q16" s="84" t="str">
        <f>IF(StList!F8&lt;&gt;"",StList!F8,"")</f>
        <v> REEM MANSWER A AJEB</v>
      </c>
    </row>
    <row r="17" spans="1:17" ht="21.75" customHeight="1" x14ac:dyDescent="0.25">
      <c r="A17" s="82">
        <f>IF(StList!E9&lt;&gt;"",StList!E9,"")</f>
        <v>452003804</v>
      </c>
      <c r="B17" s="80">
        <v>6</v>
      </c>
      <c r="C17" s="18">
        <v>7</v>
      </c>
      <c r="D17" s="18">
        <v>5</v>
      </c>
      <c r="E17" s="18"/>
      <c r="F17" s="18"/>
      <c r="G17" s="18"/>
      <c r="H17" s="18"/>
      <c r="I17" s="18"/>
      <c r="J17" s="18"/>
      <c r="K17" s="18"/>
      <c r="L17" s="18"/>
      <c r="M17" s="81"/>
      <c r="N17" s="83">
        <f t="shared" si="5"/>
        <v>18</v>
      </c>
      <c r="O17" s="73">
        <f>IF(StList!A9&lt;&gt;"",StList!A9,"")</f>
        <v>7</v>
      </c>
      <c r="P17" s="73" t="str">
        <f>IF(StList!B9&lt;&gt;"",StList!B9,"")</f>
        <v>Pharmaceutical sciences</v>
      </c>
      <c r="Q17" s="84" t="str">
        <f>IF(StList!F9&lt;&gt;"",StList!F9,"")</f>
        <v> JULIEN KHALID M ALKHALDI</v>
      </c>
    </row>
    <row r="18" spans="1:17" ht="21.75" customHeight="1" x14ac:dyDescent="0.25">
      <c r="A18" s="82">
        <f>IF(StList!E10&lt;&gt;"",StList!E10,"")</f>
        <v>452003886</v>
      </c>
      <c r="B18" s="80">
        <v>5</v>
      </c>
      <c r="C18" s="18">
        <v>8</v>
      </c>
      <c r="D18" s="18">
        <v>5</v>
      </c>
      <c r="E18" s="18"/>
      <c r="F18" s="18"/>
      <c r="G18" s="18"/>
      <c r="H18" s="18"/>
      <c r="I18" s="18"/>
      <c r="J18" s="18"/>
      <c r="K18" s="18"/>
      <c r="L18" s="18"/>
      <c r="M18" s="81"/>
      <c r="N18" s="83">
        <f t="shared" si="5"/>
        <v>18</v>
      </c>
      <c r="O18" s="73">
        <f>IF(StList!A10&lt;&gt;"",StList!A10,"")</f>
        <v>8</v>
      </c>
      <c r="P18" s="73" t="str">
        <f>IF(StList!B10&lt;&gt;"",StList!B10,"")</f>
        <v>Pharmaceutical sciences</v>
      </c>
      <c r="Q18" s="84" t="str">
        <f>IF(StList!F10&lt;&gt;"",StList!F10,"")</f>
        <v> SAFFANAH ABDULAZIZ A ALZAYDI</v>
      </c>
    </row>
    <row r="19" spans="1:17" ht="21.75" customHeight="1" x14ac:dyDescent="0.25">
      <c r="A19" s="82">
        <f>IF(StList!E11&lt;&gt;"",StList!E11,"")</f>
        <v>461003576</v>
      </c>
      <c r="B19" s="80">
        <v>2</v>
      </c>
      <c r="C19" s="18">
        <v>6</v>
      </c>
      <c r="D19" s="18">
        <v>4</v>
      </c>
      <c r="E19" s="18"/>
      <c r="F19" s="18"/>
      <c r="G19" s="18"/>
      <c r="H19" s="18"/>
      <c r="I19" s="18"/>
      <c r="J19" s="18"/>
      <c r="K19" s="18"/>
      <c r="L19" s="18"/>
      <c r="M19" s="81"/>
      <c r="N19" s="83">
        <f t="shared" si="5"/>
        <v>12</v>
      </c>
      <c r="O19" s="73">
        <f>IF(StList!A11&lt;&gt;"",StList!A11,"")</f>
        <v>9</v>
      </c>
      <c r="P19" s="73" t="str">
        <f>IF(StList!B11&lt;&gt;"",StList!B11,"")</f>
        <v>Pharmaceutical sciences</v>
      </c>
      <c r="Q19" s="84" t="str">
        <f>IF(StList!F11&lt;&gt;"",StList!F11,"")</f>
        <v> SHAIMA BASSAM M ALALI</v>
      </c>
    </row>
    <row r="20" spans="1:17" ht="21.75" hidden="1" customHeight="1" x14ac:dyDescent="0.25">
      <c r="A20" s="82" t="str">
        <f>IF(StList!E12&lt;&gt;"",StList!E12,"")</f>
        <v/>
      </c>
      <c r="B20" s="80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81"/>
      <c r="N20" s="83" t="str">
        <f t="shared" si="5"/>
        <v/>
      </c>
      <c r="O20" s="73">
        <f>IF(StList!A12&lt;&gt;"",StList!A12,"")</f>
        <v>10</v>
      </c>
      <c r="P20" s="73" t="str">
        <f>IF(StList!B12&lt;&gt;"",StList!B12,"")</f>
        <v>Pharmaceutical sciences</v>
      </c>
      <c r="Q20" s="84" t="str">
        <f>IF(StList!F12&lt;&gt;"",StList!F12,"")</f>
        <v/>
      </c>
    </row>
    <row r="21" spans="1:17" ht="21.75" hidden="1" customHeight="1" x14ac:dyDescent="0.25">
      <c r="A21" s="82" t="str">
        <f>IF(StList!E13&lt;&gt;"",StList!E13,"")</f>
        <v/>
      </c>
      <c r="B21" s="80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81"/>
      <c r="N21" s="83" t="str">
        <f t="shared" si="5"/>
        <v/>
      </c>
      <c r="O21" s="73">
        <f>IF(StList!A13&lt;&gt;"",StList!A13,"")</f>
        <v>11</v>
      </c>
      <c r="P21" s="73" t="str">
        <f>IF(StList!B13&lt;&gt;"",StList!B13,"")</f>
        <v>Pharmaceutical sciences</v>
      </c>
      <c r="Q21" s="84" t="str">
        <f>IF(StList!F13&lt;&gt;"",StList!F13,"")</f>
        <v/>
      </c>
    </row>
    <row r="22" spans="1:17" ht="21.75" hidden="1" customHeight="1" x14ac:dyDescent="0.25">
      <c r="A22" s="82" t="str">
        <f>IF(StList!E14&lt;&gt;"",StList!E14,"")</f>
        <v/>
      </c>
      <c r="B22" s="80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81"/>
      <c r="N22" s="83" t="str">
        <f t="shared" si="5"/>
        <v/>
      </c>
      <c r="O22" s="73">
        <f>IF(StList!A14&lt;&gt;"",StList!A14,"")</f>
        <v>12</v>
      </c>
      <c r="P22" s="73" t="str">
        <f>IF(StList!B14&lt;&gt;"",StList!B14,"")</f>
        <v>Pharmaceutical sciences</v>
      </c>
      <c r="Q22" s="84" t="str">
        <f>IF(StList!F14&lt;&gt;"",StList!F14,"")</f>
        <v/>
      </c>
    </row>
    <row r="23" spans="1:17" ht="21.75" hidden="1" customHeight="1" x14ac:dyDescent="0.25">
      <c r="A23" s="82" t="str">
        <f>IF(StList!E15&lt;&gt;"",StList!E15,"")</f>
        <v/>
      </c>
      <c r="B23" s="80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81"/>
      <c r="N23" s="83" t="str">
        <f t="shared" si="5"/>
        <v/>
      </c>
      <c r="O23" s="73">
        <f>IF(StList!A15&lt;&gt;"",StList!A15,"")</f>
        <v>13</v>
      </c>
      <c r="P23" s="73" t="str">
        <f>IF(StList!B15&lt;&gt;"",StList!B15,"")</f>
        <v>Pharmaceutical sciences</v>
      </c>
      <c r="Q23" s="84" t="str">
        <f>IF(StList!F15&lt;&gt;"",StList!F15,"")</f>
        <v/>
      </c>
    </row>
    <row r="24" spans="1:17" ht="21.75" hidden="1" customHeight="1" x14ac:dyDescent="0.25">
      <c r="A24" s="82" t="str">
        <f>IF(StList!E16&lt;&gt;"",StList!E16,"")</f>
        <v/>
      </c>
      <c r="B24" s="80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81"/>
      <c r="N24" s="83" t="str">
        <f t="shared" si="5"/>
        <v/>
      </c>
      <c r="O24" s="73">
        <f>IF(StList!A16&lt;&gt;"",StList!A16,"")</f>
        <v>14</v>
      </c>
      <c r="P24" s="73" t="str">
        <f>IF(StList!B16&lt;&gt;"",StList!B16,"")</f>
        <v>Pharmaceutical sciences</v>
      </c>
      <c r="Q24" s="84" t="str">
        <f>IF(StList!F16&lt;&gt;"",StList!F16,"")</f>
        <v/>
      </c>
    </row>
    <row r="25" spans="1:17" ht="21.75" hidden="1" customHeight="1" x14ac:dyDescent="0.25">
      <c r="A25" s="82" t="str">
        <f>IF(StList!E17&lt;&gt;"",StList!E17,"")</f>
        <v/>
      </c>
      <c r="B25" s="80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81"/>
      <c r="N25" s="83" t="str">
        <f t="shared" si="5"/>
        <v/>
      </c>
      <c r="O25" s="73">
        <f>IF(StList!A17&lt;&gt;"",StList!A17,"")</f>
        <v>15</v>
      </c>
      <c r="P25" s="73" t="str">
        <f>IF(StList!B17&lt;&gt;"",StList!B17,"")</f>
        <v>Pharmaceutical sciences</v>
      </c>
      <c r="Q25" s="84" t="str">
        <f>IF(StList!F17&lt;&gt;"",StList!F17,"")</f>
        <v/>
      </c>
    </row>
    <row r="26" spans="1:17" ht="21.75" hidden="1" customHeight="1" x14ac:dyDescent="0.25">
      <c r="A26" s="82" t="str">
        <f>IF(StList!E18&lt;&gt;"",StList!E18,"")</f>
        <v/>
      </c>
      <c r="B26" s="80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81"/>
      <c r="N26" s="83" t="str">
        <f t="shared" si="5"/>
        <v/>
      </c>
      <c r="O26" s="73">
        <f>IF(StList!A18&lt;&gt;"",StList!A18,"")</f>
        <v>16</v>
      </c>
      <c r="P26" s="73" t="str">
        <f>IF(StList!B18&lt;&gt;"",StList!B18,"")</f>
        <v>Pharmaceutical sciences</v>
      </c>
      <c r="Q26" s="84" t="str">
        <f>IF(StList!F18&lt;&gt;"",StList!F18,"")</f>
        <v/>
      </c>
    </row>
    <row r="27" spans="1:17" ht="21.75" hidden="1" customHeight="1" x14ac:dyDescent="0.25">
      <c r="A27" s="82" t="str">
        <f>IF(StList!E19&lt;&gt;"",StList!E19,"")</f>
        <v/>
      </c>
      <c r="B27" s="80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81"/>
      <c r="N27" s="83" t="str">
        <f t="shared" si="5"/>
        <v/>
      </c>
      <c r="O27" s="73">
        <f>IF(StList!A19&lt;&gt;"",StList!A19,"")</f>
        <v>17</v>
      </c>
      <c r="P27" s="73" t="str">
        <f>IF(StList!B19&lt;&gt;"",StList!B19,"")</f>
        <v>Pharmaceutical sciences</v>
      </c>
      <c r="Q27" s="84" t="str">
        <f>IF(StList!F19&lt;&gt;"",StList!F19,"")</f>
        <v/>
      </c>
    </row>
    <row r="28" spans="1:17" ht="21.75" hidden="1" customHeight="1" x14ac:dyDescent="0.25">
      <c r="A28" s="82" t="str">
        <f>IF(StList!E20&lt;&gt;"",StList!E20,"")</f>
        <v/>
      </c>
      <c r="B28" s="80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81"/>
      <c r="N28" s="83" t="str">
        <f t="shared" si="5"/>
        <v/>
      </c>
      <c r="O28" s="73">
        <f>IF(StList!A20&lt;&gt;"",StList!A20,"")</f>
        <v>18</v>
      </c>
      <c r="P28" s="73" t="str">
        <f>IF(StList!B20&lt;&gt;"",StList!B20,"")</f>
        <v>Pharmaceutical sciences</v>
      </c>
      <c r="Q28" s="84" t="str">
        <f>IF(StList!F20&lt;&gt;"",StList!F20,"")</f>
        <v/>
      </c>
    </row>
    <row r="29" spans="1:17" ht="21.75" hidden="1" customHeight="1" x14ac:dyDescent="0.25">
      <c r="A29" s="82" t="str">
        <f>IF(StList!E21&lt;&gt;"",StList!E21,"")</f>
        <v/>
      </c>
      <c r="B29" s="80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81"/>
      <c r="N29" s="83" t="str">
        <f t="shared" si="5"/>
        <v/>
      </c>
      <c r="O29" s="73">
        <f>IF(StList!A21&lt;&gt;"",StList!A21,"")</f>
        <v>19</v>
      </c>
      <c r="P29" s="73" t="str">
        <f>IF(StList!B21&lt;&gt;"",StList!B21,"")</f>
        <v>Pharmaceutical sciences</v>
      </c>
      <c r="Q29" s="84" t="str">
        <f>IF(StList!F21&lt;&gt;"",StList!F21,"")</f>
        <v/>
      </c>
    </row>
    <row r="30" spans="1:17" ht="21.75" hidden="1" customHeight="1" x14ac:dyDescent="0.25">
      <c r="A30" s="82" t="str">
        <f>IF(StList!E22&lt;&gt;"",StList!E22,"")</f>
        <v/>
      </c>
      <c r="B30" s="80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81"/>
      <c r="N30" s="83" t="str">
        <f t="shared" si="5"/>
        <v/>
      </c>
      <c r="O30" s="73">
        <f>IF(StList!A22&lt;&gt;"",StList!A22,"")</f>
        <v>20</v>
      </c>
      <c r="P30" s="73" t="str">
        <f>IF(StList!B22&lt;&gt;"",StList!B22,"")</f>
        <v>Pharmaceutical sciences</v>
      </c>
      <c r="Q30" s="84" t="str">
        <f>IF(StList!F22&lt;&gt;"",StList!F22,"")</f>
        <v/>
      </c>
    </row>
    <row r="31" spans="1:17" ht="21.75" hidden="1" customHeight="1" x14ac:dyDescent="0.25">
      <c r="A31" s="82" t="str">
        <f>IF(StList!E23&lt;&gt;"",StList!E23,"")</f>
        <v/>
      </c>
      <c r="B31" s="80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81"/>
      <c r="N31" s="83" t="str">
        <f t="shared" si="5"/>
        <v/>
      </c>
      <c r="O31" s="73">
        <f>IF(StList!A23&lt;&gt;"",StList!A23,"")</f>
        <v>21</v>
      </c>
      <c r="P31" s="73" t="str">
        <f>IF(StList!B23&lt;&gt;"",StList!B23,"")</f>
        <v>Pharmaceutical sciences</v>
      </c>
      <c r="Q31" s="84" t="str">
        <f>IF(StList!F23&lt;&gt;"",StList!F23,"")</f>
        <v/>
      </c>
    </row>
    <row r="32" spans="1:17" ht="21.75" hidden="1" customHeight="1" x14ac:dyDescent="0.25">
      <c r="A32" s="82" t="str">
        <f>IF(StList!E24&lt;&gt;"",StList!E24,"")</f>
        <v/>
      </c>
      <c r="B32" s="80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81"/>
      <c r="N32" s="83" t="str">
        <f t="shared" si="5"/>
        <v/>
      </c>
      <c r="O32" s="73">
        <f>IF(StList!A24&lt;&gt;"",StList!A24,"")</f>
        <v>22</v>
      </c>
      <c r="P32" s="73" t="str">
        <f>IF(StList!B24&lt;&gt;"",StList!B24,"")</f>
        <v>Pharmaceutical sciences</v>
      </c>
      <c r="Q32" s="84" t="str">
        <f>IF(StList!F24&lt;&gt;"",StList!F24,"")</f>
        <v/>
      </c>
    </row>
    <row r="33" spans="1:17" ht="21.75" hidden="1" customHeight="1" x14ac:dyDescent="0.25">
      <c r="A33" s="82" t="str">
        <f>IF(StList!E25&lt;&gt;"",StList!E25,"")</f>
        <v/>
      </c>
      <c r="B33" s="80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81"/>
      <c r="N33" s="83" t="str">
        <f t="shared" si="5"/>
        <v/>
      </c>
      <c r="O33" s="73">
        <f>IF(StList!A25&lt;&gt;"",StList!A25,"")</f>
        <v>23</v>
      </c>
      <c r="P33" s="73" t="str">
        <f>IF(StList!B25&lt;&gt;"",StList!B25,"")</f>
        <v>Pharmaceutical sciences</v>
      </c>
      <c r="Q33" s="84" t="str">
        <f>IF(StList!F25&lt;&gt;"",StList!F25,"")</f>
        <v/>
      </c>
    </row>
    <row r="34" spans="1:17" ht="21.75" hidden="1" customHeight="1" x14ac:dyDescent="0.25">
      <c r="A34" s="82" t="str">
        <f>IF(StList!E26&lt;&gt;"",StList!E26,"")</f>
        <v/>
      </c>
      <c r="B34" s="80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81"/>
      <c r="N34" s="83" t="str">
        <f t="shared" si="5"/>
        <v/>
      </c>
      <c r="O34" s="73">
        <f>IF(StList!A26&lt;&gt;"",StList!A26,"")</f>
        <v>24</v>
      </c>
      <c r="P34" s="73" t="str">
        <f>IF(StList!B26&lt;&gt;"",StList!B26,"")</f>
        <v>Pharmaceutical sciences</v>
      </c>
      <c r="Q34" s="84" t="str">
        <f>IF(StList!F26&lt;&gt;"",StList!F26,"")</f>
        <v/>
      </c>
    </row>
    <row r="35" spans="1:17" ht="21.75" hidden="1" customHeight="1" x14ac:dyDescent="0.25">
      <c r="A35" s="82" t="str">
        <f>IF(StList!E27&lt;&gt;"",StList!E27,"")</f>
        <v/>
      </c>
      <c r="B35" s="80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81"/>
      <c r="N35" s="83" t="str">
        <f t="shared" si="5"/>
        <v/>
      </c>
      <c r="O35" s="73">
        <f>IF(StList!A27&lt;&gt;"",StList!A27,"")</f>
        <v>25</v>
      </c>
      <c r="P35" s="73" t="str">
        <f>IF(StList!B27&lt;&gt;"",StList!B27,"")</f>
        <v>Pharmaceutical sciences</v>
      </c>
      <c r="Q35" s="84" t="str">
        <f>IF(StList!F27&lt;&gt;"",StList!F27,"")</f>
        <v/>
      </c>
    </row>
    <row r="36" spans="1:17" ht="21.75" hidden="1" customHeight="1" x14ac:dyDescent="0.25">
      <c r="A36" s="82" t="str">
        <f>IF(StList!E28&lt;&gt;"",StList!E28,"")</f>
        <v/>
      </c>
      <c r="B36" s="80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81"/>
      <c r="N36" s="83" t="str">
        <f t="shared" si="5"/>
        <v/>
      </c>
      <c r="O36" s="73">
        <f>IF(StList!A28&lt;&gt;"",StList!A28,"")</f>
        <v>26</v>
      </c>
      <c r="P36" s="73" t="str">
        <f>IF(StList!B28&lt;&gt;"",StList!B28,"")</f>
        <v>Pharmaceutical sciences</v>
      </c>
      <c r="Q36" s="84" t="str">
        <f>IF(StList!F28&lt;&gt;"",StList!F28,"")</f>
        <v/>
      </c>
    </row>
    <row r="37" spans="1:17" ht="21.75" hidden="1" customHeight="1" x14ac:dyDescent="0.25">
      <c r="A37" s="82" t="str">
        <f>IF(StList!E29&lt;&gt;"",StList!E29,"")</f>
        <v/>
      </c>
      <c r="B37" s="80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81"/>
      <c r="N37" s="83" t="str">
        <f t="shared" si="5"/>
        <v/>
      </c>
      <c r="O37" s="73">
        <f>IF(StList!A29&lt;&gt;"",StList!A29,"")</f>
        <v>27</v>
      </c>
      <c r="P37" s="73" t="str">
        <f>IF(StList!B29&lt;&gt;"",StList!B29,"")</f>
        <v>Pharmaceutical sciences</v>
      </c>
      <c r="Q37" s="84" t="str">
        <f>IF(StList!F29&lt;&gt;"",StList!F29,"")</f>
        <v/>
      </c>
    </row>
    <row r="38" spans="1:17" ht="21.75" hidden="1" customHeight="1" x14ac:dyDescent="0.25">
      <c r="A38" s="82" t="str">
        <f>IF(StList!E30&lt;&gt;"",StList!E30,"")</f>
        <v/>
      </c>
      <c r="B38" s="80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81"/>
      <c r="N38" s="83" t="str">
        <f t="shared" si="5"/>
        <v/>
      </c>
      <c r="O38" s="73">
        <f>IF(StList!A30&lt;&gt;"",StList!A30,"")</f>
        <v>28</v>
      </c>
      <c r="P38" s="73" t="str">
        <f>IF(StList!B30&lt;&gt;"",StList!B30,"")</f>
        <v>Pharmaceutical sciences</v>
      </c>
      <c r="Q38" s="84" t="str">
        <f>IF(StList!F30&lt;&gt;"",StList!F30,"")</f>
        <v/>
      </c>
    </row>
    <row r="39" spans="1:17" ht="21.75" hidden="1" customHeight="1" x14ac:dyDescent="0.25">
      <c r="A39" s="82" t="str">
        <f>IF(StList!E31&lt;&gt;"",StList!E31,"")</f>
        <v/>
      </c>
      <c r="B39" s="80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81"/>
      <c r="N39" s="83" t="str">
        <f t="shared" si="5"/>
        <v/>
      </c>
      <c r="O39" s="73">
        <f>IF(StList!A31&lt;&gt;"",StList!A31,"")</f>
        <v>29</v>
      </c>
      <c r="P39" s="73" t="str">
        <f>IF(StList!B31&lt;&gt;"",StList!B31,"")</f>
        <v>Pharmaceutical sciences</v>
      </c>
      <c r="Q39" s="84" t="str">
        <f>IF(StList!F31&lt;&gt;"",StList!F31,"")</f>
        <v/>
      </c>
    </row>
    <row r="40" spans="1:17" ht="21.75" hidden="1" customHeight="1" x14ac:dyDescent="0.25">
      <c r="A40" s="82" t="str">
        <f>IF(StList!E32&lt;&gt;"",StList!E32,"")</f>
        <v/>
      </c>
      <c r="B40" s="80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81"/>
      <c r="N40" s="83" t="str">
        <f t="shared" si="5"/>
        <v/>
      </c>
      <c r="O40" s="73">
        <f>IF(StList!A32&lt;&gt;"",StList!A32,"")</f>
        <v>30</v>
      </c>
      <c r="P40" s="73" t="str">
        <f>IF(StList!B32&lt;&gt;"",StList!B32,"")</f>
        <v>Pharmaceutical sciences</v>
      </c>
      <c r="Q40" s="84" t="str">
        <f>IF(StList!F32&lt;&gt;"",StList!F32,"")</f>
        <v/>
      </c>
    </row>
    <row r="41" spans="1:17" ht="21.75" hidden="1" customHeight="1" x14ac:dyDescent="0.25">
      <c r="A41" s="82" t="str">
        <f>IF(StList!E33&lt;&gt;"",StList!E33,"")</f>
        <v/>
      </c>
      <c r="B41" s="80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81"/>
      <c r="N41" s="83" t="str">
        <f t="shared" si="5"/>
        <v/>
      </c>
      <c r="O41" s="73">
        <f>IF(StList!A33&lt;&gt;"",StList!A33,"")</f>
        <v>31</v>
      </c>
      <c r="P41" s="73" t="str">
        <f>IF(StList!B33&lt;&gt;"",StList!B33,"")</f>
        <v>Pharmaceutical sciences</v>
      </c>
      <c r="Q41" s="84" t="str">
        <f>IF(StList!F33&lt;&gt;"",StList!F33,"")</f>
        <v/>
      </c>
    </row>
    <row r="42" spans="1:17" ht="21.75" hidden="1" customHeight="1" x14ac:dyDescent="0.25">
      <c r="A42" s="82" t="str">
        <f>IF(StList!E34&lt;&gt;"",StList!E34,"")</f>
        <v/>
      </c>
      <c r="B42" s="80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81"/>
      <c r="N42" s="83" t="str">
        <f t="shared" si="5"/>
        <v/>
      </c>
      <c r="O42" s="73">
        <f>IF(StList!A34&lt;&gt;"",StList!A34,"")</f>
        <v>32</v>
      </c>
      <c r="P42" s="73" t="str">
        <f>IF(StList!B34&lt;&gt;"",StList!B34,"")</f>
        <v>Pharmaceutical sciences</v>
      </c>
      <c r="Q42" s="84" t="str">
        <f>IF(StList!F34&lt;&gt;"",StList!F34,"")</f>
        <v/>
      </c>
    </row>
    <row r="43" spans="1:17" ht="21.75" hidden="1" customHeight="1" x14ac:dyDescent="0.25">
      <c r="A43" s="82" t="str">
        <f>IF(StList!E35&lt;&gt;"",StList!E35,"")</f>
        <v/>
      </c>
      <c r="B43" s="80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81"/>
      <c r="N43" s="83" t="str">
        <f t="shared" si="5"/>
        <v/>
      </c>
      <c r="O43" s="73">
        <f>IF(StList!A35&lt;&gt;"",StList!A35,"")</f>
        <v>33</v>
      </c>
      <c r="P43" s="73" t="str">
        <f>IF(StList!B35&lt;&gt;"",StList!B35,"")</f>
        <v>Pharmaceutical sciences</v>
      </c>
      <c r="Q43" s="84" t="str">
        <f>IF(StList!F35&lt;&gt;"",StList!F35,"")</f>
        <v/>
      </c>
    </row>
    <row r="44" spans="1:17" ht="21.75" hidden="1" customHeight="1" x14ac:dyDescent="0.25">
      <c r="A44" s="82" t="str">
        <f>IF(StList!E36&lt;&gt;"",StList!E36,"")</f>
        <v/>
      </c>
      <c r="B44" s="80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81"/>
      <c r="N44" s="83" t="str">
        <f t="shared" si="5"/>
        <v/>
      </c>
      <c r="O44" s="73">
        <f>IF(StList!A36&lt;&gt;"",StList!A36,"")</f>
        <v>34</v>
      </c>
      <c r="P44" s="73" t="str">
        <f>IF(StList!B36&lt;&gt;"",StList!B36,"")</f>
        <v>Pharmaceutical sciences</v>
      </c>
      <c r="Q44" s="84" t="str">
        <f>IF(StList!F36&lt;&gt;"",StList!F36,"")</f>
        <v/>
      </c>
    </row>
    <row r="45" spans="1:17" ht="21.75" hidden="1" customHeight="1" x14ac:dyDescent="0.25">
      <c r="A45" s="82" t="str">
        <f>IF(StList!E37&lt;&gt;"",StList!E37,"")</f>
        <v/>
      </c>
      <c r="B45" s="80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81"/>
      <c r="N45" s="83" t="str">
        <f t="shared" si="5"/>
        <v/>
      </c>
      <c r="O45" s="73">
        <f>IF(StList!A37&lt;&gt;"",StList!A37,"")</f>
        <v>35</v>
      </c>
      <c r="P45" s="73" t="str">
        <f>IF(StList!B37&lt;&gt;"",StList!B37,"")</f>
        <v>Pharmaceutical sciences</v>
      </c>
      <c r="Q45" s="84" t="str">
        <f>IF(StList!F37&lt;&gt;"",StList!F37,"")</f>
        <v/>
      </c>
    </row>
    <row r="46" spans="1:17" ht="21.75" hidden="1" customHeight="1" x14ac:dyDescent="0.25">
      <c r="A46" s="82" t="str">
        <f>IF(StList!E38&lt;&gt;"",StList!E38,"")</f>
        <v/>
      </c>
      <c r="B46" s="80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81"/>
      <c r="N46" s="83" t="str">
        <f t="shared" si="5"/>
        <v/>
      </c>
      <c r="O46" s="73">
        <f>IF(StList!A38&lt;&gt;"",StList!A38,"")</f>
        <v>36</v>
      </c>
      <c r="P46" s="73" t="str">
        <f>IF(StList!B38&lt;&gt;"",StList!B38,"")</f>
        <v>Pharmaceutical sciences</v>
      </c>
      <c r="Q46" s="84" t="str">
        <f>IF(StList!F38&lt;&gt;"",StList!F38,"")</f>
        <v/>
      </c>
    </row>
    <row r="47" spans="1:17" ht="21.75" hidden="1" customHeight="1" x14ac:dyDescent="0.25">
      <c r="A47" s="82" t="str">
        <f>IF(StList!E39&lt;&gt;"",StList!E39,"")</f>
        <v/>
      </c>
      <c r="B47" s="80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81"/>
      <c r="N47" s="83" t="str">
        <f t="shared" si="5"/>
        <v/>
      </c>
      <c r="O47" s="73">
        <f>IF(StList!A39&lt;&gt;"",StList!A39,"")</f>
        <v>37</v>
      </c>
      <c r="P47" s="73" t="str">
        <f>IF(StList!B39&lt;&gt;"",StList!B39,"")</f>
        <v>Pharmaceutical sciences</v>
      </c>
      <c r="Q47" s="84" t="str">
        <f>IF(StList!F39&lt;&gt;"",StList!F39,"")</f>
        <v/>
      </c>
    </row>
    <row r="48" spans="1:17" ht="21.75" hidden="1" customHeight="1" x14ac:dyDescent="0.25">
      <c r="A48" s="82" t="str">
        <f>IF(StList!E40&lt;&gt;"",StList!E40,"")</f>
        <v/>
      </c>
      <c r="B48" s="80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81"/>
      <c r="N48" s="83" t="str">
        <f t="shared" si="5"/>
        <v/>
      </c>
      <c r="O48" s="73">
        <f>IF(StList!A40&lt;&gt;"",StList!A40,"")</f>
        <v>38</v>
      </c>
      <c r="P48" s="73" t="str">
        <f>IF(StList!B40&lt;&gt;"",StList!B40,"")</f>
        <v>Pharmaceutical sciences</v>
      </c>
      <c r="Q48" s="84" t="str">
        <f>IF(StList!F40&lt;&gt;"",StList!F40,"")</f>
        <v/>
      </c>
    </row>
    <row r="49" spans="1:17" ht="21.75" hidden="1" customHeight="1" x14ac:dyDescent="0.25">
      <c r="A49" s="82" t="str">
        <f>IF(StList!E41&lt;&gt;"",StList!E41,"")</f>
        <v/>
      </c>
      <c r="B49" s="80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81"/>
      <c r="N49" s="83" t="str">
        <f t="shared" si="5"/>
        <v/>
      </c>
      <c r="O49" s="73">
        <f>IF(StList!A41&lt;&gt;"",StList!A41,"")</f>
        <v>39</v>
      </c>
      <c r="P49" s="73" t="str">
        <f>IF(StList!B41&lt;&gt;"",StList!B41,"")</f>
        <v>Pharmaceutical sciences</v>
      </c>
      <c r="Q49" s="84" t="str">
        <f>IF(StList!F41&lt;&gt;"",StList!F41,"")</f>
        <v/>
      </c>
    </row>
    <row r="50" spans="1:17" ht="21.75" hidden="1" customHeight="1" x14ac:dyDescent="0.25">
      <c r="A50" s="82" t="str">
        <f>IF(StList!E42&lt;&gt;"",StList!E42,"")</f>
        <v/>
      </c>
      <c r="B50" s="80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81"/>
      <c r="N50" s="83" t="str">
        <f t="shared" si="5"/>
        <v/>
      </c>
      <c r="O50" s="73">
        <f>IF(StList!A42&lt;&gt;"",StList!A42,"")</f>
        <v>40</v>
      </c>
      <c r="P50" s="73" t="str">
        <f>IF(StList!B42&lt;&gt;"",StList!B42,"")</f>
        <v>Pharmaceutical sciences</v>
      </c>
      <c r="Q50" s="84" t="str">
        <f>IF(StList!F42&lt;&gt;"",StList!F42,"")</f>
        <v/>
      </c>
    </row>
    <row r="51" spans="1:17" ht="21.75" hidden="1" customHeight="1" x14ac:dyDescent="0.25">
      <c r="A51" s="82" t="str">
        <f>IF(StList!E43&lt;&gt;"",StList!E43,"")</f>
        <v/>
      </c>
      <c r="B51" s="80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81"/>
      <c r="N51" s="83" t="str">
        <f t="shared" si="5"/>
        <v/>
      </c>
      <c r="O51" s="73">
        <f>IF(StList!A43&lt;&gt;"",StList!A43,"")</f>
        <v>41</v>
      </c>
      <c r="P51" s="73" t="str">
        <f>IF(StList!B43&lt;&gt;"",StList!B43,"")</f>
        <v>Pharmaceutical sciences</v>
      </c>
      <c r="Q51" s="84" t="str">
        <f>IF(StList!F43&lt;&gt;"",StList!F43,"")</f>
        <v/>
      </c>
    </row>
    <row r="52" spans="1:17" ht="21.75" hidden="1" customHeight="1" x14ac:dyDescent="0.25">
      <c r="A52" s="82" t="str">
        <f>IF(StList!E44&lt;&gt;"",StList!E44,"")</f>
        <v/>
      </c>
      <c r="B52" s="80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81"/>
      <c r="N52" s="83" t="str">
        <f t="shared" si="5"/>
        <v/>
      </c>
      <c r="O52" s="73">
        <f>IF(StList!A44&lt;&gt;"",StList!A44,"")</f>
        <v>42</v>
      </c>
      <c r="P52" s="73" t="str">
        <f>IF(StList!B44&lt;&gt;"",StList!B44,"")</f>
        <v>Pharmaceutical sciences</v>
      </c>
      <c r="Q52" s="84" t="str">
        <f>IF(StList!F44&lt;&gt;"",StList!F44,"")</f>
        <v/>
      </c>
    </row>
    <row r="53" spans="1:17" ht="21.75" hidden="1" customHeight="1" x14ac:dyDescent="0.25">
      <c r="A53" s="82" t="str">
        <f>IF(StList!E45&lt;&gt;"",StList!E45,"")</f>
        <v/>
      </c>
      <c r="B53" s="80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81"/>
      <c r="N53" s="83" t="str">
        <f t="shared" si="5"/>
        <v/>
      </c>
      <c r="O53" s="73">
        <f>IF(StList!A45&lt;&gt;"",StList!A45,"")</f>
        <v>43</v>
      </c>
      <c r="P53" s="73" t="str">
        <f>IF(StList!B45&lt;&gt;"",StList!B45,"")</f>
        <v>Pharmaceutical sciences</v>
      </c>
      <c r="Q53" s="84" t="str">
        <f>IF(StList!F45&lt;&gt;"",StList!F45,"")</f>
        <v/>
      </c>
    </row>
    <row r="54" spans="1:17" ht="21.75" hidden="1" customHeight="1" x14ac:dyDescent="0.25">
      <c r="A54" s="82" t="str">
        <f>IF(StList!E46&lt;&gt;"",StList!E46,"")</f>
        <v/>
      </c>
      <c r="B54" s="80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81"/>
      <c r="N54" s="83" t="str">
        <f t="shared" si="5"/>
        <v/>
      </c>
      <c r="O54" s="73">
        <f>IF(StList!A46&lt;&gt;"",StList!A46,"")</f>
        <v>44</v>
      </c>
      <c r="P54" s="73" t="str">
        <f>IF(StList!B46&lt;&gt;"",StList!B46,"")</f>
        <v>Pharmaceutical sciences</v>
      </c>
      <c r="Q54" s="84" t="str">
        <f>IF(StList!F46&lt;&gt;"",StList!F46,"")</f>
        <v/>
      </c>
    </row>
    <row r="55" spans="1:17" ht="21.75" hidden="1" customHeight="1" x14ac:dyDescent="0.25">
      <c r="A55" s="82" t="str">
        <f>IF(StList!E47&lt;&gt;"",StList!E47,"")</f>
        <v/>
      </c>
      <c r="B55" s="80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81"/>
      <c r="N55" s="83" t="str">
        <f t="shared" si="5"/>
        <v/>
      </c>
      <c r="O55" s="73">
        <f>IF(StList!A47&lt;&gt;"",StList!A47,"")</f>
        <v>45</v>
      </c>
      <c r="P55" s="73" t="str">
        <f>IF(StList!B47&lt;&gt;"",StList!B47,"")</f>
        <v>Pharmaceutical sciences</v>
      </c>
      <c r="Q55" s="84" t="str">
        <f>IF(StList!F47&lt;&gt;"",StList!F47,"")</f>
        <v/>
      </c>
    </row>
    <row r="56" spans="1:17" ht="21.75" hidden="1" customHeight="1" x14ac:dyDescent="0.25">
      <c r="A56" s="82" t="str">
        <f>IF(StList!E48&lt;&gt;"",StList!E48,"")</f>
        <v/>
      </c>
      <c r="B56" s="80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81"/>
      <c r="N56" s="83" t="str">
        <f t="shared" si="5"/>
        <v/>
      </c>
      <c r="O56" s="73">
        <f>IF(StList!A48&lt;&gt;"",StList!A48,"")</f>
        <v>46</v>
      </c>
      <c r="P56" s="73" t="str">
        <f>IF(StList!B48&lt;&gt;"",StList!B48,"")</f>
        <v>Pharmaceutical sciences</v>
      </c>
      <c r="Q56" s="84" t="str">
        <f>IF(StList!F48&lt;&gt;"",StList!F48,"")</f>
        <v/>
      </c>
    </row>
    <row r="57" spans="1:17" ht="21.75" hidden="1" customHeight="1" x14ac:dyDescent="0.25">
      <c r="A57" s="82" t="str">
        <f>IF(StList!E49&lt;&gt;"",StList!E49,"")</f>
        <v/>
      </c>
      <c r="B57" s="80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81"/>
      <c r="N57" s="83" t="str">
        <f t="shared" si="5"/>
        <v/>
      </c>
      <c r="O57" s="73">
        <f>IF(StList!A49&lt;&gt;"",StList!A49,"")</f>
        <v>47</v>
      </c>
      <c r="P57" s="73" t="str">
        <f>IF(StList!B49&lt;&gt;"",StList!B49,"")</f>
        <v>Pharmaceutical sciences</v>
      </c>
      <c r="Q57" s="84" t="str">
        <f>IF(StList!F49&lt;&gt;"",StList!F49,"")</f>
        <v/>
      </c>
    </row>
    <row r="58" spans="1:17" ht="21.75" hidden="1" customHeight="1" x14ac:dyDescent="0.25">
      <c r="A58" s="82" t="str">
        <f>IF(StList!E50&lt;&gt;"",StList!E50,"")</f>
        <v/>
      </c>
      <c r="B58" s="80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81"/>
      <c r="N58" s="83" t="str">
        <f t="shared" si="5"/>
        <v/>
      </c>
      <c r="O58" s="73">
        <f>IF(StList!A50&lt;&gt;"",StList!A50,"")</f>
        <v>48</v>
      </c>
      <c r="P58" s="73" t="str">
        <f>IF(StList!B50&lt;&gt;"",StList!B50,"")</f>
        <v>Pharmaceutical sciences</v>
      </c>
      <c r="Q58" s="84" t="str">
        <f>IF(StList!F50&lt;&gt;"",StList!F50,"")</f>
        <v/>
      </c>
    </row>
    <row r="59" spans="1:17" ht="21.75" hidden="1" customHeight="1" x14ac:dyDescent="0.25">
      <c r="A59" s="82" t="str">
        <f>IF(StList!E51&lt;&gt;"",StList!E51,"")</f>
        <v/>
      </c>
      <c r="B59" s="80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81"/>
      <c r="N59" s="83" t="str">
        <f t="shared" si="5"/>
        <v/>
      </c>
      <c r="O59" s="73">
        <f>IF(StList!A51&lt;&gt;"",StList!A51,"")</f>
        <v>49</v>
      </c>
      <c r="P59" s="73" t="str">
        <f>IF(StList!B51&lt;&gt;"",StList!B51,"")</f>
        <v>Pharmaceutical sciences</v>
      </c>
      <c r="Q59" s="84" t="str">
        <f>IF(StList!F51&lt;&gt;"",StList!F51,"")</f>
        <v/>
      </c>
    </row>
    <row r="60" spans="1:17" ht="21.75" hidden="1" customHeight="1" x14ac:dyDescent="0.25">
      <c r="A60" s="82" t="str">
        <f>IF(StList!E52&lt;&gt;"",StList!E52,"")</f>
        <v/>
      </c>
      <c r="B60" s="80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81"/>
      <c r="N60" s="83" t="str">
        <f t="shared" si="5"/>
        <v/>
      </c>
      <c r="O60" s="73">
        <f>IF(StList!A52&lt;&gt;"",StList!A52,"")</f>
        <v>50</v>
      </c>
      <c r="P60" s="73" t="str">
        <f>IF(StList!B52&lt;&gt;"",StList!B52,"")</f>
        <v>Pharmaceutical sciences</v>
      </c>
      <c r="Q60" s="84" t="str">
        <f>IF(StList!F52&lt;&gt;"",StList!F52,"")</f>
        <v/>
      </c>
    </row>
    <row r="61" spans="1:17" ht="21.75" hidden="1" customHeight="1" x14ac:dyDescent="0.25">
      <c r="A61" s="82" t="str">
        <f>IF(StList!E53&lt;&gt;"",StList!E53,"")</f>
        <v/>
      </c>
      <c r="B61" s="80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81"/>
      <c r="N61" s="83" t="str">
        <f t="shared" si="5"/>
        <v/>
      </c>
      <c r="O61" s="73">
        <f>IF(StList!A53&lt;&gt;"",StList!A53,"")</f>
        <v>51</v>
      </c>
      <c r="P61" s="73" t="str">
        <f>IF(StList!B53&lt;&gt;"",StList!B53,"")</f>
        <v>Pharmaceutical sciences</v>
      </c>
      <c r="Q61" s="84" t="str">
        <f>IF(StList!F53&lt;&gt;"",StList!F53,"")</f>
        <v/>
      </c>
    </row>
    <row r="62" spans="1:17" ht="21.75" hidden="1" customHeight="1" x14ac:dyDescent="0.25">
      <c r="A62" s="82" t="str">
        <f>IF(StList!E54&lt;&gt;"",StList!E54,"")</f>
        <v/>
      </c>
      <c r="B62" s="80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81"/>
      <c r="N62" s="83" t="str">
        <f t="shared" si="5"/>
        <v/>
      </c>
      <c r="O62" s="73">
        <f>IF(StList!A54&lt;&gt;"",StList!A54,"")</f>
        <v>52</v>
      </c>
      <c r="P62" s="73" t="str">
        <f>IF(StList!B54&lt;&gt;"",StList!B54,"")</f>
        <v>Pharmaceutical sciences</v>
      </c>
      <c r="Q62" s="84" t="str">
        <f>IF(StList!F54&lt;&gt;"",StList!F54,"")</f>
        <v/>
      </c>
    </row>
    <row r="63" spans="1:17" ht="21.75" hidden="1" customHeight="1" x14ac:dyDescent="0.25">
      <c r="A63" s="82" t="str">
        <f>IF(StList!E55&lt;&gt;"",StList!E55,"")</f>
        <v/>
      </c>
      <c r="B63" s="80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81"/>
      <c r="N63" s="83" t="str">
        <f t="shared" si="5"/>
        <v/>
      </c>
      <c r="O63" s="73">
        <f>IF(StList!A55&lt;&gt;"",StList!A55,"")</f>
        <v>53</v>
      </c>
      <c r="P63" s="73" t="str">
        <f>IF(StList!B55&lt;&gt;"",StList!B55,"")</f>
        <v>Pharmaceutical sciences</v>
      </c>
      <c r="Q63" s="84" t="str">
        <f>IF(StList!F55&lt;&gt;"",StList!F55,"")</f>
        <v/>
      </c>
    </row>
    <row r="64" spans="1:17" ht="21.75" hidden="1" customHeight="1" x14ac:dyDescent="0.25">
      <c r="A64" s="82" t="str">
        <f>IF(StList!E56&lt;&gt;"",StList!E56,"")</f>
        <v/>
      </c>
      <c r="B64" s="80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81"/>
      <c r="N64" s="83" t="str">
        <f t="shared" si="5"/>
        <v/>
      </c>
      <c r="O64" s="73">
        <f>IF(StList!A56&lt;&gt;"",StList!A56,"")</f>
        <v>54</v>
      </c>
      <c r="P64" s="73" t="str">
        <f>IF(StList!B56&lt;&gt;"",StList!B56,"")</f>
        <v>Pharmaceutical sciences</v>
      </c>
      <c r="Q64" s="84" t="str">
        <f>IF(StList!F56&lt;&gt;"",StList!F56,"")</f>
        <v/>
      </c>
    </row>
    <row r="65" spans="1:17" ht="21.75" hidden="1" customHeight="1" x14ac:dyDescent="0.25">
      <c r="A65" s="82" t="str">
        <f>IF(StList!E57&lt;&gt;"",StList!E57,"")</f>
        <v/>
      </c>
      <c r="B65" s="80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81"/>
      <c r="N65" s="83" t="str">
        <f t="shared" si="5"/>
        <v/>
      </c>
      <c r="O65" s="73">
        <f>IF(StList!A57&lt;&gt;"",StList!A57,"")</f>
        <v>55</v>
      </c>
      <c r="P65" s="73" t="str">
        <f>IF(StList!B57&lt;&gt;"",StList!B57,"")</f>
        <v>Pharmaceutical sciences</v>
      </c>
      <c r="Q65" s="84" t="str">
        <f>IF(StList!F57&lt;&gt;"",StList!F57,"")</f>
        <v/>
      </c>
    </row>
    <row r="66" spans="1:17" ht="21.75" hidden="1" customHeight="1" x14ac:dyDescent="0.25">
      <c r="A66" s="82" t="str">
        <f>IF(StList!E58&lt;&gt;"",StList!E58,"")</f>
        <v/>
      </c>
      <c r="B66" s="80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81"/>
      <c r="N66" s="83" t="str">
        <f t="shared" si="5"/>
        <v/>
      </c>
      <c r="O66" s="73">
        <f>IF(StList!A58&lt;&gt;"",StList!A58,"")</f>
        <v>56</v>
      </c>
      <c r="P66" s="73" t="str">
        <f>IF(StList!B58&lt;&gt;"",StList!B58,"")</f>
        <v>Pharmaceutical sciences</v>
      </c>
      <c r="Q66" s="84" t="str">
        <f>IF(StList!F58&lt;&gt;"",StList!F58,"")</f>
        <v/>
      </c>
    </row>
    <row r="67" spans="1:17" ht="21.75" hidden="1" customHeight="1" x14ac:dyDescent="0.25">
      <c r="A67" s="82" t="str">
        <f>IF(StList!E59&lt;&gt;"",StList!E59,"")</f>
        <v/>
      </c>
      <c r="B67" s="80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81"/>
      <c r="N67" s="83" t="str">
        <f t="shared" si="5"/>
        <v/>
      </c>
      <c r="O67" s="73">
        <f>IF(StList!A59&lt;&gt;"",StList!A59,"")</f>
        <v>57</v>
      </c>
      <c r="P67" s="73" t="str">
        <f>IF(StList!B59&lt;&gt;"",StList!B59,"")</f>
        <v>Pharmaceutical sciences</v>
      </c>
      <c r="Q67" s="84" t="str">
        <f>IF(StList!F59&lt;&gt;"",StList!F59,"")</f>
        <v/>
      </c>
    </row>
    <row r="68" spans="1:17" ht="21.75" hidden="1" customHeight="1" x14ac:dyDescent="0.25">
      <c r="A68" s="82" t="str">
        <f>IF(StList!E60&lt;&gt;"",StList!E60,"")</f>
        <v/>
      </c>
      <c r="B68" s="80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81"/>
      <c r="N68" s="83" t="str">
        <f t="shared" si="5"/>
        <v/>
      </c>
      <c r="O68" s="73">
        <f>IF(StList!A60&lt;&gt;"",StList!A60,"")</f>
        <v>58</v>
      </c>
      <c r="P68" s="73" t="str">
        <f>IF(StList!B60&lt;&gt;"",StList!B60,"")</f>
        <v>Pharmaceutical sciences</v>
      </c>
      <c r="Q68" s="84" t="str">
        <f>IF(StList!F60&lt;&gt;"",StList!F60,"")</f>
        <v/>
      </c>
    </row>
    <row r="69" spans="1:17" ht="21.75" hidden="1" customHeight="1" x14ac:dyDescent="0.25">
      <c r="A69" s="82" t="str">
        <f>IF(StList!E61&lt;&gt;"",StList!E61,"")</f>
        <v/>
      </c>
      <c r="B69" s="80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81"/>
      <c r="N69" s="83" t="str">
        <f t="shared" si="5"/>
        <v/>
      </c>
      <c r="O69" s="73">
        <f>IF(StList!A61&lt;&gt;"",StList!A61,"")</f>
        <v>59</v>
      </c>
      <c r="P69" s="73" t="str">
        <f>IF(StList!B61&lt;&gt;"",StList!B61,"")</f>
        <v>Pharmaceutical sciences</v>
      </c>
      <c r="Q69" s="84" t="str">
        <f>IF(StList!F61&lt;&gt;"",StList!F61,"")</f>
        <v/>
      </c>
    </row>
    <row r="70" spans="1:17" ht="21.75" hidden="1" customHeight="1" x14ac:dyDescent="0.25">
      <c r="A70" s="82" t="str">
        <f>IF(StList!E62&lt;&gt;"",StList!E62,"")</f>
        <v/>
      </c>
      <c r="B70" s="80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81"/>
      <c r="N70" s="83" t="str">
        <f t="shared" si="5"/>
        <v/>
      </c>
      <c r="O70" s="73">
        <f>IF(StList!A62&lt;&gt;"",StList!A62,"")</f>
        <v>60</v>
      </c>
      <c r="P70" s="73" t="str">
        <f>IF(StList!B62&lt;&gt;"",StList!B62,"")</f>
        <v>Pharmaceutical sciences</v>
      </c>
      <c r="Q70" s="84" t="str">
        <f>IF(StList!F62&lt;&gt;"",StList!F62,"")</f>
        <v/>
      </c>
    </row>
    <row r="71" spans="1:17" ht="21.75" hidden="1" customHeight="1" x14ac:dyDescent="0.25">
      <c r="A71" s="82" t="str">
        <f>IF(StList!E63&lt;&gt;"",StList!E63,"")</f>
        <v/>
      </c>
      <c r="B71" s="80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81"/>
      <c r="N71" s="83" t="str">
        <f t="shared" si="5"/>
        <v/>
      </c>
      <c r="O71" s="73">
        <f>IF(StList!A63&lt;&gt;"",StList!A63,"")</f>
        <v>61</v>
      </c>
      <c r="P71" s="73" t="str">
        <f>IF(StList!B63&lt;&gt;"",StList!B63,"")</f>
        <v>Pharmaceutical sciences</v>
      </c>
      <c r="Q71" s="84" t="str">
        <f>IF(StList!F63&lt;&gt;"",StList!F63,"")</f>
        <v/>
      </c>
    </row>
    <row r="72" spans="1:17" ht="21.75" hidden="1" customHeight="1" x14ac:dyDescent="0.25">
      <c r="A72" s="82" t="str">
        <f>IF(StList!E64&lt;&gt;"",StList!E64,"")</f>
        <v/>
      </c>
      <c r="B72" s="80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81"/>
      <c r="N72" s="83" t="str">
        <f t="shared" si="5"/>
        <v/>
      </c>
      <c r="O72" s="73">
        <f>IF(StList!A64&lt;&gt;"",StList!A64,"")</f>
        <v>62</v>
      </c>
      <c r="P72" s="73" t="str">
        <f>IF(StList!B64&lt;&gt;"",StList!B64,"")</f>
        <v>Pharmaceutical sciences</v>
      </c>
      <c r="Q72" s="84" t="str">
        <f>IF(StList!F64&lt;&gt;"",StList!F64,"")</f>
        <v/>
      </c>
    </row>
    <row r="73" spans="1:17" ht="21.75" hidden="1" customHeight="1" x14ac:dyDescent="0.25">
      <c r="A73" s="82" t="str">
        <f>IF(StList!E65&lt;&gt;"",StList!E65,"")</f>
        <v/>
      </c>
      <c r="B73" s="80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81"/>
      <c r="N73" s="83" t="str">
        <f t="shared" si="5"/>
        <v/>
      </c>
      <c r="O73" s="73">
        <f>IF(StList!A65&lt;&gt;"",StList!A65,"")</f>
        <v>63</v>
      </c>
      <c r="P73" s="73" t="str">
        <f>IF(StList!B65&lt;&gt;"",StList!B65,"")</f>
        <v>Pharmaceutical sciences</v>
      </c>
      <c r="Q73" s="84" t="str">
        <f>IF(StList!F65&lt;&gt;"",StList!F65,"")</f>
        <v/>
      </c>
    </row>
    <row r="74" spans="1:17" ht="21.75" hidden="1" customHeight="1" x14ac:dyDescent="0.25">
      <c r="A74" s="82" t="str">
        <f>IF(StList!E66&lt;&gt;"",StList!E66,"")</f>
        <v/>
      </c>
      <c r="B74" s="80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81"/>
      <c r="N74" s="83" t="str">
        <f t="shared" si="5"/>
        <v/>
      </c>
      <c r="O74" s="73">
        <f>IF(StList!A66&lt;&gt;"",StList!A66,"")</f>
        <v>64</v>
      </c>
      <c r="P74" s="73" t="str">
        <f>IF(StList!B66&lt;&gt;"",StList!B66,"")</f>
        <v>Pharmaceutical sciences</v>
      </c>
      <c r="Q74" s="84" t="str">
        <f>IF(StList!F66&lt;&gt;"",StList!F66,"")</f>
        <v/>
      </c>
    </row>
    <row r="75" spans="1:17" ht="21.75" hidden="1" customHeight="1" x14ac:dyDescent="0.25">
      <c r="A75" s="82" t="str">
        <f>IF(StList!E67&lt;&gt;"",StList!E67,"")</f>
        <v/>
      </c>
      <c r="B75" s="80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81"/>
      <c r="N75" s="83" t="str">
        <f t="shared" si="5"/>
        <v/>
      </c>
      <c r="O75" s="73">
        <f>IF(StList!A67&lt;&gt;"",StList!A67,"")</f>
        <v>65</v>
      </c>
      <c r="P75" s="73" t="str">
        <f>IF(StList!B67&lt;&gt;"",StList!B67,"")</f>
        <v>Pharmaceutical sciences</v>
      </c>
      <c r="Q75" s="84" t="str">
        <f>IF(StList!F67&lt;&gt;"",StList!F67,"")</f>
        <v/>
      </c>
    </row>
    <row r="76" spans="1:17" ht="21.75" hidden="1" customHeight="1" x14ac:dyDescent="0.25">
      <c r="A76" s="82" t="str">
        <f>IF(StList!E68&lt;&gt;"",StList!E68,"")</f>
        <v/>
      </c>
      <c r="B76" s="80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81"/>
      <c r="N76" s="83" t="str">
        <f t="shared" si="5"/>
        <v/>
      </c>
      <c r="O76" s="73">
        <f>IF(StList!A68&lt;&gt;"",StList!A68,"")</f>
        <v>66</v>
      </c>
      <c r="P76" s="73" t="str">
        <f>IF(StList!B68&lt;&gt;"",StList!B68,"")</f>
        <v>Pharmaceutical sciences</v>
      </c>
      <c r="Q76" s="84" t="str">
        <f>IF(StList!F68&lt;&gt;"",StList!F68,"")</f>
        <v/>
      </c>
    </row>
    <row r="77" spans="1:17" ht="21.75" hidden="1" customHeight="1" x14ac:dyDescent="0.25">
      <c r="A77" s="82" t="str">
        <f>IF(StList!E69&lt;&gt;"",StList!E69,"")</f>
        <v/>
      </c>
      <c r="B77" s="80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81"/>
      <c r="N77" s="83" t="str">
        <f t="shared" ref="N77:N120" si="6">IF(SUM(B77:M77),SUM(B77:M77),"")</f>
        <v/>
      </c>
      <c r="O77" s="73">
        <f>IF(StList!A69&lt;&gt;"",StList!A69,"")</f>
        <v>67</v>
      </c>
      <c r="P77" s="73" t="str">
        <f>IF(StList!B69&lt;&gt;"",StList!B69,"")</f>
        <v>Pharmaceutical sciences</v>
      </c>
      <c r="Q77" s="84" t="str">
        <f>IF(StList!F69&lt;&gt;"",StList!F69,"")</f>
        <v/>
      </c>
    </row>
    <row r="78" spans="1:17" ht="21.75" hidden="1" customHeight="1" x14ac:dyDescent="0.25">
      <c r="A78" s="82" t="str">
        <f>IF(StList!E70&lt;&gt;"",StList!E70,"")</f>
        <v/>
      </c>
      <c r="B78" s="80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81"/>
      <c r="N78" s="83" t="str">
        <f t="shared" si="6"/>
        <v/>
      </c>
      <c r="O78" s="73">
        <f>IF(StList!A70&lt;&gt;"",StList!A70,"")</f>
        <v>68</v>
      </c>
      <c r="P78" s="73" t="str">
        <f>IF(StList!B70&lt;&gt;"",StList!B70,"")</f>
        <v>Pharmaceutical sciences</v>
      </c>
      <c r="Q78" s="84" t="str">
        <f>IF(StList!F70&lt;&gt;"",StList!F70,"")</f>
        <v/>
      </c>
    </row>
    <row r="79" spans="1:17" ht="21.75" hidden="1" customHeight="1" x14ac:dyDescent="0.25">
      <c r="A79" s="82" t="str">
        <f>IF(StList!E71&lt;&gt;"",StList!E71,"")</f>
        <v/>
      </c>
      <c r="B79" s="80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81"/>
      <c r="N79" s="83" t="str">
        <f t="shared" si="6"/>
        <v/>
      </c>
      <c r="O79" s="73">
        <f>IF(StList!A71&lt;&gt;"",StList!A71,"")</f>
        <v>69</v>
      </c>
      <c r="P79" s="73" t="str">
        <f>IF(StList!B71&lt;&gt;"",StList!B71,"")</f>
        <v>Pharmaceutical sciences</v>
      </c>
      <c r="Q79" s="84" t="str">
        <f>IF(StList!F71&lt;&gt;"",StList!F71,"")</f>
        <v/>
      </c>
    </row>
    <row r="80" spans="1:17" ht="21.75" hidden="1" customHeight="1" x14ac:dyDescent="0.25">
      <c r="A80" s="82" t="str">
        <f>IF(StList!E72&lt;&gt;"",StList!E72,"")</f>
        <v/>
      </c>
      <c r="B80" s="80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81"/>
      <c r="N80" s="83" t="str">
        <f t="shared" si="6"/>
        <v/>
      </c>
      <c r="O80" s="73">
        <f>IF(StList!A72&lt;&gt;"",StList!A72,"")</f>
        <v>70</v>
      </c>
      <c r="P80" s="73" t="str">
        <f>IF(StList!B72&lt;&gt;"",StList!B72,"")</f>
        <v>Pharmaceutical sciences</v>
      </c>
      <c r="Q80" s="84" t="str">
        <f>IF(StList!F72&lt;&gt;"",StList!F72,"")</f>
        <v/>
      </c>
    </row>
    <row r="81" spans="1:17" ht="21.75" hidden="1" customHeight="1" x14ac:dyDescent="0.25">
      <c r="A81" s="82" t="str">
        <f>IF(StList!E73&lt;&gt;"",StList!E73,"")</f>
        <v/>
      </c>
      <c r="B81" s="80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81"/>
      <c r="N81" s="83" t="str">
        <f t="shared" si="6"/>
        <v/>
      </c>
      <c r="O81" s="73">
        <f>IF(StList!A73&lt;&gt;"",StList!A73,"")</f>
        <v>71</v>
      </c>
      <c r="P81" s="73" t="str">
        <f>IF(StList!B73&lt;&gt;"",StList!B73,"")</f>
        <v>Pharmaceutical sciences</v>
      </c>
      <c r="Q81" s="84" t="str">
        <f>IF(StList!F73&lt;&gt;"",StList!F73,"")</f>
        <v/>
      </c>
    </row>
    <row r="82" spans="1:17" ht="21.75" hidden="1" customHeight="1" x14ac:dyDescent="0.25">
      <c r="A82" s="82" t="str">
        <f>IF(StList!E74&lt;&gt;"",StList!E74,"")</f>
        <v/>
      </c>
      <c r="B82" s="80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81"/>
      <c r="N82" s="83" t="str">
        <f t="shared" si="6"/>
        <v/>
      </c>
      <c r="O82" s="73">
        <f>IF(StList!A74&lt;&gt;"",StList!A74,"")</f>
        <v>72</v>
      </c>
      <c r="P82" s="73" t="str">
        <f>IF(StList!B74&lt;&gt;"",StList!B74,"")</f>
        <v>Pharmaceutical sciences</v>
      </c>
      <c r="Q82" s="84" t="str">
        <f>IF(StList!F74&lt;&gt;"",StList!F74,"")</f>
        <v/>
      </c>
    </row>
    <row r="83" spans="1:17" ht="21.75" hidden="1" customHeight="1" x14ac:dyDescent="0.25">
      <c r="A83" s="82" t="str">
        <f>IF(StList!E75&lt;&gt;"",StList!E75,"")</f>
        <v/>
      </c>
      <c r="B83" s="80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81"/>
      <c r="N83" s="83" t="str">
        <f t="shared" si="6"/>
        <v/>
      </c>
      <c r="O83" s="73">
        <f>IF(StList!A75&lt;&gt;"",StList!A75,"")</f>
        <v>73</v>
      </c>
      <c r="P83" s="73" t="str">
        <f>IF(StList!B75&lt;&gt;"",StList!B75,"")</f>
        <v>Pharmaceutical sciences</v>
      </c>
      <c r="Q83" s="84" t="str">
        <f>IF(StList!F75&lt;&gt;"",StList!F75,"")</f>
        <v/>
      </c>
    </row>
    <row r="84" spans="1:17" ht="21.75" hidden="1" customHeight="1" x14ac:dyDescent="0.25">
      <c r="A84" s="82" t="str">
        <f>IF(StList!E76&lt;&gt;"",StList!E76,"")</f>
        <v/>
      </c>
      <c r="B84" s="80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81"/>
      <c r="N84" s="83" t="str">
        <f t="shared" si="6"/>
        <v/>
      </c>
      <c r="O84" s="73">
        <f>IF(StList!A76&lt;&gt;"",StList!A76,"")</f>
        <v>74</v>
      </c>
      <c r="P84" s="73" t="str">
        <f>IF(StList!B76&lt;&gt;"",StList!B76,"")</f>
        <v>Pharmaceutical sciences</v>
      </c>
      <c r="Q84" s="84" t="str">
        <f>IF(StList!F76&lt;&gt;"",StList!F76,"")</f>
        <v/>
      </c>
    </row>
    <row r="85" spans="1:17" ht="21.75" hidden="1" customHeight="1" x14ac:dyDescent="0.25">
      <c r="A85" s="82" t="str">
        <f>IF(StList!E77&lt;&gt;"",StList!E77,"")</f>
        <v/>
      </c>
      <c r="B85" s="80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81"/>
      <c r="N85" s="83" t="str">
        <f t="shared" si="6"/>
        <v/>
      </c>
      <c r="O85" s="73">
        <f>IF(StList!A77&lt;&gt;"",StList!A77,"")</f>
        <v>75</v>
      </c>
      <c r="P85" s="73" t="str">
        <f>IF(StList!B77&lt;&gt;"",StList!B77,"")</f>
        <v>Pharmaceutical sciences</v>
      </c>
      <c r="Q85" s="84" t="str">
        <f>IF(StList!F77&lt;&gt;"",StList!F77,"")</f>
        <v/>
      </c>
    </row>
    <row r="86" spans="1:17" ht="21.75" hidden="1" customHeight="1" x14ac:dyDescent="0.25">
      <c r="A86" s="82" t="str">
        <f>IF(StList!E78&lt;&gt;"",StList!E78,"")</f>
        <v/>
      </c>
      <c r="B86" s="80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81"/>
      <c r="N86" s="83" t="str">
        <f t="shared" si="6"/>
        <v/>
      </c>
      <c r="O86" s="73">
        <f>IF(StList!A78&lt;&gt;"",StList!A78,"")</f>
        <v>76</v>
      </c>
      <c r="P86" s="73" t="str">
        <f>IF(StList!B78&lt;&gt;"",StList!B78,"")</f>
        <v>Pharmaceutical sciences</v>
      </c>
      <c r="Q86" s="84" t="str">
        <f>IF(StList!F78&lt;&gt;"",StList!F78,"")</f>
        <v/>
      </c>
    </row>
    <row r="87" spans="1:17" ht="21.75" hidden="1" customHeight="1" x14ac:dyDescent="0.25">
      <c r="A87" s="82" t="str">
        <f>IF(StList!E79&lt;&gt;"",StList!E79,"")</f>
        <v/>
      </c>
      <c r="B87" s="80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81"/>
      <c r="N87" s="83" t="str">
        <f t="shared" si="6"/>
        <v/>
      </c>
      <c r="O87" s="73">
        <f>IF(StList!A79&lt;&gt;"",StList!A79,"")</f>
        <v>77</v>
      </c>
      <c r="P87" s="73" t="str">
        <f>IF(StList!B79&lt;&gt;"",StList!B79,"")</f>
        <v>Pharmaceutical sciences</v>
      </c>
      <c r="Q87" s="84" t="str">
        <f>IF(StList!F79&lt;&gt;"",StList!F79,"")</f>
        <v/>
      </c>
    </row>
    <row r="88" spans="1:17" ht="21.75" hidden="1" customHeight="1" x14ac:dyDescent="0.25">
      <c r="A88" s="82" t="str">
        <f>IF(StList!E80&lt;&gt;"",StList!E80,"")</f>
        <v/>
      </c>
      <c r="B88" s="80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81"/>
      <c r="N88" s="83" t="str">
        <f t="shared" si="6"/>
        <v/>
      </c>
      <c r="O88" s="73">
        <f>IF(StList!A80&lt;&gt;"",StList!A80,"")</f>
        <v>78</v>
      </c>
      <c r="P88" s="73" t="str">
        <f>IF(StList!B80&lt;&gt;"",StList!B80,"")</f>
        <v>Pharmaceutical sciences</v>
      </c>
      <c r="Q88" s="84" t="str">
        <f>IF(StList!F80&lt;&gt;"",StList!F80,"")</f>
        <v/>
      </c>
    </row>
    <row r="89" spans="1:17" ht="21.75" hidden="1" customHeight="1" x14ac:dyDescent="0.25">
      <c r="A89" s="82" t="str">
        <f>IF(StList!E81&lt;&gt;"",StList!E81,"")</f>
        <v/>
      </c>
      <c r="B89" s="80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81"/>
      <c r="N89" s="83" t="str">
        <f t="shared" si="6"/>
        <v/>
      </c>
      <c r="O89" s="73">
        <f>IF(StList!A81&lt;&gt;"",StList!A81,"")</f>
        <v>79</v>
      </c>
      <c r="P89" s="73" t="str">
        <f>IF(StList!B81&lt;&gt;"",StList!B81,"")</f>
        <v>Pharmaceutical sciences</v>
      </c>
      <c r="Q89" s="84" t="str">
        <f>IF(StList!F81&lt;&gt;"",StList!F81,"")</f>
        <v/>
      </c>
    </row>
    <row r="90" spans="1:17" ht="21.75" hidden="1" customHeight="1" x14ac:dyDescent="0.25">
      <c r="A90" s="82" t="str">
        <f>IF(StList!E82&lt;&gt;"",StList!E82,"")</f>
        <v/>
      </c>
      <c r="B90" s="80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81"/>
      <c r="N90" s="83" t="str">
        <f t="shared" si="6"/>
        <v/>
      </c>
      <c r="O90" s="73">
        <f>IF(StList!A82&lt;&gt;"",StList!A82,"")</f>
        <v>80</v>
      </c>
      <c r="P90" s="73" t="str">
        <f>IF(StList!B82&lt;&gt;"",StList!B82,"")</f>
        <v>Pharmaceutical sciences</v>
      </c>
      <c r="Q90" s="84" t="str">
        <f>IF(StList!F82&lt;&gt;"",StList!F82,"")</f>
        <v/>
      </c>
    </row>
    <row r="91" spans="1:17" ht="21.75" hidden="1" customHeight="1" x14ac:dyDescent="0.25">
      <c r="A91" s="82" t="str">
        <f>IF(StList!E83&lt;&gt;"",StList!E83,"")</f>
        <v/>
      </c>
      <c r="B91" s="80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81"/>
      <c r="N91" s="83" t="str">
        <f t="shared" si="6"/>
        <v/>
      </c>
      <c r="O91" s="73">
        <f>IF(StList!A83&lt;&gt;"",StList!A83,"")</f>
        <v>81</v>
      </c>
      <c r="P91" s="73" t="str">
        <f>IF(StList!B83&lt;&gt;"",StList!B83,"")</f>
        <v>Pharmaceutical sciences</v>
      </c>
      <c r="Q91" s="84" t="str">
        <f>IF(StList!F83&lt;&gt;"",StList!F83,"")</f>
        <v/>
      </c>
    </row>
    <row r="92" spans="1:17" ht="21.75" hidden="1" customHeight="1" x14ac:dyDescent="0.25">
      <c r="A92" s="82" t="str">
        <f>IF(StList!E84&lt;&gt;"",StList!E84,"")</f>
        <v/>
      </c>
      <c r="B92" s="80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81"/>
      <c r="N92" s="83" t="str">
        <f t="shared" si="6"/>
        <v/>
      </c>
      <c r="O92" s="73">
        <f>IF(StList!A84&lt;&gt;"",StList!A84,"")</f>
        <v>82</v>
      </c>
      <c r="P92" s="73" t="str">
        <f>IF(StList!B84&lt;&gt;"",StList!B84,"")</f>
        <v>Pharmaceutical sciences</v>
      </c>
      <c r="Q92" s="84" t="str">
        <f>IF(StList!F84&lt;&gt;"",StList!F84,"")</f>
        <v/>
      </c>
    </row>
    <row r="93" spans="1:17" ht="21.75" hidden="1" customHeight="1" x14ac:dyDescent="0.25">
      <c r="A93" s="82" t="str">
        <f>IF(StList!E85&lt;&gt;"",StList!E85,"")</f>
        <v/>
      </c>
      <c r="B93" s="80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81"/>
      <c r="N93" s="83" t="str">
        <f t="shared" si="6"/>
        <v/>
      </c>
      <c r="O93" s="73">
        <f>IF(StList!A85&lt;&gt;"",StList!A85,"")</f>
        <v>83</v>
      </c>
      <c r="P93" s="73" t="str">
        <f>IF(StList!B85&lt;&gt;"",StList!B85,"")</f>
        <v>Pharmaceutical sciences</v>
      </c>
      <c r="Q93" s="84" t="str">
        <f>IF(StList!F85&lt;&gt;"",StList!F85,"")</f>
        <v/>
      </c>
    </row>
    <row r="94" spans="1:17" ht="21.75" hidden="1" customHeight="1" x14ac:dyDescent="0.25">
      <c r="A94" s="82" t="str">
        <f>IF(StList!E86&lt;&gt;"",StList!E86,"")</f>
        <v/>
      </c>
      <c r="B94" s="80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81"/>
      <c r="N94" s="83" t="str">
        <f t="shared" si="6"/>
        <v/>
      </c>
      <c r="O94" s="73">
        <f>IF(StList!A86&lt;&gt;"",StList!A86,"")</f>
        <v>84</v>
      </c>
      <c r="P94" s="73" t="str">
        <f>IF(StList!B86&lt;&gt;"",StList!B86,"")</f>
        <v>Pharmaceutical sciences</v>
      </c>
      <c r="Q94" s="84" t="str">
        <f>IF(StList!F86&lt;&gt;"",StList!F86,"")</f>
        <v/>
      </c>
    </row>
    <row r="95" spans="1:17" ht="21.75" hidden="1" customHeight="1" x14ac:dyDescent="0.25">
      <c r="A95" s="82" t="str">
        <f>IF(StList!E87&lt;&gt;"",StList!E87,"")</f>
        <v/>
      </c>
      <c r="B95" s="80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81"/>
      <c r="N95" s="83" t="str">
        <f t="shared" si="6"/>
        <v/>
      </c>
      <c r="O95" s="73">
        <f>IF(StList!A87&lt;&gt;"",StList!A87,"")</f>
        <v>85</v>
      </c>
      <c r="P95" s="73" t="str">
        <f>IF(StList!B87&lt;&gt;"",StList!B87,"")</f>
        <v>Pharmaceutical sciences</v>
      </c>
      <c r="Q95" s="84" t="str">
        <f>IF(StList!F87&lt;&gt;"",StList!F87,"")</f>
        <v/>
      </c>
    </row>
    <row r="96" spans="1:17" ht="21.75" hidden="1" customHeight="1" x14ac:dyDescent="0.25">
      <c r="A96" s="82" t="str">
        <f>IF(StList!E88&lt;&gt;"",StList!E88,"")</f>
        <v/>
      </c>
      <c r="B96" s="80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81"/>
      <c r="N96" s="83" t="str">
        <f t="shared" si="6"/>
        <v/>
      </c>
      <c r="O96" s="73">
        <f>IF(StList!A88&lt;&gt;"",StList!A88,"")</f>
        <v>86</v>
      </c>
      <c r="P96" s="73" t="str">
        <f>IF(StList!B88&lt;&gt;"",StList!B88,"")</f>
        <v>Pharmaceutical sciences</v>
      </c>
      <c r="Q96" s="84" t="str">
        <f>IF(StList!F88&lt;&gt;"",StList!F88,"")</f>
        <v/>
      </c>
    </row>
    <row r="97" spans="1:17" ht="21.75" hidden="1" customHeight="1" x14ac:dyDescent="0.25">
      <c r="A97" s="82" t="str">
        <f>IF(StList!E89&lt;&gt;"",StList!E89,"")</f>
        <v/>
      </c>
      <c r="B97" s="80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81"/>
      <c r="N97" s="83" t="str">
        <f t="shared" si="6"/>
        <v/>
      </c>
      <c r="O97" s="73">
        <f>IF(StList!A89&lt;&gt;"",StList!A89,"")</f>
        <v>87</v>
      </c>
      <c r="P97" s="73" t="str">
        <f>IF(StList!B89&lt;&gt;"",StList!B89,"")</f>
        <v>Pharmaceutical sciences</v>
      </c>
      <c r="Q97" s="84" t="str">
        <f>IF(StList!F89&lt;&gt;"",StList!F89,"")</f>
        <v/>
      </c>
    </row>
    <row r="98" spans="1:17" ht="21.75" hidden="1" customHeight="1" x14ac:dyDescent="0.25">
      <c r="A98" s="82" t="str">
        <f>IF(StList!E90&lt;&gt;"",StList!E90,"")</f>
        <v/>
      </c>
      <c r="B98" s="80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81"/>
      <c r="N98" s="83" t="str">
        <f t="shared" si="6"/>
        <v/>
      </c>
      <c r="O98" s="73">
        <f>IF(StList!A90&lt;&gt;"",StList!A90,"")</f>
        <v>88</v>
      </c>
      <c r="P98" s="73" t="str">
        <f>IF(StList!B90&lt;&gt;"",StList!B90,"")</f>
        <v>Pharmaceutical sciences</v>
      </c>
      <c r="Q98" s="84" t="str">
        <f>IF(StList!F90&lt;&gt;"",StList!F90,"")</f>
        <v/>
      </c>
    </row>
    <row r="99" spans="1:17" ht="21.75" hidden="1" customHeight="1" x14ac:dyDescent="0.25">
      <c r="A99" s="82" t="str">
        <f>IF(StList!E91&lt;&gt;"",StList!E91,"")</f>
        <v/>
      </c>
      <c r="B99" s="80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81"/>
      <c r="N99" s="83" t="str">
        <f t="shared" si="6"/>
        <v/>
      </c>
      <c r="O99" s="73">
        <f>IF(StList!A91&lt;&gt;"",StList!A91,"")</f>
        <v>89</v>
      </c>
      <c r="P99" s="73" t="str">
        <f>IF(StList!B91&lt;&gt;"",StList!B91,"")</f>
        <v>Pharmaceutical sciences</v>
      </c>
      <c r="Q99" s="84" t="str">
        <f>IF(StList!F91&lt;&gt;"",StList!F91,"")</f>
        <v/>
      </c>
    </row>
    <row r="100" spans="1:17" ht="21.75" hidden="1" customHeight="1" x14ac:dyDescent="0.25">
      <c r="A100" s="82" t="str">
        <f>IF(StList!E92&lt;&gt;"",StList!E92,"")</f>
        <v/>
      </c>
      <c r="B100" s="80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81"/>
      <c r="N100" s="83" t="str">
        <f t="shared" si="6"/>
        <v/>
      </c>
      <c r="O100" s="73">
        <f>IF(StList!A92&lt;&gt;"",StList!A92,"")</f>
        <v>90</v>
      </c>
      <c r="P100" s="73" t="str">
        <f>IF(StList!B92&lt;&gt;"",StList!B92,"")</f>
        <v>Pharmaceutical sciences</v>
      </c>
      <c r="Q100" s="84" t="str">
        <f>IF(StList!F92&lt;&gt;"",StList!F92,"")</f>
        <v/>
      </c>
    </row>
    <row r="101" spans="1:17" ht="21.75" hidden="1" customHeight="1" x14ac:dyDescent="0.25">
      <c r="A101" s="82" t="str">
        <f>IF(StList!E93&lt;&gt;"",StList!E93,"")</f>
        <v/>
      </c>
      <c r="B101" s="80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81"/>
      <c r="N101" s="83" t="str">
        <f t="shared" si="6"/>
        <v/>
      </c>
      <c r="O101" s="73">
        <f>IF(StList!A93&lt;&gt;"",StList!A93,"")</f>
        <v>91</v>
      </c>
      <c r="P101" s="73" t="str">
        <f>IF(StList!B93&lt;&gt;"",StList!B93,"")</f>
        <v>Pharmaceutical sciences</v>
      </c>
      <c r="Q101" s="84" t="str">
        <f>IF(StList!F93&lt;&gt;"",StList!F93,"")</f>
        <v/>
      </c>
    </row>
    <row r="102" spans="1:17" ht="21.75" hidden="1" customHeight="1" x14ac:dyDescent="0.25">
      <c r="A102" s="82" t="str">
        <f>IF(StList!E94&lt;&gt;"",StList!E94,"")</f>
        <v/>
      </c>
      <c r="B102" s="80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81"/>
      <c r="N102" s="83" t="str">
        <f t="shared" si="6"/>
        <v/>
      </c>
      <c r="O102" s="73">
        <f>IF(StList!A94&lt;&gt;"",StList!A94,"")</f>
        <v>92</v>
      </c>
      <c r="P102" s="73" t="str">
        <f>IF(StList!B94&lt;&gt;"",StList!B94,"")</f>
        <v>Pharmaceutical sciences</v>
      </c>
      <c r="Q102" s="84" t="str">
        <f>IF(StList!F94&lt;&gt;"",StList!F94,"")</f>
        <v/>
      </c>
    </row>
    <row r="103" spans="1:17" ht="21.75" hidden="1" customHeight="1" x14ac:dyDescent="0.25">
      <c r="A103" s="82" t="str">
        <f>IF(StList!E95&lt;&gt;"",StList!E95,"")</f>
        <v/>
      </c>
      <c r="B103" s="80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81"/>
      <c r="N103" s="83" t="str">
        <f t="shared" si="6"/>
        <v/>
      </c>
      <c r="O103" s="73">
        <f>IF(StList!A95&lt;&gt;"",StList!A95,"")</f>
        <v>93</v>
      </c>
      <c r="P103" s="73" t="str">
        <f>IF(StList!B95&lt;&gt;"",StList!B95,"")</f>
        <v>Pharmaceutical sciences</v>
      </c>
      <c r="Q103" s="84" t="str">
        <f>IF(StList!F95&lt;&gt;"",StList!F95,"")</f>
        <v/>
      </c>
    </row>
    <row r="104" spans="1:17" ht="21.75" hidden="1" customHeight="1" x14ac:dyDescent="0.25">
      <c r="A104" s="82" t="str">
        <f>IF(StList!E96&lt;&gt;"",StList!E96,"")</f>
        <v/>
      </c>
      <c r="B104" s="80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81"/>
      <c r="N104" s="83" t="str">
        <f t="shared" si="6"/>
        <v/>
      </c>
      <c r="O104" s="73">
        <f>IF(StList!A96&lt;&gt;"",StList!A96,"")</f>
        <v>94</v>
      </c>
      <c r="P104" s="73" t="str">
        <f>IF(StList!B96&lt;&gt;"",StList!B96,"")</f>
        <v>Pharmaceutical sciences</v>
      </c>
      <c r="Q104" s="84" t="str">
        <f>IF(StList!F96&lt;&gt;"",StList!F96,"")</f>
        <v/>
      </c>
    </row>
    <row r="105" spans="1:17" ht="21.75" hidden="1" customHeight="1" x14ac:dyDescent="0.25">
      <c r="A105" s="82" t="str">
        <f>IF(StList!E97&lt;&gt;"",StList!E97,"")</f>
        <v/>
      </c>
      <c r="B105" s="80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81"/>
      <c r="N105" s="83" t="str">
        <f t="shared" si="6"/>
        <v/>
      </c>
      <c r="O105" s="73">
        <f>IF(StList!A97&lt;&gt;"",StList!A97,"")</f>
        <v>95</v>
      </c>
      <c r="P105" s="73" t="str">
        <f>IF(StList!B97&lt;&gt;"",StList!B97,"")</f>
        <v>Pharmaceutical sciences</v>
      </c>
      <c r="Q105" s="84" t="str">
        <f>IF(StList!F97&lt;&gt;"",StList!F97,"")</f>
        <v/>
      </c>
    </row>
    <row r="106" spans="1:17" ht="21.75" hidden="1" customHeight="1" x14ac:dyDescent="0.25">
      <c r="A106" s="82" t="str">
        <f>IF(StList!E98&lt;&gt;"",StList!E98,"")</f>
        <v/>
      </c>
      <c r="B106" s="80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81"/>
      <c r="N106" s="83" t="str">
        <f t="shared" si="6"/>
        <v/>
      </c>
      <c r="O106" s="73">
        <f>IF(StList!A98&lt;&gt;"",StList!A98,"")</f>
        <v>96</v>
      </c>
      <c r="P106" s="73" t="str">
        <f>IF(StList!B98&lt;&gt;"",StList!B98,"")</f>
        <v>Pharmaceutical sciences</v>
      </c>
      <c r="Q106" s="84" t="str">
        <f>IF(StList!F98&lt;&gt;"",StList!F98,"")</f>
        <v/>
      </c>
    </row>
    <row r="107" spans="1:17" ht="21.75" hidden="1" customHeight="1" x14ac:dyDescent="0.25">
      <c r="A107" s="82" t="str">
        <f>IF(StList!E99&lt;&gt;"",StList!E99,"")</f>
        <v/>
      </c>
      <c r="B107" s="80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81"/>
      <c r="N107" s="83" t="str">
        <f t="shared" si="6"/>
        <v/>
      </c>
      <c r="O107" s="73">
        <f>IF(StList!A99&lt;&gt;"",StList!A99,"")</f>
        <v>97</v>
      </c>
      <c r="P107" s="73" t="str">
        <f>IF(StList!B99&lt;&gt;"",StList!B99,"")</f>
        <v>Pharmaceutical sciences</v>
      </c>
      <c r="Q107" s="84" t="str">
        <f>IF(StList!F99&lt;&gt;"",StList!F99,"")</f>
        <v/>
      </c>
    </row>
    <row r="108" spans="1:17" ht="21.75" hidden="1" customHeight="1" x14ac:dyDescent="0.25">
      <c r="A108" s="82" t="str">
        <f>IF(StList!E100&lt;&gt;"",StList!E100,"")</f>
        <v/>
      </c>
      <c r="B108" s="80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81"/>
      <c r="N108" s="83" t="str">
        <f t="shared" si="6"/>
        <v/>
      </c>
      <c r="O108" s="73">
        <f>IF(StList!A100&lt;&gt;"",StList!A100,"")</f>
        <v>98</v>
      </c>
      <c r="P108" s="73" t="str">
        <f>IF(StList!B100&lt;&gt;"",StList!B100,"")</f>
        <v>Pharmaceutical sciences</v>
      </c>
      <c r="Q108" s="84" t="str">
        <f>IF(StList!F100&lt;&gt;"",StList!F100,"")</f>
        <v/>
      </c>
    </row>
    <row r="109" spans="1:17" ht="21.75" hidden="1" customHeight="1" x14ac:dyDescent="0.25">
      <c r="A109" s="82" t="str">
        <f>IF(StList!E101&lt;&gt;"",StList!E101,"")</f>
        <v/>
      </c>
      <c r="B109" s="80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81"/>
      <c r="N109" s="83" t="str">
        <f t="shared" si="6"/>
        <v/>
      </c>
      <c r="O109" s="73">
        <f>IF(StList!A101&lt;&gt;"",StList!A101,"")</f>
        <v>99</v>
      </c>
      <c r="P109" s="73" t="str">
        <f>IF(StList!B101&lt;&gt;"",StList!B101,"")</f>
        <v>Pharmaceutical sciences</v>
      </c>
      <c r="Q109" s="84" t="str">
        <f>IF(StList!F101&lt;&gt;"",StList!F101,"")</f>
        <v/>
      </c>
    </row>
    <row r="110" spans="1:17" ht="21.75" hidden="1" customHeight="1" x14ac:dyDescent="0.25">
      <c r="A110" s="82" t="str">
        <f>IF(StList!E102&lt;&gt;"",StList!E102,"")</f>
        <v/>
      </c>
      <c r="B110" s="80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81"/>
      <c r="N110" s="83" t="str">
        <f t="shared" si="6"/>
        <v/>
      </c>
      <c r="O110" s="73">
        <f>IF(StList!A102&lt;&gt;"",StList!A102,"")</f>
        <v>100</v>
      </c>
      <c r="P110" s="73" t="str">
        <f>IF(StList!B102&lt;&gt;"",StList!B102,"")</f>
        <v>Pharmaceutical sciences</v>
      </c>
      <c r="Q110" s="84" t="str">
        <f>IF(StList!F102&lt;&gt;"",StList!F102,"")</f>
        <v/>
      </c>
    </row>
    <row r="111" spans="1:17" ht="21.75" hidden="1" customHeight="1" x14ac:dyDescent="0.25">
      <c r="A111" s="82" t="str">
        <f>IF(StList!E103&lt;&gt;"",StList!E103,"")</f>
        <v/>
      </c>
      <c r="B111" s="80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81"/>
      <c r="N111" s="83" t="str">
        <f t="shared" si="6"/>
        <v/>
      </c>
      <c r="O111" s="73">
        <f>IF(StList!A103&lt;&gt;"",StList!A103,"")</f>
        <v>101</v>
      </c>
      <c r="P111" s="73" t="str">
        <f>IF(StList!B103&lt;&gt;"",StList!B103,"")</f>
        <v>Pharmaceutical sciences</v>
      </c>
      <c r="Q111" s="84" t="str">
        <f>IF(StList!F103&lt;&gt;"",StList!F103,"")</f>
        <v/>
      </c>
    </row>
    <row r="112" spans="1:17" ht="21.75" hidden="1" customHeight="1" x14ac:dyDescent="0.25">
      <c r="A112" s="82" t="str">
        <f>IF(StList!E104&lt;&gt;"",StList!E104,"")</f>
        <v/>
      </c>
      <c r="B112" s="80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81"/>
      <c r="N112" s="83" t="str">
        <f t="shared" si="6"/>
        <v/>
      </c>
      <c r="O112" s="73">
        <f>IF(StList!A104&lt;&gt;"",StList!A104,"")</f>
        <v>102</v>
      </c>
      <c r="P112" s="73" t="str">
        <f>IF(StList!B104&lt;&gt;"",StList!B104,"")</f>
        <v>Pharmaceutical sciences</v>
      </c>
      <c r="Q112" s="84" t="str">
        <f>IF(StList!F104&lt;&gt;"",StList!F104,"")</f>
        <v/>
      </c>
    </row>
    <row r="113" spans="1:17" ht="21.75" hidden="1" customHeight="1" x14ac:dyDescent="0.25">
      <c r="A113" s="82" t="str">
        <f>IF(StList!E105&lt;&gt;"",StList!E105,"")</f>
        <v/>
      </c>
      <c r="B113" s="80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81"/>
      <c r="N113" s="83" t="str">
        <f t="shared" si="6"/>
        <v/>
      </c>
      <c r="O113" s="73">
        <f>IF(StList!A105&lt;&gt;"",StList!A105,"")</f>
        <v>103</v>
      </c>
      <c r="P113" s="73" t="str">
        <f>IF(StList!B105&lt;&gt;"",StList!B105,"")</f>
        <v>Pharmaceutical sciences</v>
      </c>
      <c r="Q113" s="84" t="str">
        <f>IF(StList!F105&lt;&gt;"",StList!F105,"")</f>
        <v/>
      </c>
    </row>
    <row r="114" spans="1:17" ht="21.75" hidden="1" customHeight="1" x14ac:dyDescent="0.25">
      <c r="A114" s="82" t="str">
        <f>IF(StList!E106&lt;&gt;"",StList!E106,"")</f>
        <v/>
      </c>
      <c r="B114" s="80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81"/>
      <c r="N114" s="83" t="str">
        <f t="shared" si="6"/>
        <v/>
      </c>
      <c r="O114" s="73">
        <f>IF(StList!A106&lt;&gt;"",StList!A106,"")</f>
        <v>104</v>
      </c>
      <c r="P114" s="73" t="str">
        <f>IF(StList!B106&lt;&gt;"",StList!B106,"")</f>
        <v>Pharmaceutical sciences</v>
      </c>
      <c r="Q114" s="84" t="str">
        <f>IF(StList!F106&lt;&gt;"",StList!F106,"")</f>
        <v/>
      </c>
    </row>
    <row r="115" spans="1:17" ht="21.75" hidden="1" customHeight="1" x14ac:dyDescent="0.25">
      <c r="A115" s="82" t="str">
        <f>IF(StList!E107&lt;&gt;"",StList!E107,"")</f>
        <v/>
      </c>
      <c r="B115" s="80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81"/>
      <c r="N115" s="83" t="str">
        <f t="shared" si="6"/>
        <v/>
      </c>
      <c r="O115" s="73">
        <f>IF(StList!A107&lt;&gt;"",StList!A107,"")</f>
        <v>105</v>
      </c>
      <c r="P115" s="73" t="str">
        <f>IF(StList!B107&lt;&gt;"",StList!B107,"")</f>
        <v>Pharmaceutical sciences</v>
      </c>
      <c r="Q115" s="84" t="str">
        <f>IF(StList!F107&lt;&gt;"",StList!F107,"")</f>
        <v/>
      </c>
    </row>
    <row r="116" spans="1:17" ht="21.75" hidden="1" customHeight="1" x14ac:dyDescent="0.25">
      <c r="A116" s="82" t="str">
        <f>IF(StList!E108&lt;&gt;"",StList!E108,"")</f>
        <v/>
      </c>
      <c r="B116" s="80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81"/>
      <c r="N116" s="83" t="str">
        <f t="shared" si="6"/>
        <v/>
      </c>
      <c r="O116" s="73">
        <f>IF(StList!A108&lt;&gt;"",StList!A108,"")</f>
        <v>106</v>
      </c>
      <c r="P116" s="73" t="str">
        <f>IF(StList!B108&lt;&gt;"",StList!B108,"")</f>
        <v>Pharmaceutical sciences</v>
      </c>
      <c r="Q116" s="84" t="str">
        <f>IF(StList!F108&lt;&gt;"",StList!F108,"")</f>
        <v/>
      </c>
    </row>
    <row r="117" spans="1:17" ht="21.75" hidden="1" customHeight="1" x14ac:dyDescent="0.25">
      <c r="A117" s="82" t="str">
        <f>IF(StList!E109&lt;&gt;"",StList!E109,"")</f>
        <v/>
      </c>
      <c r="B117" s="80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81"/>
      <c r="N117" s="83" t="str">
        <f t="shared" si="6"/>
        <v/>
      </c>
      <c r="O117" s="73">
        <f>IF(StList!A109&lt;&gt;"",StList!A109,"")</f>
        <v>107</v>
      </c>
      <c r="P117" s="73" t="str">
        <f>IF(StList!B109&lt;&gt;"",StList!B109,"")</f>
        <v>Pharmaceutical sciences</v>
      </c>
      <c r="Q117" s="84" t="str">
        <f>IF(StList!F109&lt;&gt;"",StList!F109,"")</f>
        <v/>
      </c>
    </row>
    <row r="118" spans="1:17" ht="21.75" hidden="1" customHeight="1" x14ac:dyDescent="0.25">
      <c r="A118" s="82" t="str">
        <f>IF(StList!E110&lt;&gt;"",StList!E110,"")</f>
        <v/>
      </c>
      <c r="B118" s="80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81"/>
      <c r="N118" s="83" t="str">
        <f t="shared" si="6"/>
        <v/>
      </c>
      <c r="O118" s="73">
        <f>IF(StList!A110&lt;&gt;"",StList!A110,"")</f>
        <v>108</v>
      </c>
      <c r="P118" s="73" t="str">
        <f>IF(StList!B110&lt;&gt;"",StList!B110,"")</f>
        <v>Pharmaceutical sciences</v>
      </c>
      <c r="Q118" s="84" t="str">
        <f>IF(StList!F110&lt;&gt;"",StList!F110,"")</f>
        <v/>
      </c>
    </row>
    <row r="119" spans="1:17" ht="21.75" hidden="1" customHeight="1" x14ac:dyDescent="0.25">
      <c r="A119" s="82" t="str">
        <f>IF(StList!E111&lt;&gt;"",StList!E111,"")</f>
        <v/>
      </c>
      <c r="B119" s="80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81"/>
      <c r="N119" s="83" t="str">
        <f t="shared" si="6"/>
        <v/>
      </c>
      <c r="O119" s="73">
        <f>IF(StList!A111&lt;&gt;"",StList!A111,"")</f>
        <v>109</v>
      </c>
      <c r="P119" s="73" t="str">
        <f>IF(StList!B111&lt;&gt;"",StList!B111,"")</f>
        <v>Pharmaceutical sciences</v>
      </c>
      <c r="Q119" s="84" t="str">
        <f>IF(StList!F111&lt;&gt;"",StList!F111,"")</f>
        <v/>
      </c>
    </row>
    <row r="120" spans="1:17" ht="21.75" hidden="1" customHeight="1" x14ac:dyDescent="0.25">
      <c r="A120" s="82" t="str">
        <f>IF(StList!E112&lt;&gt;"",StList!E112,"")</f>
        <v/>
      </c>
      <c r="B120" s="80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81"/>
      <c r="N120" s="83" t="str">
        <f t="shared" si="6"/>
        <v/>
      </c>
      <c r="O120" s="73">
        <f>IF(StList!A112&lt;&gt;"",StList!A112,"")</f>
        <v>110</v>
      </c>
      <c r="P120" s="73" t="str">
        <f>IF(StList!B112&lt;&gt;"",StList!B112,"")</f>
        <v>Pharmaceutical sciences</v>
      </c>
      <c r="Q120" s="84" t="str">
        <f>IF(StList!F112&lt;&gt;"",StList!F112,"")</f>
        <v/>
      </c>
    </row>
    <row r="121" spans="1:17" ht="21.75" hidden="1" customHeight="1" x14ac:dyDescent="0.25">
      <c r="A121" s="82" t="str">
        <f>IF(StList!E113&lt;&gt;"",StList!E113,"")</f>
        <v/>
      </c>
      <c r="Q121" s="84" t="str">
        <f>IF(StList!F113&lt;&gt;"",StList!F113,"")</f>
        <v/>
      </c>
    </row>
    <row r="122" spans="1:17" ht="21.75" customHeight="1" thickBot="1" x14ac:dyDescent="0.3"/>
    <row r="123" spans="1:17" s="1" customFormat="1" ht="26.25" hidden="1" customHeight="1" thickBot="1" x14ac:dyDescent="0.3">
      <c r="A123" s="256" t="s">
        <v>193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s="1" customFormat="1" ht="26.2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s="1" customFormat="1" ht="26.2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s="1" customFormat="1" ht="26.2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s="1" customFormat="1" ht="26.2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s="1" customFormat="1" ht="26.2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s="1" customFormat="1" ht="26.2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s="1" customFormat="1" ht="26.2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s="1" customFormat="1" ht="26.2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s="1" customFormat="1" ht="26.2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s="1" customFormat="1" ht="26.25" hidden="1" customHeight="1" thickBot="1" x14ac:dyDescent="0.3"/>
    <row r="134" spans="1:14" ht="29.25" customHeight="1" thickTop="1" x14ac:dyDescent="0.25">
      <c r="A134" s="387" t="s">
        <v>133</v>
      </c>
      <c r="B134" s="388"/>
      <c r="C134" s="388"/>
      <c r="D134" s="388"/>
      <c r="E134" s="388"/>
      <c r="F134" s="388"/>
      <c r="G134" s="388" t="s">
        <v>114</v>
      </c>
      <c r="H134" s="388"/>
      <c r="I134" s="388"/>
      <c r="J134" s="388" t="s">
        <v>134</v>
      </c>
      <c r="K134" s="388"/>
      <c r="L134" s="388"/>
      <c r="M134" s="388"/>
      <c r="N134" s="389"/>
    </row>
    <row r="135" spans="1:14" ht="36.75" customHeight="1" x14ac:dyDescent="0.25">
      <c r="A135" s="179" t="s">
        <v>8</v>
      </c>
      <c r="B135" s="275" t="str">
        <f>Config!B2</f>
        <v>Dr Md Tanwir Athar</v>
      </c>
      <c r="C135" s="275"/>
      <c r="D135" s="275"/>
      <c r="E135" s="275"/>
      <c r="F135" s="275"/>
      <c r="G135" s="392"/>
      <c r="H135" s="392"/>
      <c r="I135" s="392"/>
      <c r="J135" s="259" t="s">
        <v>91</v>
      </c>
      <c r="K135" s="259"/>
      <c r="L135" s="259"/>
      <c r="M135" s="259"/>
      <c r="N135" s="211"/>
    </row>
    <row r="136" spans="1:14" ht="36.75" customHeight="1" thickBot="1" x14ac:dyDescent="0.3">
      <c r="A136" s="180" t="s">
        <v>86</v>
      </c>
      <c r="B136" s="390"/>
      <c r="C136" s="390"/>
      <c r="D136" s="390"/>
      <c r="E136" s="390"/>
      <c r="F136" s="390"/>
      <c r="G136" s="393"/>
      <c r="H136" s="393"/>
      <c r="I136" s="393"/>
      <c r="J136" s="391" t="s">
        <v>86</v>
      </c>
      <c r="K136" s="391"/>
      <c r="L136" s="391"/>
      <c r="M136" s="391"/>
      <c r="N136" s="212"/>
    </row>
    <row r="137" spans="1:14" ht="21.75" customHeight="1" thickTop="1" x14ac:dyDescent="0.25"/>
  </sheetData>
  <sheetProtection sheet="1" objects="1" scenarios="1"/>
  <mergeCells count="27">
    <mergeCell ref="B135:F135"/>
    <mergeCell ref="B136:F136"/>
    <mergeCell ref="J135:M135"/>
    <mergeCell ref="J136:M136"/>
    <mergeCell ref="G135:I135"/>
    <mergeCell ref="G136:I136"/>
    <mergeCell ref="A134:F134"/>
    <mergeCell ref="G134:I134"/>
    <mergeCell ref="J134:N134"/>
    <mergeCell ref="B130:N130"/>
    <mergeCell ref="B131:N131"/>
    <mergeCell ref="B132:N132"/>
    <mergeCell ref="B2:D2"/>
    <mergeCell ref="E2:M2"/>
    <mergeCell ref="O9:Q9"/>
    <mergeCell ref="A128:N128"/>
    <mergeCell ref="B129:N129"/>
    <mergeCell ref="A123:N123"/>
    <mergeCell ref="B124:N124"/>
    <mergeCell ref="B125:N125"/>
    <mergeCell ref="B126:N126"/>
    <mergeCell ref="B127:N127"/>
    <mergeCell ref="B1:D1"/>
    <mergeCell ref="E1:F1"/>
    <mergeCell ref="G1:J1"/>
    <mergeCell ref="L1:M1"/>
    <mergeCell ref="O1:P1"/>
  </mergeCells>
  <conditionalFormatting sqref="O1:O120 P2:Q120 A2:B120 C3:D120 E2:E120 D10:M10 I9:N9 C3:M3 N2:N120 F3:M120">
    <cfRule type="containsBlanks" dxfId="34" priority="2">
      <formula>LEN(TRIM(A1))=0</formula>
    </cfRule>
  </conditionalFormatting>
  <dataValidations count="2">
    <dataValidation type="decimal" errorStyle="warning" allowBlank="1" showInputMessage="1" showErrorMessage="1" error="Replace 0 by 0.001" sqref="B12" xr:uid="{00000000-0002-0000-0200-000000000000}">
      <formula1>0.01</formula1>
      <formula2>B4</formula2>
    </dataValidation>
    <dataValidation type="decimal" errorStyle="warning" allowBlank="1" showInputMessage="1" showErrorMessage="1" error="Replace 0 by 0.01" sqref="B11:M11" xr:uid="{00000000-0002-0000-0200-000001000000}">
      <formula1>0.01</formula1>
      <formula2>B$3</formula2>
    </dataValidation>
  </dataValidations>
  <printOptions horizontalCentered="1"/>
  <pageMargins left="0.51181102362204722" right="0.51181102362204722" top="0.51181102362204722" bottom="0.51181102362204722" header="0.51181102362204722" footer="0.51181102362204722"/>
  <pageSetup scale="7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  <pageSetUpPr fitToPage="1"/>
  </sheetPr>
  <dimension ref="A1:Q136"/>
  <sheetViews>
    <sheetView showGridLines="0" zoomScale="110" zoomScaleNormal="110" workbookViewId="0">
      <pane ySplit="10" topLeftCell="A11" activePane="bottomLeft" state="frozen"/>
      <selection activeCell="D6" sqref="D6"/>
      <selection pane="bottomLeft" activeCell="B1" sqref="B1:D1"/>
    </sheetView>
  </sheetViews>
  <sheetFormatPr defaultColWidth="9.140625" defaultRowHeight="21.75" customHeight="1" x14ac:dyDescent="0.25"/>
  <cols>
    <col min="1" max="1" width="17.7109375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Config!A44</f>
        <v>midterm exam 2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midterm exam 2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0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IF(Config!E44&lt;&gt;"",Config!E44,"")</f>
        <v/>
      </c>
      <c r="C3" s="49" t="str">
        <f>IF(Config!F44&lt;&gt;"",Config!F44,"")</f>
        <v/>
      </c>
      <c r="D3" s="49" t="str">
        <f>IF(Config!G44&lt;&gt;"",Config!G44,"")</f>
        <v/>
      </c>
      <c r="E3" s="49" t="str">
        <f>IF(Config!H44&lt;&gt;"",Config!H44,"")</f>
        <v/>
      </c>
      <c r="F3" s="49" t="str">
        <f>IF(Config!I44&lt;&gt;"",Config!I44,"")</f>
        <v/>
      </c>
      <c r="G3" s="49" t="str">
        <f>IF(Config!J44&lt;&gt;"",Config!J44,"")</f>
        <v/>
      </c>
      <c r="H3" s="49" t="str">
        <f>IF(Config!K44&lt;&gt;"",Config!K44,"")</f>
        <v/>
      </c>
      <c r="I3" s="49" t="str">
        <f>IF(Config!L44&lt;&gt;"",Config!L44,"")</f>
        <v/>
      </c>
      <c r="J3" s="49" t="str">
        <f>IF(Config!M44&lt;&gt;"",Config!M44,"")</f>
        <v/>
      </c>
      <c r="K3" s="49" t="str">
        <f>IF(Config!N44&lt;&gt;"",Config!N44,"")</f>
        <v/>
      </c>
      <c r="L3" s="49" t="str">
        <f>IF(Config!O44&lt;&gt;"",Config!O44,"")</f>
        <v/>
      </c>
      <c r="M3" s="49" t="str">
        <f>IF(Config!P44&lt;&gt;"",Config!P44,"")</f>
        <v/>
      </c>
      <c r="N3" s="5">
        <f>SUM(B3:M3)</f>
        <v>0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 x14ac:dyDescent="0.3">
      <c r="A8" s="6" t="s">
        <v>32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 x14ac:dyDescent="0.3">
      <c r="A9" s="10" t="s">
        <v>33</v>
      </c>
      <c r="B9" s="11" t="str">
        <f>IF(B3&lt;&gt;"",B8/B3,"")</f>
        <v/>
      </c>
      <c r="C9" s="11" t="str">
        <f>IF(C3&lt;&gt;"",C8/C3,"")</f>
        <v/>
      </c>
      <c r="D9" s="11" t="str">
        <f t="shared" ref="D9:N9" si="4">IF(D3&lt;&gt;"",D8/D3,"")</f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130" t="str">
        <f>Config!E42</f>
        <v>K.1.1</v>
      </c>
      <c r="C10" s="130" t="str">
        <f>Config!F42</f>
        <v>K.1.2</v>
      </c>
      <c r="D10" s="130" t="str">
        <f>Config!G42</f>
        <v>K.2.1</v>
      </c>
      <c r="E10" s="130" t="str">
        <f>Config!H42</f>
        <v>K2.2</v>
      </c>
      <c r="F10" s="130" t="str">
        <f>Config!I42</f>
        <v>S.3.1</v>
      </c>
      <c r="G10" s="130" t="str">
        <f>Config!J42</f>
        <v>S.7.1</v>
      </c>
      <c r="H10" s="130">
        <f>Config!K42</f>
        <v>0</v>
      </c>
      <c r="I10" s="130">
        <f>Config!L42</f>
        <v>0</v>
      </c>
      <c r="J10" s="215">
        <f>Config!M42</f>
        <v>0</v>
      </c>
      <c r="K10" s="130">
        <f>Config!N42</f>
        <v>0</v>
      </c>
      <c r="L10" s="130">
        <f>Config!O42</f>
        <v>0</v>
      </c>
      <c r="M10" s="130" t="str">
        <f>Config!P42</f>
        <v>v2</v>
      </c>
      <c r="N10" s="12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13"/>
      <c r="C11" s="14"/>
      <c r="D11" s="14"/>
      <c r="E11" s="14"/>
      <c r="F11" s="14"/>
      <c r="G11" s="14"/>
      <c r="H11" s="14"/>
      <c r="I11" s="15"/>
      <c r="J11" s="14"/>
      <c r="K11" s="14"/>
      <c r="L11" s="14"/>
      <c r="M11" s="16"/>
      <c r="N11" s="17" t="str">
        <f>IF(SUM(B11:M11),SUM(B11:M11),"")</f>
        <v/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3"/>
      <c r="C12" s="73"/>
      <c r="D12" s="73"/>
      <c r="E12" s="73"/>
      <c r="F12" s="73"/>
      <c r="G12" s="73"/>
      <c r="H12" s="73"/>
      <c r="I12" s="18"/>
      <c r="J12" s="73"/>
      <c r="K12" s="73"/>
      <c r="L12" s="73"/>
      <c r="M12" s="4"/>
      <c r="N12" s="17" t="str">
        <f>IF(SUM(B12:M12),SUM(B12:M12),"")</f>
        <v/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3"/>
      <c r="C13" s="73"/>
      <c r="D13" s="73"/>
      <c r="E13" s="73"/>
      <c r="F13" s="73"/>
      <c r="G13" s="73"/>
      <c r="H13" s="73"/>
      <c r="I13" s="18"/>
      <c r="J13" s="73"/>
      <c r="K13" s="73"/>
      <c r="L13" s="73"/>
      <c r="M13" s="4"/>
      <c r="N13" s="17" t="str">
        <f t="shared" ref="N13:N75" si="5">IF(SUM(B13:M13),SUM(B13:M13),"")</f>
        <v/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3"/>
      <c r="C14" s="73"/>
      <c r="D14" s="73"/>
      <c r="E14" s="73"/>
      <c r="F14" s="73"/>
      <c r="G14" s="73"/>
      <c r="H14" s="73"/>
      <c r="I14" s="18"/>
      <c r="J14" s="73"/>
      <c r="K14" s="73"/>
      <c r="L14" s="73"/>
      <c r="M14" s="4"/>
      <c r="N14" s="17" t="str">
        <f t="shared" si="5"/>
        <v/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3"/>
      <c r="C15" s="73"/>
      <c r="D15" s="73"/>
      <c r="E15" s="73"/>
      <c r="F15" s="73"/>
      <c r="G15" s="73"/>
      <c r="H15" s="73"/>
      <c r="I15" s="18"/>
      <c r="J15" s="73"/>
      <c r="K15" s="73"/>
      <c r="L15" s="73"/>
      <c r="M15" s="4"/>
      <c r="N15" s="17" t="str">
        <f t="shared" si="5"/>
        <v/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3"/>
      <c r="C16" s="73"/>
      <c r="D16" s="73"/>
      <c r="E16" s="73"/>
      <c r="F16" s="73"/>
      <c r="G16" s="73"/>
      <c r="H16" s="73"/>
      <c r="I16" s="18"/>
      <c r="J16" s="73"/>
      <c r="K16" s="73"/>
      <c r="L16" s="73"/>
      <c r="M16" s="4"/>
      <c r="N16" s="17" t="str">
        <f t="shared" si="5"/>
        <v/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4"/>
      <c r="N17" s="17" t="str">
        <f t="shared" si="5"/>
        <v/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4"/>
      <c r="N18" s="17" t="str">
        <f t="shared" si="5"/>
        <v/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4"/>
      <c r="N19" s="17" t="str">
        <f t="shared" si="5"/>
        <v/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4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4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4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4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4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4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4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4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4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4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4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4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4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4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4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4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4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4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4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4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4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4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4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4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4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4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4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4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4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4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4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4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4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4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4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4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Q121" s="56" t="str">
        <f>IF(StList!F113&lt;&gt;"",StList!F113,"")</f>
        <v/>
      </c>
    </row>
    <row r="123" spans="1:17" s="1" customFormat="1" ht="26.2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s="1" customFormat="1" ht="26.2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s="1" customFormat="1" ht="26.2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s="1" customFormat="1" ht="26.2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s="1" customFormat="1" ht="26.2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s="1" customFormat="1" ht="26.2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s="1" customFormat="1" ht="26.2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s="1" customFormat="1" ht="26.2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s="1" customFormat="1" ht="26.2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s="1" customFormat="1" ht="26.2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s="1" customFormat="1" ht="26.25" hidden="1" customHeight="1" x14ac:dyDescent="0.25"/>
    <row r="134" spans="1:14" s="1" customFormat="1" ht="36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s="1" customFormat="1" ht="36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276" t="s">
        <v>209</v>
      </c>
      <c r="H135" s="277"/>
      <c r="I135" s="278"/>
      <c r="J135" s="259" t="s">
        <v>91</v>
      </c>
      <c r="K135" s="259"/>
      <c r="L135" s="259"/>
      <c r="M135" s="259"/>
      <c r="N135" s="210"/>
    </row>
    <row r="136" spans="1:14" ht="36.75" customHeight="1" x14ac:dyDescent="0.25">
      <c r="A136" s="73" t="s">
        <v>86</v>
      </c>
      <c r="B136" s="275"/>
      <c r="C136" s="275"/>
      <c r="D136" s="275"/>
      <c r="E136" s="275"/>
      <c r="F136" s="275"/>
      <c r="G136" s="279"/>
      <c r="H136" s="280"/>
      <c r="I136" s="281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5">
    <mergeCell ref="O1:Q3"/>
    <mergeCell ref="O9:Q9"/>
    <mergeCell ref="A134:F134"/>
    <mergeCell ref="G134:I134"/>
    <mergeCell ref="J134:N134"/>
    <mergeCell ref="B131:N131"/>
    <mergeCell ref="B132:N132"/>
    <mergeCell ref="B2:M2"/>
    <mergeCell ref="B1:D1"/>
    <mergeCell ref="E1:F1"/>
    <mergeCell ref="G1:J1"/>
    <mergeCell ref="L1:M1"/>
    <mergeCell ref="G135:I136"/>
    <mergeCell ref="A128:N128"/>
    <mergeCell ref="B129:N129"/>
    <mergeCell ref="B130:N130"/>
    <mergeCell ref="A123:N123"/>
    <mergeCell ref="B124:N124"/>
    <mergeCell ref="B125:N125"/>
    <mergeCell ref="B126:N126"/>
    <mergeCell ref="B127:N127"/>
    <mergeCell ref="J136:M136"/>
    <mergeCell ref="B135:F135"/>
    <mergeCell ref="J135:M135"/>
    <mergeCell ref="B136:F136"/>
  </mergeCells>
  <conditionalFormatting sqref="B3:N120">
    <cfRule type="cellIs" dxfId="33" priority="36" operator="equal">
      <formula>0</formula>
    </cfRule>
  </conditionalFormatting>
  <conditionalFormatting sqref="B3:N120">
    <cfRule type="containsBlanks" dxfId="32" priority="35">
      <formula>LEN(TRIM(B3))=0</formula>
    </cfRule>
  </conditionalFormatting>
  <conditionalFormatting sqref="O1:Q10">
    <cfRule type="containsBlanks" dxfId="31" priority="2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  <pageSetUpPr fitToPage="1"/>
  </sheetPr>
  <dimension ref="A1:Q136"/>
  <sheetViews>
    <sheetView showGridLines="0" workbookViewId="0">
      <pane ySplit="10" topLeftCell="A11" activePane="bottomLeft" state="frozen"/>
      <selection activeCell="D6" sqref="D6"/>
      <selection pane="bottomLeft" activeCell="G19" sqref="G19"/>
    </sheetView>
  </sheetViews>
  <sheetFormatPr defaultColWidth="9.140625" defaultRowHeight="21.75" customHeight="1" x14ac:dyDescent="0.25"/>
  <cols>
    <col min="1" max="1" width="17.7109375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Config!A45</f>
        <v>quiz 1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quiz 1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5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IF(Config!E45&lt;&gt;"",Config!E45,"")</f>
        <v/>
      </c>
      <c r="C3" s="49">
        <f>IF(Config!F45&lt;&gt;"",Config!F45,"")</f>
        <v>5</v>
      </c>
      <c r="D3" s="49" t="str">
        <f>IF(Config!G45&lt;&gt;"",Config!G45,"")</f>
        <v/>
      </c>
      <c r="E3" s="49" t="str">
        <f>IF(Config!H45&lt;&gt;"",Config!H45,"")</f>
        <v/>
      </c>
      <c r="F3" s="49" t="str">
        <f>IF(Config!I45&lt;&gt;"",Config!I45,"")</f>
        <v/>
      </c>
      <c r="G3" s="49" t="str">
        <f>IF(Config!J45&lt;&gt;"",Config!J45,"")</f>
        <v/>
      </c>
      <c r="H3" s="49" t="str">
        <f>IF(Config!K45&lt;&gt;"",Config!K45,"")</f>
        <v/>
      </c>
      <c r="I3" s="49" t="str">
        <f>IF(Config!L45&lt;&gt;"",Config!L45,"")</f>
        <v/>
      </c>
      <c r="J3" s="49" t="str">
        <f>IF(Config!M45&lt;&gt;"",Config!M45,"")</f>
        <v/>
      </c>
      <c r="K3" s="49" t="str">
        <f>IF(Config!N45&lt;&gt;"",Config!N45,"")</f>
        <v/>
      </c>
      <c r="L3" s="49" t="str">
        <f>IF(Config!O45&lt;&gt;"",Config!O45,"")</f>
        <v/>
      </c>
      <c r="M3" s="49" t="str">
        <f>IF(Config!P45&lt;&gt;"",Config!P45,"")</f>
        <v/>
      </c>
      <c r="N3" s="5">
        <f>SUM(B3:M3)</f>
        <v>5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 t="s">
        <v>251</v>
      </c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>
        <f t="shared" si="0"/>
        <v>30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30</v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>
        <f t="shared" si="1"/>
        <v>45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45</v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>
        <f t="shared" si="2"/>
        <v>9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9</v>
      </c>
    </row>
    <row r="8" spans="1:17" s="1" customFormat="1" ht="21.75" hidden="1" customHeight="1" thickBot="1" x14ac:dyDescent="0.3">
      <c r="A8" s="6" t="s">
        <v>32</v>
      </c>
      <c r="B8" s="7" t="str">
        <f>IF(B3&lt;&gt;"",AVERAGE(B11:B121),"")</f>
        <v/>
      </c>
      <c r="C8" s="7">
        <f t="shared" ref="C8:M8" si="3">IF(C3&lt;&gt;"",AVERAGE(C11:C121),"")</f>
        <v>3.3333333333333335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3.3333333333333335</v>
      </c>
    </row>
    <row r="9" spans="1:17" s="1" customFormat="1" ht="21.75" customHeight="1" thickTop="1" thickBot="1" x14ac:dyDescent="0.3">
      <c r="A9" s="10" t="s">
        <v>33</v>
      </c>
      <c r="B9" s="11" t="str">
        <f>IF(B3&lt;&gt;"",B8/B3,"")</f>
        <v/>
      </c>
      <c r="C9" s="11">
        <f t="shared" ref="C9:N9" si="4">IF(C3&lt;&gt;"",C8/C3,"")</f>
        <v>0.66666666666666674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0.66666666666666674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/>
      <c r="C11" s="15">
        <v>3</v>
      </c>
      <c r="D11" s="15"/>
      <c r="E11" s="15"/>
      <c r="F11" s="15"/>
      <c r="G11" s="15"/>
      <c r="H11" s="15"/>
      <c r="I11" s="15"/>
      <c r="J11" s="15"/>
      <c r="K11" s="15"/>
      <c r="L11" s="15"/>
      <c r="M11" s="79"/>
      <c r="N11" s="17">
        <f>IF(SUM(B11:M11),SUM(B11:M11),"")</f>
        <v>3</v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80"/>
      <c r="C12" s="18">
        <v>2</v>
      </c>
      <c r="D12" s="18"/>
      <c r="E12" s="18"/>
      <c r="F12" s="18"/>
      <c r="G12" s="18"/>
      <c r="H12" s="18"/>
      <c r="I12" s="18"/>
      <c r="J12" s="18"/>
      <c r="K12" s="18"/>
      <c r="L12" s="18"/>
      <c r="M12" s="81"/>
      <c r="N12" s="17">
        <f t="shared" ref="N12:N75" si="5">IF(SUM(B12:M12),SUM(B12:M12),"")</f>
        <v>2</v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80"/>
      <c r="C13" s="18">
        <v>3</v>
      </c>
      <c r="D13" s="18"/>
      <c r="E13" s="18"/>
      <c r="F13" s="18"/>
      <c r="G13" s="18"/>
      <c r="H13" s="18"/>
      <c r="I13" s="18"/>
      <c r="J13" s="18"/>
      <c r="K13" s="18"/>
      <c r="L13" s="18"/>
      <c r="M13" s="81"/>
      <c r="N13" s="17">
        <f t="shared" si="5"/>
        <v>3</v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80"/>
      <c r="C14" s="18">
        <v>5</v>
      </c>
      <c r="D14" s="18"/>
      <c r="E14" s="18"/>
      <c r="F14" s="18"/>
      <c r="G14" s="18"/>
      <c r="H14" s="18"/>
      <c r="I14" s="18"/>
      <c r="J14" s="18"/>
      <c r="K14" s="18"/>
      <c r="L14" s="18"/>
      <c r="M14" s="81"/>
      <c r="N14" s="17">
        <f t="shared" si="5"/>
        <v>5</v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80"/>
      <c r="C15" s="18">
        <v>3</v>
      </c>
      <c r="D15" s="18"/>
      <c r="E15" s="18"/>
      <c r="F15" s="18"/>
      <c r="G15" s="18"/>
      <c r="H15" s="18"/>
      <c r="I15" s="18"/>
      <c r="J15" s="18"/>
      <c r="K15" s="18"/>
      <c r="L15" s="18"/>
      <c r="M15" s="81"/>
      <c r="N15" s="17">
        <f t="shared" si="5"/>
        <v>3</v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80"/>
      <c r="C16" s="18">
        <v>1</v>
      </c>
      <c r="D16" s="18"/>
      <c r="E16" s="18"/>
      <c r="F16" s="18"/>
      <c r="G16" s="18"/>
      <c r="H16" s="18"/>
      <c r="I16" s="18"/>
      <c r="J16" s="18"/>
      <c r="K16" s="18"/>
      <c r="L16" s="18"/>
      <c r="M16" s="81"/>
      <c r="N16" s="17">
        <f t="shared" si="5"/>
        <v>1</v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73">
        <v>5</v>
      </c>
      <c r="D17" s="73"/>
      <c r="E17" s="73"/>
      <c r="F17" s="73"/>
      <c r="G17" s="73"/>
      <c r="H17" s="73"/>
      <c r="I17" s="73"/>
      <c r="J17" s="73"/>
      <c r="K17" s="73"/>
      <c r="L17" s="73"/>
      <c r="M17" s="4"/>
      <c r="N17" s="17">
        <f t="shared" si="5"/>
        <v>5</v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73">
        <v>3</v>
      </c>
      <c r="D18" s="73"/>
      <c r="E18" s="73"/>
      <c r="F18" s="73"/>
      <c r="G18" s="73"/>
      <c r="H18" s="73"/>
      <c r="I18" s="73"/>
      <c r="J18" s="73"/>
      <c r="K18" s="73"/>
      <c r="L18" s="73"/>
      <c r="M18" s="4"/>
      <c r="N18" s="17">
        <f t="shared" si="5"/>
        <v>3</v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73">
        <v>5</v>
      </c>
      <c r="D19" s="73"/>
      <c r="E19" s="73"/>
      <c r="F19" s="73"/>
      <c r="G19" s="73"/>
      <c r="H19" s="73"/>
      <c r="I19" s="73"/>
      <c r="J19" s="73"/>
      <c r="K19" s="73"/>
      <c r="L19" s="73"/>
      <c r="M19" s="4"/>
      <c r="N19" s="17">
        <f t="shared" si="5"/>
        <v>5</v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4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4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4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4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4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4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4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4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4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4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4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4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4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4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4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4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4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4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4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4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4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4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4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4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4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4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4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4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4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4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4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4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4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4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4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4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N121" s="17">
        <f>SUM(B121:M121)</f>
        <v>0</v>
      </c>
      <c r="Q121" s="56" t="str">
        <f>IF(StList!F113&lt;&gt;"",StList!F113,"")</f>
        <v/>
      </c>
    </row>
    <row r="123" spans="1:17" ht="21.7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ht="21.7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ht="21.7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ht="21.7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ht="21.7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ht="21.7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ht="21.7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ht="21.75" hidden="1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ht="21.75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392"/>
      <c r="H135" s="392"/>
      <c r="I135" s="392"/>
      <c r="J135" s="259" t="s">
        <v>91</v>
      </c>
      <c r="K135" s="259"/>
      <c r="L135" s="259"/>
      <c r="M135" s="259"/>
      <c r="N135" s="210"/>
    </row>
    <row r="136" spans="1:14" ht="21.75" customHeight="1" x14ac:dyDescent="0.25">
      <c r="A136" s="73" t="s">
        <v>86</v>
      </c>
      <c r="B136" s="275"/>
      <c r="C136" s="275"/>
      <c r="D136" s="275"/>
      <c r="E136" s="275"/>
      <c r="F136" s="275"/>
      <c r="G136" s="392"/>
      <c r="H136" s="392"/>
      <c r="I136" s="392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6">
    <mergeCell ref="B135:F135"/>
    <mergeCell ref="G135:I135"/>
    <mergeCell ref="J135:M135"/>
    <mergeCell ref="B136:F136"/>
    <mergeCell ref="G136:I136"/>
    <mergeCell ref="J136:M136"/>
    <mergeCell ref="B131:N131"/>
    <mergeCell ref="B132:N132"/>
    <mergeCell ref="A134:F134"/>
    <mergeCell ref="G134:I134"/>
    <mergeCell ref="J134:N134"/>
    <mergeCell ref="B126:N126"/>
    <mergeCell ref="B127:N127"/>
    <mergeCell ref="A128:N128"/>
    <mergeCell ref="B129:N129"/>
    <mergeCell ref="B130:N130"/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</mergeCells>
  <conditionalFormatting sqref="N12:N121 B3:N120">
    <cfRule type="cellIs" dxfId="30" priority="53" operator="equal">
      <formula>0</formula>
    </cfRule>
  </conditionalFormatting>
  <conditionalFormatting sqref="N12:N121 B3:N120">
    <cfRule type="containsBlanks" dxfId="29" priority="52">
      <formula>LEN(TRIM(B3))=0</formula>
    </cfRule>
  </conditionalFormatting>
  <conditionalFormatting sqref="O1:Q10">
    <cfRule type="containsBlanks" dxfId="28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  <pageSetUpPr fitToPage="1"/>
  </sheetPr>
  <dimension ref="A1:Q136"/>
  <sheetViews>
    <sheetView showGridLines="0" workbookViewId="0">
      <pane ySplit="10" topLeftCell="A11" activePane="bottomLeft" state="frozen"/>
      <selection activeCell="D6" sqref="D6"/>
      <selection pane="bottomLeft" activeCell="Q18" sqref="Q18"/>
    </sheetView>
  </sheetViews>
  <sheetFormatPr defaultColWidth="9.140625" defaultRowHeight="21.75" customHeight="1" x14ac:dyDescent="0.25"/>
  <cols>
    <col min="1" max="1" width="17.7109375" style="19" customWidth="1"/>
    <col min="2" max="2" width="8.7109375" style="19" bestFit="1" customWidth="1"/>
    <col min="3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Config!A46</f>
        <v>quiz 2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quiz 2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0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IF(Config!E46&lt;&gt;"", Config!E46, "")</f>
        <v/>
      </c>
      <c r="C3" s="49" t="str">
        <f>IF(Config!F46&lt;&gt;"", Config!F46, "")</f>
        <v/>
      </c>
      <c r="D3" s="49" t="str">
        <f>IF(Config!G46&lt;&gt;"", Config!G46, "")</f>
        <v/>
      </c>
      <c r="E3" s="49" t="str">
        <f>IF(Config!H46&lt;&gt;"", Config!H46, "")</f>
        <v/>
      </c>
      <c r="F3" s="49" t="str">
        <f>IF(Config!I46&lt;&gt;"", Config!I46, "")</f>
        <v/>
      </c>
      <c r="G3" s="49" t="str">
        <f>IF(Config!J46&lt;&gt;"", Config!J46, "")</f>
        <v/>
      </c>
      <c r="H3" s="49" t="str">
        <f>IF(Config!K46&lt;&gt;"", Config!K46, "")</f>
        <v/>
      </c>
      <c r="I3" s="49" t="str">
        <f>IF(Config!L46&lt;&gt;"", Config!L46, "")</f>
        <v/>
      </c>
      <c r="J3" s="49" t="str">
        <f>IF(Config!M46&lt;&gt;"", Config!M46, "")</f>
        <v/>
      </c>
      <c r="K3" s="49" t="str">
        <f>IF(Config!N46&lt;&gt;"", Config!N46, "")</f>
        <v/>
      </c>
      <c r="L3" s="49" t="str">
        <f>IF(Config!O46&lt;&gt;"", Config!O46, "")</f>
        <v/>
      </c>
      <c r="M3" s="49" t="str">
        <f>IF(Config!P46&lt;&gt;"", Config!P46, "")</f>
        <v/>
      </c>
      <c r="N3" s="5">
        <f>SUM(B3:M3)</f>
        <v>0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 t="s">
        <v>18</v>
      </c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 x14ac:dyDescent="0.3">
      <c r="A8" s="6" t="s">
        <v>32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 x14ac:dyDescent="0.3">
      <c r="A9" s="10" t="s">
        <v>33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24" t="s">
        <v>3</v>
      </c>
      <c r="P10" s="24" t="s">
        <v>4</v>
      </c>
      <c r="Q10" s="24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79"/>
      <c r="N11" s="17" t="str">
        <f>IF(SUM(B11:M11),SUM(B11:M11),"")</f>
        <v/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80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81"/>
      <c r="N12" s="17" t="str">
        <f t="shared" ref="N12:N75" si="5">IF(SUM(B12:M12),SUM(B12:M12),"")</f>
        <v/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80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81"/>
      <c r="N13" s="17" t="str">
        <f t="shared" si="5"/>
        <v/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80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81"/>
      <c r="N14" s="17" t="str">
        <f t="shared" si="5"/>
        <v/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80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81"/>
      <c r="N15" s="17" t="str">
        <f t="shared" si="5"/>
        <v/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80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81"/>
      <c r="N16" s="17" t="str">
        <f t="shared" si="5"/>
        <v/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4"/>
      <c r="N17" s="17" t="str">
        <f t="shared" si="5"/>
        <v/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4"/>
      <c r="N18" s="17" t="str">
        <f t="shared" si="5"/>
        <v/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4"/>
      <c r="N19" s="17" t="str">
        <f t="shared" si="5"/>
        <v/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4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4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4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4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4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4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4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4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4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4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4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4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4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4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4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4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4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4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4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4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4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4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4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4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4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4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4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4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4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4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4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4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4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4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4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4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Q121" s="56" t="str">
        <f>IF(StList!F113&lt;&gt;"",StList!F113,"")</f>
        <v/>
      </c>
    </row>
    <row r="123" spans="1:17" ht="21.7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ht="21.7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ht="21.7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ht="21.7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ht="21.7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ht="21.7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ht="21.7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ht="21.75" hidden="1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ht="21.75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392"/>
      <c r="H135" s="392"/>
      <c r="I135" s="392"/>
      <c r="J135" s="259" t="s">
        <v>91</v>
      </c>
      <c r="K135" s="259"/>
      <c r="L135" s="259"/>
      <c r="M135" s="259"/>
      <c r="N135" s="210"/>
    </row>
    <row r="136" spans="1:14" ht="21.75" customHeight="1" x14ac:dyDescent="0.25">
      <c r="A136" s="73" t="s">
        <v>86</v>
      </c>
      <c r="B136" s="275"/>
      <c r="C136" s="275"/>
      <c r="D136" s="275"/>
      <c r="E136" s="275"/>
      <c r="F136" s="275"/>
      <c r="G136" s="392"/>
      <c r="H136" s="392"/>
      <c r="I136" s="392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6"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</mergeCells>
  <conditionalFormatting sqref="B3:N120">
    <cfRule type="cellIs" dxfId="27" priority="51" operator="equal">
      <formula>0</formula>
    </cfRule>
  </conditionalFormatting>
  <conditionalFormatting sqref="B3:N120">
    <cfRule type="containsBlanks" dxfId="26" priority="50">
      <formula>LEN(TRIM(B3))=0</formula>
    </cfRule>
  </conditionalFormatting>
  <conditionalFormatting sqref="O1:Q9">
    <cfRule type="containsBlanks" dxfId="2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  <pageSetUpPr fitToPage="1"/>
  </sheetPr>
  <dimension ref="A1:Q136"/>
  <sheetViews>
    <sheetView showGridLines="0" workbookViewId="0">
      <pane ySplit="10" topLeftCell="A11" activePane="bottomLeft" state="frozen"/>
      <selection activeCell="D6" sqref="D6"/>
      <selection pane="bottomLeft" activeCell="C11" sqref="C11:C19"/>
    </sheetView>
  </sheetViews>
  <sheetFormatPr defaultColWidth="9.140625" defaultRowHeight="21.75" customHeight="1" x14ac:dyDescent="0.25"/>
  <cols>
    <col min="1" max="1" width="17.7109375" style="19" customWidth="1"/>
    <col min="2" max="4" width="6.85546875" style="19" customWidth="1"/>
    <col min="5" max="5" width="8.7109375" style="19" bestFit="1" customWidth="1"/>
    <col min="6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Config!A47</f>
        <v>Assignment/Proposal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Assignment/Proposal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5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IF(Config!E47&lt;&gt;"",Config!E47,"")</f>
        <v/>
      </c>
      <c r="C3" s="49">
        <f>IF(Config!F47&lt;&gt;"",Config!F47,"")</f>
        <v>5</v>
      </c>
      <c r="D3" s="49" t="str">
        <f>IF(Config!G47&lt;&gt;"",Config!G47,"")</f>
        <v/>
      </c>
      <c r="E3" s="49" t="str">
        <f>IF(Config!H47&lt;&gt;"",Config!H47,"")</f>
        <v/>
      </c>
      <c r="F3" s="49" t="str">
        <f>IF(Config!I47&lt;&gt;"",Config!I47,"")</f>
        <v/>
      </c>
      <c r="G3" s="49" t="str">
        <f>IF(Config!J47&lt;&gt;"",Config!J47,"")</f>
        <v/>
      </c>
      <c r="H3" s="49" t="str">
        <f>IF(Config!K47&lt;&gt;"",Config!K47,"")</f>
        <v/>
      </c>
      <c r="I3" s="49" t="str">
        <f>IF(Config!L47&lt;&gt;"",Config!L47,"")</f>
        <v/>
      </c>
      <c r="J3" s="49" t="str">
        <f>IF(Config!M47&lt;&gt;"",Config!M47,"")</f>
        <v/>
      </c>
      <c r="K3" s="49" t="str">
        <f>IF(Config!N47&lt;&gt;"",Config!N47,"")</f>
        <v/>
      </c>
      <c r="L3" s="49" t="str">
        <f>IF(Config!O47&lt;&gt;"",Config!O47,"")</f>
        <v/>
      </c>
      <c r="M3" s="49" t="str">
        <f>IF(Config!P47&lt;&gt;"",Config!P47,"")</f>
        <v/>
      </c>
      <c r="N3" s="5">
        <f>SUM(B3:M3)</f>
        <v>5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>
        <f t="shared" si="0"/>
        <v>45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45</v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>
        <f t="shared" si="1"/>
        <v>45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45</v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>
        <f t="shared" si="2"/>
        <v>9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9</v>
      </c>
    </row>
    <row r="8" spans="1:17" s="1" customFormat="1" ht="16.5" hidden="1" thickBot="1" x14ac:dyDescent="0.3">
      <c r="A8" s="6" t="s">
        <v>32</v>
      </c>
      <c r="B8" s="7" t="str">
        <f>IF(B3&lt;&gt;"",AVERAGE(B11:B121),"")</f>
        <v/>
      </c>
      <c r="C8" s="7">
        <f t="shared" ref="C8:M8" si="3">IF(C3&lt;&gt;"",AVERAGE(C11:C121),"")</f>
        <v>5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5</v>
      </c>
    </row>
    <row r="9" spans="1:17" s="1" customFormat="1" ht="21.75" customHeight="1" thickTop="1" thickBot="1" x14ac:dyDescent="0.3">
      <c r="A9" s="10" t="s">
        <v>33</v>
      </c>
      <c r="B9" s="11" t="str">
        <f>IF(B3&lt;&gt;"",B8/B3,"")</f>
        <v/>
      </c>
      <c r="C9" s="11">
        <f t="shared" ref="C9:N9" si="4">IF(C3&lt;&gt;"",C8/C3,"")</f>
        <v>1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1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/>
      <c r="C11" s="15">
        <v>5</v>
      </c>
      <c r="D11" s="15"/>
      <c r="E11" s="15"/>
      <c r="F11" s="15"/>
      <c r="G11" s="15"/>
      <c r="H11" s="15"/>
      <c r="I11" s="15"/>
      <c r="J11" s="15"/>
      <c r="K11" s="15"/>
      <c r="L11" s="15"/>
      <c r="M11" s="79"/>
      <c r="N11" s="17">
        <f>IF(SUM(B11:M11),SUM(B11:M11),"")</f>
        <v>5</v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78"/>
      <c r="C12" s="18">
        <v>5</v>
      </c>
      <c r="D12" s="18"/>
      <c r="E12" s="18"/>
      <c r="F12" s="15"/>
      <c r="G12" s="18"/>
      <c r="H12" s="18"/>
      <c r="I12" s="15"/>
      <c r="J12" s="18"/>
      <c r="K12" s="15"/>
      <c r="L12" s="15"/>
      <c r="M12" s="81"/>
      <c r="N12" s="17">
        <f t="shared" ref="N12:N75" si="5">IF(SUM(B12:M12),SUM(B12:M12),"")</f>
        <v>5</v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78"/>
      <c r="C13" s="18">
        <v>5</v>
      </c>
      <c r="D13" s="18"/>
      <c r="E13" s="18"/>
      <c r="F13" s="15"/>
      <c r="G13" s="18"/>
      <c r="H13" s="18"/>
      <c r="I13" s="15"/>
      <c r="J13" s="18"/>
      <c r="K13" s="15"/>
      <c r="L13" s="15"/>
      <c r="M13" s="81"/>
      <c r="N13" s="17">
        <f t="shared" si="5"/>
        <v>5</v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78"/>
      <c r="C14" s="18">
        <v>5</v>
      </c>
      <c r="D14" s="18"/>
      <c r="E14" s="18"/>
      <c r="F14" s="15"/>
      <c r="G14" s="18"/>
      <c r="H14" s="18"/>
      <c r="I14" s="15"/>
      <c r="J14" s="18"/>
      <c r="K14" s="15"/>
      <c r="L14" s="15"/>
      <c r="M14" s="81"/>
      <c r="N14" s="17">
        <f t="shared" si="5"/>
        <v>5</v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78"/>
      <c r="C15" s="18">
        <v>5</v>
      </c>
      <c r="D15" s="18"/>
      <c r="E15" s="18"/>
      <c r="F15" s="15"/>
      <c r="G15" s="18"/>
      <c r="H15" s="18"/>
      <c r="I15" s="15"/>
      <c r="J15" s="18"/>
      <c r="K15" s="15"/>
      <c r="L15" s="15"/>
      <c r="M15" s="81"/>
      <c r="N15" s="17">
        <f t="shared" si="5"/>
        <v>5</v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78"/>
      <c r="C16" s="18">
        <v>5</v>
      </c>
      <c r="D16" s="18"/>
      <c r="E16" s="18"/>
      <c r="F16" s="15"/>
      <c r="G16" s="18"/>
      <c r="H16" s="18"/>
      <c r="I16" s="15"/>
      <c r="J16" s="18"/>
      <c r="K16" s="15"/>
      <c r="L16" s="15"/>
      <c r="M16" s="81"/>
      <c r="N16" s="17">
        <f t="shared" si="5"/>
        <v>5</v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73">
        <v>5</v>
      </c>
      <c r="D17" s="73"/>
      <c r="E17" s="73"/>
      <c r="F17" s="73"/>
      <c r="G17" s="73"/>
      <c r="H17" s="73"/>
      <c r="I17" s="15"/>
      <c r="J17" s="73"/>
      <c r="K17" s="73"/>
      <c r="L17" s="73"/>
      <c r="M17" s="4"/>
      <c r="N17" s="17">
        <f t="shared" si="5"/>
        <v>5</v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73">
        <v>5</v>
      </c>
      <c r="D18" s="73"/>
      <c r="E18" s="73"/>
      <c r="F18" s="73"/>
      <c r="G18" s="73"/>
      <c r="H18" s="73"/>
      <c r="I18" s="15"/>
      <c r="J18" s="73"/>
      <c r="K18" s="73"/>
      <c r="L18" s="73"/>
      <c r="M18" s="4"/>
      <c r="N18" s="17">
        <f t="shared" si="5"/>
        <v>5</v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73">
        <v>5</v>
      </c>
      <c r="D19" s="73"/>
      <c r="E19" s="73"/>
      <c r="F19" s="73"/>
      <c r="G19" s="73"/>
      <c r="H19" s="73"/>
      <c r="I19" s="15"/>
      <c r="J19" s="73"/>
      <c r="K19" s="73"/>
      <c r="L19" s="73"/>
      <c r="M19" s="4"/>
      <c r="N19" s="17">
        <f t="shared" si="5"/>
        <v>5</v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15"/>
      <c r="J20" s="73"/>
      <c r="K20" s="73"/>
      <c r="L20" s="73"/>
      <c r="M20" s="4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15"/>
      <c r="J21" s="73"/>
      <c r="K21" s="73"/>
      <c r="L21" s="73"/>
      <c r="M21" s="4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15"/>
      <c r="J22" s="73"/>
      <c r="K22" s="73"/>
      <c r="L22" s="73"/>
      <c r="M22" s="4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15"/>
      <c r="J23" s="73"/>
      <c r="K23" s="73"/>
      <c r="L23" s="73"/>
      <c r="M23" s="4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15"/>
      <c r="J24" s="73"/>
      <c r="K24" s="73"/>
      <c r="L24" s="73"/>
      <c r="M24" s="4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15"/>
      <c r="J25" s="73"/>
      <c r="K25" s="73"/>
      <c r="L25" s="73"/>
      <c r="M25" s="4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15"/>
      <c r="J26" s="73"/>
      <c r="K26" s="73"/>
      <c r="L26" s="73"/>
      <c r="M26" s="4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15"/>
      <c r="J27" s="73"/>
      <c r="K27" s="73"/>
      <c r="L27" s="73"/>
      <c r="M27" s="4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15"/>
      <c r="J28" s="73"/>
      <c r="K28" s="73"/>
      <c r="L28" s="73"/>
      <c r="M28" s="4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15"/>
      <c r="J29" s="73"/>
      <c r="K29" s="73"/>
      <c r="L29" s="73"/>
      <c r="M29" s="4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15"/>
      <c r="J30" s="73"/>
      <c r="K30" s="73"/>
      <c r="L30" s="73"/>
      <c r="M30" s="4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15"/>
      <c r="J31" s="73"/>
      <c r="K31" s="73"/>
      <c r="L31" s="73"/>
      <c r="M31" s="4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15"/>
      <c r="J32" s="73"/>
      <c r="K32" s="73"/>
      <c r="L32" s="73"/>
      <c r="M32" s="4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15"/>
      <c r="J33" s="73"/>
      <c r="K33" s="73"/>
      <c r="L33" s="73"/>
      <c r="M33" s="4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15"/>
      <c r="J34" s="73"/>
      <c r="K34" s="73"/>
      <c r="L34" s="73"/>
      <c r="M34" s="4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15"/>
      <c r="J35" s="73"/>
      <c r="K35" s="73"/>
      <c r="L35" s="73"/>
      <c r="M35" s="4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15"/>
      <c r="J36" s="73"/>
      <c r="K36" s="73"/>
      <c r="L36" s="73"/>
      <c r="M36" s="4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15"/>
      <c r="J37" s="73"/>
      <c r="K37" s="73"/>
      <c r="L37" s="73"/>
      <c r="M37" s="4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15"/>
      <c r="J38" s="73"/>
      <c r="K38" s="73"/>
      <c r="L38" s="73"/>
      <c r="M38" s="4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15"/>
      <c r="J39" s="73"/>
      <c r="K39" s="73"/>
      <c r="L39" s="73"/>
      <c r="M39" s="4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15"/>
      <c r="J40" s="73"/>
      <c r="K40" s="73"/>
      <c r="L40" s="73"/>
      <c r="M40" s="4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15"/>
      <c r="J41" s="73"/>
      <c r="K41" s="73"/>
      <c r="L41" s="73"/>
      <c r="M41" s="4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15"/>
      <c r="J42" s="73"/>
      <c r="K42" s="73"/>
      <c r="L42" s="73"/>
      <c r="M42" s="4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15"/>
      <c r="J43" s="73"/>
      <c r="K43" s="73"/>
      <c r="L43" s="73"/>
      <c r="M43" s="4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15"/>
      <c r="J44" s="73"/>
      <c r="K44" s="73"/>
      <c r="L44" s="73"/>
      <c r="M44" s="4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15"/>
      <c r="J45" s="73"/>
      <c r="K45" s="73"/>
      <c r="L45" s="73"/>
      <c r="M45" s="4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15"/>
      <c r="J46" s="73"/>
      <c r="K46" s="73"/>
      <c r="L46" s="73"/>
      <c r="M46" s="4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15"/>
      <c r="J47" s="73"/>
      <c r="K47" s="73"/>
      <c r="L47" s="73"/>
      <c r="M47" s="4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15"/>
      <c r="J48" s="73"/>
      <c r="K48" s="73"/>
      <c r="L48" s="73"/>
      <c r="M48" s="4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15"/>
      <c r="J49" s="73"/>
      <c r="K49" s="73"/>
      <c r="L49" s="73"/>
      <c r="M49" s="4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15"/>
      <c r="J50" s="73"/>
      <c r="K50" s="73"/>
      <c r="L50" s="73"/>
      <c r="M50" s="4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15"/>
      <c r="J51" s="73"/>
      <c r="K51" s="73"/>
      <c r="L51" s="73"/>
      <c r="M51" s="4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15"/>
      <c r="J52" s="73"/>
      <c r="K52" s="73"/>
      <c r="L52" s="73"/>
      <c r="M52" s="4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15"/>
      <c r="J53" s="73"/>
      <c r="K53" s="73"/>
      <c r="L53" s="73"/>
      <c r="M53" s="4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15"/>
      <c r="J54" s="73"/>
      <c r="K54" s="73"/>
      <c r="L54" s="73"/>
      <c r="M54" s="4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15"/>
      <c r="J55" s="73"/>
      <c r="K55" s="73"/>
      <c r="L55" s="73"/>
      <c r="M55" s="4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N121" s="17" t="str">
        <f>IF(SUM(B111:M111),SUM(B111:M111),"")</f>
        <v/>
      </c>
      <c r="Q121" s="56" t="str">
        <f>IF(StList!F113&lt;&gt;"",StList!F113,"")</f>
        <v/>
      </c>
    </row>
    <row r="123" spans="1:17" ht="21.7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ht="21.7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ht="21.7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ht="21.7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ht="21.7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ht="21.7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ht="21.7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ht="21.75" hidden="1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ht="21.75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276"/>
      <c r="H135" s="277"/>
      <c r="I135" s="278"/>
      <c r="J135" s="259" t="s">
        <v>91</v>
      </c>
      <c r="K135" s="259"/>
      <c r="L135" s="259"/>
      <c r="M135" s="259"/>
      <c r="N135" s="210"/>
    </row>
    <row r="136" spans="1:14" ht="45" customHeight="1" x14ac:dyDescent="0.25">
      <c r="A136" s="73" t="s">
        <v>86</v>
      </c>
      <c r="B136" s="275"/>
      <c r="C136" s="275"/>
      <c r="D136" s="275"/>
      <c r="E136" s="275"/>
      <c r="F136" s="275"/>
      <c r="G136" s="279"/>
      <c r="H136" s="280"/>
      <c r="I136" s="281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5">
    <mergeCell ref="B135:F135"/>
    <mergeCell ref="J135:M135"/>
    <mergeCell ref="B136:F136"/>
    <mergeCell ref="J136:M136"/>
    <mergeCell ref="G135:I136"/>
    <mergeCell ref="B131:N131"/>
    <mergeCell ref="B132:N132"/>
    <mergeCell ref="A134:F134"/>
    <mergeCell ref="G134:I134"/>
    <mergeCell ref="J134:N134"/>
    <mergeCell ref="B126:N126"/>
    <mergeCell ref="B127:N127"/>
    <mergeCell ref="A128:N128"/>
    <mergeCell ref="B129:N129"/>
    <mergeCell ref="B130:N130"/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</mergeCells>
  <conditionalFormatting sqref="N111:N121 B3:N120">
    <cfRule type="cellIs" dxfId="24" priority="67" operator="equal">
      <formula>0</formula>
    </cfRule>
  </conditionalFormatting>
  <conditionalFormatting sqref="N111:N121 B3:N120">
    <cfRule type="containsBlanks" dxfId="23" priority="66">
      <formula>LEN(TRIM(B3))=0</formula>
    </cfRule>
  </conditionalFormatting>
  <conditionalFormatting sqref="O1:Q10">
    <cfRule type="containsBlanks" dxfId="22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  <pageSetUpPr fitToPage="1"/>
  </sheetPr>
  <dimension ref="A1:Q136"/>
  <sheetViews>
    <sheetView showGridLines="0" workbookViewId="0">
      <pane ySplit="10" topLeftCell="A11" activePane="bottomLeft" state="frozen"/>
      <selection activeCell="D6" sqref="D6"/>
      <selection pane="bottomLeft" activeCell="P13" sqref="P13"/>
    </sheetView>
  </sheetViews>
  <sheetFormatPr defaultColWidth="9.140625" defaultRowHeight="21.75" customHeight="1" x14ac:dyDescent="0.25"/>
  <cols>
    <col min="1" max="1" width="17.7109375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Config!A48</f>
        <v>Poster/Presentation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Poster/Presentation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0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IF(Config!E48&lt;&gt;"",Config!E48,"")</f>
        <v/>
      </c>
      <c r="C3" s="49" t="str">
        <f>IF(Config!F48&lt;&gt;"",Config!F48,"")</f>
        <v/>
      </c>
      <c r="D3" s="49" t="str">
        <f>IF(Config!G48&lt;&gt;"",Config!G48,"")</f>
        <v/>
      </c>
      <c r="E3" s="49" t="str">
        <f>IF(Config!H48&lt;&gt;"",Config!H48,"")</f>
        <v/>
      </c>
      <c r="F3" s="49" t="str">
        <f>IF(Config!I48&lt;&gt;"",Config!I48,"")</f>
        <v/>
      </c>
      <c r="G3" s="49" t="str">
        <f>IF(Config!J48&lt;&gt;"",Config!J48,"")</f>
        <v/>
      </c>
      <c r="H3" s="49" t="str">
        <f>IF(Config!K48&lt;&gt;"",Config!K48,"")</f>
        <v/>
      </c>
      <c r="I3" s="49" t="str">
        <f>IF(Config!L48&lt;&gt;"",Config!L48,"")</f>
        <v/>
      </c>
      <c r="J3" s="49" t="str">
        <f>IF(Config!M48&lt;&gt;"",Config!M48,"")</f>
        <v/>
      </c>
      <c r="K3" s="49" t="str">
        <f>IF(Config!N48&lt;&gt;"",Config!N48,"")</f>
        <v/>
      </c>
      <c r="L3" s="49" t="str">
        <f>IF(Config!O48&lt;&gt;"",Config!O48,"")</f>
        <v/>
      </c>
      <c r="M3" s="49" t="str">
        <f>IF(Config!P48&lt;&gt;"",Config!P48,"")</f>
        <v/>
      </c>
      <c r="N3" s="5">
        <f>SUM(B3:M3)</f>
        <v>0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 x14ac:dyDescent="0.3">
      <c r="A8" s="6" t="s">
        <v>32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 x14ac:dyDescent="0.3">
      <c r="A9" s="10" t="s">
        <v>33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24" t="s">
        <v>3</v>
      </c>
      <c r="P10" s="24" t="s">
        <v>4</v>
      </c>
      <c r="Q10" s="24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79"/>
      <c r="N11" s="8" t="str">
        <f>IF(SUM(B11:M11),SUM(B11:M11),"")</f>
        <v/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80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81"/>
      <c r="N12" s="8" t="str">
        <f t="shared" ref="N12:N75" si="5">IF(SUM(B12:M12),SUM(B12:M12),"")</f>
        <v/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80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81"/>
      <c r="N13" s="8" t="str">
        <f t="shared" si="5"/>
        <v/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80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81"/>
      <c r="N14" s="8" t="str">
        <f t="shared" si="5"/>
        <v/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80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81"/>
      <c r="N15" s="8" t="str">
        <f t="shared" si="5"/>
        <v/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80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81"/>
      <c r="N16" s="8" t="str">
        <f t="shared" si="5"/>
        <v/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4"/>
      <c r="N17" s="8" t="str">
        <f t="shared" si="5"/>
        <v/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4"/>
      <c r="N18" s="8" t="str">
        <f t="shared" si="5"/>
        <v/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4"/>
      <c r="N19" s="8" t="str">
        <f t="shared" si="5"/>
        <v/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4"/>
      <c r="N20" s="8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4"/>
      <c r="N21" s="8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4"/>
      <c r="N22" s="8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4"/>
      <c r="N23" s="8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4"/>
      <c r="N24" s="8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4"/>
      <c r="N25" s="8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4"/>
      <c r="N26" s="8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4"/>
      <c r="N27" s="8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4"/>
      <c r="N28" s="8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4"/>
      <c r="N29" s="8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4"/>
      <c r="N30" s="8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4"/>
      <c r="N31" s="8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4"/>
      <c r="N32" s="8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4"/>
      <c r="N33" s="8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4"/>
      <c r="N34" s="8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4"/>
      <c r="N35" s="8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4"/>
      <c r="N36" s="8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4"/>
      <c r="N37" s="8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4"/>
      <c r="N38" s="8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4"/>
      <c r="N39" s="8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4"/>
      <c r="N40" s="8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4"/>
      <c r="N41" s="8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4"/>
      <c r="N42" s="8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4"/>
      <c r="N43" s="8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4"/>
      <c r="N44" s="8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4"/>
      <c r="N45" s="8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4"/>
      <c r="N46" s="8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4"/>
      <c r="N47" s="8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4"/>
      <c r="N48" s="8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4"/>
      <c r="N49" s="8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4"/>
      <c r="N50" s="8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4"/>
      <c r="N51" s="8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4"/>
      <c r="N52" s="8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4"/>
      <c r="N53" s="8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4"/>
      <c r="N54" s="8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4"/>
      <c r="N55" s="8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8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8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8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8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8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8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8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8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8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8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8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8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8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8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8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8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8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8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8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8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8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8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8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8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8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8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8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8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8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8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8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8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8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8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8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8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8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8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8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8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8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8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8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8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8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8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8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8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8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8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8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8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8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8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8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8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8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8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8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8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8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8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8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8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8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Q121" s="56" t="str">
        <f>IF(StList!F113&lt;&gt;"",StList!F113,"")</f>
        <v/>
      </c>
    </row>
    <row r="122" spans="1:17" ht="21.75" hidden="1" customHeight="1" thickBot="1" x14ac:dyDescent="0.3"/>
    <row r="123" spans="1:17" ht="21.7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ht="21.7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ht="21.7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ht="21.7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ht="21.7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ht="21.7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ht="21.7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ht="21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ht="21.75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392"/>
      <c r="H135" s="392"/>
      <c r="I135" s="392"/>
      <c r="J135" s="259" t="s">
        <v>91</v>
      </c>
      <c r="K135" s="259"/>
      <c r="L135" s="259"/>
      <c r="M135" s="259"/>
      <c r="N135" s="210"/>
    </row>
    <row r="136" spans="1:14" ht="21.75" customHeight="1" x14ac:dyDescent="0.25">
      <c r="A136" s="73" t="s">
        <v>86</v>
      </c>
      <c r="B136" s="275"/>
      <c r="C136" s="275"/>
      <c r="D136" s="275"/>
      <c r="E136" s="275"/>
      <c r="F136" s="275"/>
      <c r="G136" s="392"/>
      <c r="H136" s="392"/>
      <c r="I136" s="392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6"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</mergeCells>
  <conditionalFormatting sqref="B3:N120">
    <cfRule type="cellIs" dxfId="21" priority="51" operator="equal">
      <formula>0</formula>
    </cfRule>
  </conditionalFormatting>
  <conditionalFormatting sqref="B3:N120">
    <cfRule type="containsBlanks" dxfId="20" priority="50">
      <formula>LEN(TRIM(B3))=0</formula>
    </cfRule>
  </conditionalFormatting>
  <conditionalFormatting sqref="O1:Q9">
    <cfRule type="containsBlanks" dxfId="19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  <pageSetUpPr fitToPage="1"/>
  </sheetPr>
  <dimension ref="A1:Q137"/>
  <sheetViews>
    <sheetView showGridLines="0" workbookViewId="0">
      <pane ySplit="10" topLeftCell="A11" activePane="bottomLeft" state="frozen"/>
      <selection activeCell="D6" sqref="D6"/>
      <selection pane="bottomLeft" activeCell="I141" sqref="I141"/>
    </sheetView>
  </sheetViews>
  <sheetFormatPr defaultColWidth="9.140625" defaultRowHeight="21.75" customHeight="1" x14ac:dyDescent="0.25"/>
  <cols>
    <col min="1" max="1" width="17.7109375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7.85546875" style="20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Config!A49</f>
        <v>practical exam/OSCE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practical exam/OSCE</v>
      </c>
      <c r="P1" s="245"/>
      <c r="Q1" s="246"/>
    </row>
    <row r="2" spans="1:17" s="1" customFormat="1" ht="21.75" customHeight="1" thickTop="1" x14ac:dyDescent="0.25">
      <c r="A2" s="54" t="s">
        <v>13</v>
      </c>
      <c r="B2" s="394">
        <f>IF(SUM(B3:M3)&lt;&gt;N3,"ERROR",SUM(B3:M3))</f>
        <v>20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6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 t="str">
        <f>IF(Config!E49&lt;&gt;"",Config!E49,"")</f>
        <v/>
      </c>
      <c r="C3" s="49" t="str">
        <f>IF(Config!F49&lt;&gt;"",Config!F49,"")</f>
        <v/>
      </c>
      <c r="D3" s="49" t="str">
        <f>IF(Config!G49&lt;&gt;"",Config!G49,"")</f>
        <v/>
      </c>
      <c r="E3" s="49" t="str">
        <f>IF(Config!H49&lt;&gt;"",Config!H49,"")</f>
        <v/>
      </c>
      <c r="F3" s="49">
        <f>IF(Config!I49&lt;&gt;"",Config!I49,"")</f>
        <v>10</v>
      </c>
      <c r="G3" s="49">
        <f>IF(Config!J49&lt;&gt;"",Config!J49,"")</f>
        <v>10</v>
      </c>
      <c r="H3" s="49" t="str">
        <f>IF(Config!K49&lt;&gt;"",Config!K49,"")</f>
        <v/>
      </c>
      <c r="I3" s="49" t="str">
        <f>IF(Config!L49&lt;&gt;"",Config!L49,"")</f>
        <v/>
      </c>
      <c r="J3" s="49" t="str">
        <f>IF(Config!M49&lt;&gt;"",Config!M49,"")</f>
        <v/>
      </c>
      <c r="K3" s="49" t="str">
        <f>IF(Config!N49&lt;&gt;"",Config!N49,"")</f>
        <v/>
      </c>
      <c r="L3" s="49" t="str">
        <f>IF(Config!O49&lt;&gt;"",Config!O49,"")</f>
        <v/>
      </c>
      <c r="M3" s="49" t="str">
        <f>IF(Config!P49&lt;&gt;"",Config!P49,"")</f>
        <v/>
      </c>
      <c r="N3" s="5">
        <f>SUM(B3:M3)</f>
        <v>20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>
        <f t="shared" si="0"/>
        <v>82</v>
      </c>
      <c r="G5" s="7">
        <f t="shared" si="0"/>
        <v>90</v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172</v>
      </c>
    </row>
    <row r="6" spans="1:17" s="1" customFormat="1" ht="21.75" hidden="1" customHeight="1" x14ac:dyDescent="0.25">
      <c r="A6" s="6" t="s">
        <v>30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>
        <f t="shared" si="1"/>
        <v>90</v>
      </c>
      <c r="G6" s="9">
        <f t="shared" si="1"/>
        <v>90</v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180</v>
      </c>
    </row>
    <row r="7" spans="1:17" s="1" customFormat="1" ht="21.75" hidden="1" customHeight="1" x14ac:dyDescent="0.25">
      <c r="A7" s="6" t="s">
        <v>31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>
        <f t="shared" si="2"/>
        <v>9</v>
      </c>
      <c r="G7" s="7">
        <f t="shared" si="2"/>
        <v>9</v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9</v>
      </c>
    </row>
    <row r="8" spans="1:17" s="1" customFormat="1" ht="21.75" hidden="1" customHeight="1" thickBot="1" x14ac:dyDescent="0.3">
      <c r="A8" s="6" t="s">
        <v>32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>
        <f t="shared" si="3"/>
        <v>9.1111111111111107</v>
      </c>
      <c r="G8" s="7">
        <f t="shared" si="3"/>
        <v>10</v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19.111111111111111</v>
      </c>
    </row>
    <row r="9" spans="1:17" s="1" customFormat="1" ht="21.75" customHeight="1" thickTop="1" thickBot="1" x14ac:dyDescent="0.3">
      <c r="A9" s="10" t="s">
        <v>83</v>
      </c>
      <c r="B9" s="11" t="str">
        <f t="shared" ref="B9:N9" si="4">IF(B3&lt;&gt;"",B8/B3,"")</f>
        <v/>
      </c>
      <c r="C9" s="11" t="str">
        <f t="shared" si="4"/>
        <v/>
      </c>
      <c r="D9" s="11" t="str">
        <f t="shared" si="4"/>
        <v/>
      </c>
      <c r="E9" s="11" t="str">
        <f t="shared" si="4"/>
        <v/>
      </c>
      <c r="F9" s="11">
        <f t="shared" si="4"/>
        <v>0.91111111111111109</v>
      </c>
      <c r="G9" s="11">
        <f t="shared" si="4"/>
        <v>1</v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0.95555555555555549</v>
      </c>
      <c r="O9" s="384" t="s">
        <v>103</v>
      </c>
      <c r="P9" s="385"/>
      <c r="Q9" s="386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/>
      <c r="C11" s="15"/>
      <c r="D11" s="15"/>
      <c r="E11" s="15"/>
      <c r="F11" s="15">
        <v>9</v>
      </c>
      <c r="G11" s="15">
        <v>10</v>
      </c>
      <c r="H11" s="15"/>
      <c r="I11" s="15"/>
      <c r="J11" s="15"/>
      <c r="K11" s="15"/>
      <c r="L11" s="15"/>
      <c r="M11" s="79"/>
      <c r="N11" s="17">
        <f>IF(SUM(B11:M11),SUM(B11:M11),"")</f>
        <v>19</v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80"/>
      <c r="C12" s="15"/>
      <c r="D12" s="18"/>
      <c r="E12" s="18"/>
      <c r="F12" s="18">
        <v>9</v>
      </c>
      <c r="G12" s="18">
        <v>10</v>
      </c>
      <c r="H12" s="18"/>
      <c r="I12" s="18"/>
      <c r="J12" s="18"/>
      <c r="K12" s="18"/>
      <c r="L12" s="18"/>
      <c r="M12" s="79"/>
      <c r="N12" s="17">
        <f t="shared" ref="N12:N75" si="5">IF(SUM(B12:M12),SUM(B12:M12),"")</f>
        <v>19</v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80"/>
      <c r="C13" s="15"/>
      <c r="D13" s="18"/>
      <c r="E13" s="18"/>
      <c r="F13" s="18">
        <v>9</v>
      </c>
      <c r="G13" s="18">
        <v>10</v>
      </c>
      <c r="H13" s="18"/>
      <c r="I13" s="18"/>
      <c r="J13" s="18"/>
      <c r="K13" s="18"/>
      <c r="L13" s="18"/>
      <c r="M13" s="79"/>
      <c r="N13" s="17">
        <f t="shared" si="5"/>
        <v>19</v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80"/>
      <c r="C14" s="15"/>
      <c r="D14" s="18"/>
      <c r="E14" s="18"/>
      <c r="F14" s="18">
        <v>10</v>
      </c>
      <c r="G14" s="18">
        <v>10</v>
      </c>
      <c r="H14" s="18"/>
      <c r="I14" s="18"/>
      <c r="J14" s="18"/>
      <c r="K14" s="18"/>
      <c r="L14" s="18"/>
      <c r="M14" s="79"/>
      <c r="N14" s="17">
        <f t="shared" si="5"/>
        <v>20</v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80"/>
      <c r="C15" s="15"/>
      <c r="D15" s="18"/>
      <c r="E15" s="18"/>
      <c r="F15" s="18">
        <v>9</v>
      </c>
      <c r="G15" s="18">
        <v>10</v>
      </c>
      <c r="H15" s="18"/>
      <c r="I15" s="18"/>
      <c r="J15" s="18"/>
      <c r="K15" s="18"/>
      <c r="L15" s="18"/>
      <c r="M15" s="79"/>
      <c r="N15" s="17">
        <f t="shared" si="5"/>
        <v>19</v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80"/>
      <c r="C16" s="15"/>
      <c r="D16" s="18"/>
      <c r="E16" s="18"/>
      <c r="F16" s="18">
        <v>9</v>
      </c>
      <c r="G16" s="18">
        <v>10</v>
      </c>
      <c r="H16" s="18"/>
      <c r="I16" s="18"/>
      <c r="J16" s="18"/>
      <c r="K16" s="18"/>
      <c r="L16" s="18"/>
      <c r="M16" s="79"/>
      <c r="N16" s="17">
        <f t="shared" si="5"/>
        <v>19</v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/>
      <c r="C17" s="15"/>
      <c r="D17" s="73"/>
      <c r="E17" s="73"/>
      <c r="F17" s="73">
        <v>10</v>
      </c>
      <c r="G17" s="73">
        <v>10</v>
      </c>
      <c r="H17" s="73"/>
      <c r="I17" s="73"/>
      <c r="J17" s="73"/>
      <c r="K17" s="73"/>
      <c r="L17" s="73"/>
      <c r="M17" s="79"/>
      <c r="N17" s="17">
        <f t="shared" si="5"/>
        <v>20</v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/>
      <c r="C18" s="15"/>
      <c r="D18" s="73"/>
      <c r="E18" s="73"/>
      <c r="F18" s="73">
        <v>10</v>
      </c>
      <c r="G18" s="73">
        <v>10</v>
      </c>
      <c r="H18" s="73"/>
      <c r="I18" s="73"/>
      <c r="J18" s="73"/>
      <c r="K18" s="73"/>
      <c r="L18" s="73"/>
      <c r="M18" s="79"/>
      <c r="N18" s="17">
        <f t="shared" si="5"/>
        <v>20</v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/>
      <c r="C19" s="15"/>
      <c r="D19" s="73"/>
      <c r="E19" s="73"/>
      <c r="F19" s="73">
        <v>7</v>
      </c>
      <c r="G19" s="73">
        <v>10</v>
      </c>
      <c r="H19" s="73"/>
      <c r="I19" s="73"/>
      <c r="J19" s="73"/>
      <c r="K19" s="73"/>
      <c r="L19" s="73"/>
      <c r="M19" s="79"/>
      <c r="N19" s="17">
        <f t="shared" si="5"/>
        <v>17</v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15"/>
      <c r="D20" s="73"/>
      <c r="E20" s="73"/>
      <c r="F20" s="73"/>
      <c r="G20" s="73"/>
      <c r="H20" s="73"/>
      <c r="I20" s="73"/>
      <c r="J20" s="73"/>
      <c r="K20" s="73"/>
      <c r="L20" s="73"/>
      <c r="M20" s="79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15"/>
      <c r="D21" s="73"/>
      <c r="E21" s="73"/>
      <c r="F21" s="73"/>
      <c r="G21" s="73"/>
      <c r="H21" s="73"/>
      <c r="I21" s="73"/>
      <c r="J21" s="73"/>
      <c r="K21" s="73"/>
      <c r="L21" s="73"/>
      <c r="M21" s="79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15"/>
      <c r="D22" s="73"/>
      <c r="E22" s="73"/>
      <c r="F22" s="73"/>
      <c r="G22" s="73"/>
      <c r="H22" s="73"/>
      <c r="I22" s="73"/>
      <c r="J22" s="73"/>
      <c r="K22" s="73"/>
      <c r="L22" s="73"/>
      <c r="M22" s="79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15"/>
      <c r="D23" s="73"/>
      <c r="E23" s="73"/>
      <c r="F23" s="73"/>
      <c r="G23" s="73"/>
      <c r="H23" s="73"/>
      <c r="I23" s="73"/>
      <c r="J23" s="73"/>
      <c r="K23" s="73"/>
      <c r="L23" s="73"/>
      <c r="M23" s="79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15"/>
      <c r="D24" s="73"/>
      <c r="E24" s="73"/>
      <c r="F24" s="73"/>
      <c r="G24" s="73"/>
      <c r="H24" s="73"/>
      <c r="I24" s="73"/>
      <c r="J24" s="73"/>
      <c r="K24" s="73"/>
      <c r="L24" s="73"/>
      <c r="M24" s="79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15"/>
      <c r="D25" s="73"/>
      <c r="E25" s="73"/>
      <c r="F25" s="73"/>
      <c r="G25" s="73"/>
      <c r="H25" s="73"/>
      <c r="I25" s="73"/>
      <c r="J25" s="73"/>
      <c r="K25" s="73"/>
      <c r="L25" s="73"/>
      <c r="M25" s="79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15"/>
      <c r="D26" s="73"/>
      <c r="E26" s="73"/>
      <c r="F26" s="73"/>
      <c r="G26" s="73"/>
      <c r="H26" s="73"/>
      <c r="I26" s="73"/>
      <c r="J26" s="73"/>
      <c r="K26" s="73"/>
      <c r="L26" s="73"/>
      <c r="M26" s="79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15"/>
      <c r="D27" s="73"/>
      <c r="E27" s="73"/>
      <c r="F27" s="73"/>
      <c r="G27" s="73"/>
      <c r="H27" s="73"/>
      <c r="I27" s="73"/>
      <c r="J27" s="73"/>
      <c r="K27" s="73"/>
      <c r="L27" s="73"/>
      <c r="M27" s="79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15"/>
      <c r="D28" s="73"/>
      <c r="E28" s="73"/>
      <c r="F28" s="73"/>
      <c r="G28" s="73"/>
      <c r="H28" s="73"/>
      <c r="I28" s="73"/>
      <c r="J28" s="73"/>
      <c r="K28" s="73"/>
      <c r="L28" s="73"/>
      <c r="M28" s="79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15"/>
      <c r="D29" s="73"/>
      <c r="E29" s="73"/>
      <c r="F29" s="73"/>
      <c r="G29" s="73"/>
      <c r="H29" s="73"/>
      <c r="I29" s="73"/>
      <c r="J29" s="73"/>
      <c r="K29" s="73"/>
      <c r="L29" s="73"/>
      <c r="M29" s="79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15"/>
      <c r="D30" s="73"/>
      <c r="E30" s="73"/>
      <c r="F30" s="73"/>
      <c r="G30" s="73"/>
      <c r="H30" s="73"/>
      <c r="I30" s="73"/>
      <c r="J30" s="73"/>
      <c r="K30" s="73"/>
      <c r="L30" s="73"/>
      <c r="M30" s="79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15"/>
      <c r="D31" s="73"/>
      <c r="E31" s="73"/>
      <c r="F31" s="73"/>
      <c r="G31" s="73"/>
      <c r="H31" s="73"/>
      <c r="I31" s="73"/>
      <c r="J31" s="73"/>
      <c r="K31" s="73"/>
      <c r="L31" s="73"/>
      <c r="M31" s="79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15"/>
      <c r="D32" s="73"/>
      <c r="E32" s="73"/>
      <c r="F32" s="73"/>
      <c r="G32" s="73"/>
      <c r="H32" s="73"/>
      <c r="I32" s="73"/>
      <c r="J32" s="73"/>
      <c r="K32" s="73"/>
      <c r="L32" s="73"/>
      <c r="M32" s="79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15"/>
      <c r="D33" s="73"/>
      <c r="E33" s="73"/>
      <c r="F33" s="73"/>
      <c r="G33" s="73"/>
      <c r="H33" s="73"/>
      <c r="I33" s="73"/>
      <c r="J33" s="73"/>
      <c r="K33" s="73"/>
      <c r="L33" s="73"/>
      <c r="M33" s="79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15"/>
      <c r="D34" s="73"/>
      <c r="E34" s="73"/>
      <c r="F34" s="73"/>
      <c r="G34" s="73"/>
      <c r="H34" s="73"/>
      <c r="I34" s="73"/>
      <c r="J34" s="73"/>
      <c r="K34" s="73"/>
      <c r="L34" s="73"/>
      <c r="M34" s="79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15"/>
      <c r="D35" s="73"/>
      <c r="E35" s="73"/>
      <c r="F35" s="73"/>
      <c r="G35" s="73"/>
      <c r="H35" s="73"/>
      <c r="I35" s="73"/>
      <c r="J35" s="73"/>
      <c r="K35" s="73"/>
      <c r="L35" s="73"/>
      <c r="M35" s="79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15"/>
      <c r="D36" s="73"/>
      <c r="E36" s="73"/>
      <c r="F36" s="73"/>
      <c r="G36" s="73"/>
      <c r="H36" s="73"/>
      <c r="I36" s="73"/>
      <c r="J36" s="73"/>
      <c r="K36" s="73"/>
      <c r="L36" s="73"/>
      <c r="M36" s="79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15"/>
      <c r="D37" s="73"/>
      <c r="E37" s="73"/>
      <c r="F37" s="73"/>
      <c r="G37" s="73"/>
      <c r="H37" s="73"/>
      <c r="I37" s="73"/>
      <c r="J37" s="73"/>
      <c r="K37" s="73"/>
      <c r="L37" s="73"/>
      <c r="M37" s="79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15"/>
      <c r="D38" s="73"/>
      <c r="E38" s="73"/>
      <c r="F38" s="73"/>
      <c r="G38" s="73"/>
      <c r="H38" s="73"/>
      <c r="I38" s="73"/>
      <c r="J38" s="73"/>
      <c r="K38" s="73"/>
      <c r="L38" s="73"/>
      <c r="M38" s="79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15"/>
      <c r="D39" s="73"/>
      <c r="E39" s="73"/>
      <c r="F39" s="73"/>
      <c r="G39" s="73"/>
      <c r="H39" s="73"/>
      <c r="I39" s="73"/>
      <c r="J39" s="73"/>
      <c r="K39" s="73"/>
      <c r="L39" s="73"/>
      <c r="M39" s="79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15"/>
      <c r="D40" s="73"/>
      <c r="E40" s="73"/>
      <c r="F40" s="73"/>
      <c r="G40" s="73"/>
      <c r="H40" s="73"/>
      <c r="I40" s="73"/>
      <c r="J40" s="73"/>
      <c r="K40" s="73"/>
      <c r="L40" s="73"/>
      <c r="M40" s="79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15"/>
      <c r="D41" s="73"/>
      <c r="E41" s="73"/>
      <c r="F41" s="73"/>
      <c r="G41" s="73"/>
      <c r="H41" s="73"/>
      <c r="I41" s="73"/>
      <c r="J41" s="73"/>
      <c r="K41" s="73"/>
      <c r="L41" s="73"/>
      <c r="M41" s="79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15"/>
      <c r="D42" s="73"/>
      <c r="E42" s="73"/>
      <c r="F42" s="73"/>
      <c r="G42" s="73"/>
      <c r="H42" s="73"/>
      <c r="I42" s="73"/>
      <c r="J42" s="73"/>
      <c r="K42" s="73"/>
      <c r="L42" s="73"/>
      <c r="M42" s="79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15"/>
      <c r="D43" s="73"/>
      <c r="E43" s="73"/>
      <c r="F43" s="73"/>
      <c r="G43" s="73"/>
      <c r="H43" s="73"/>
      <c r="I43" s="73"/>
      <c r="J43" s="73"/>
      <c r="K43" s="73"/>
      <c r="L43" s="73"/>
      <c r="M43" s="79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15"/>
      <c r="D44" s="73"/>
      <c r="E44" s="73"/>
      <c r="F44" s="73"/>
      <c r="G44" s="73"/>
      <c r="H44" s="73"/>
      <c r="I44" s="73"/>
      <c r="J44" s="73"/>
      <c r="K44" s="73"/>
      <c r="L44" s="73"/>
      <c r="M44" s="79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15"/>
      <c r="D45" s="73"/>
      <c r="E45" s="73"/>
      <c r="F45" s="73"/>
      <c r="G45" s="73"/>
      <c r="H45" s="73"/>
      <c r="I45" s="73"/>
      <c r="J45" s="73"/>
      <c r="K45" s="73"/>
      <c r="L45" s="73"/>
      <c r="M45" s="79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15"/>
      <c r="D46" s="73"/>
      <c r="E46" s="73"/>
      <c r="F46" s="73"/>
      <c r="G46" s="73"/>
      <c r="H46" s="73"/>
      <c r="I46" s="73"/>
      <c r="J46" s="73"/>
      <c r="K46" s="73"/>
      <c r="L46" s="73"/>
      <c r="M46" s="79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15"/>
      <c r="D47" s="73"/>
      <c r="E47" s="73"/>
      <c r="F47" s="73"/>
      <c r="G47" s="73"/>
      <c r="H47" s="73"/>
      <c r="I47" s="73"/>
      <c r="J47" s="73"/>
      <c r="K47" s="73"/>
      <c r="L47" s="73"/>
      <c r="M47" s="79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15"/>
      <c r="D48" s="73"/>
      <c r="E48" s="73"/>
      <c r="F48" s="73"/>
      <c r="G48" s="73"/>
      <c r="H48" s="73"/>
      <c r="I48" s="73"/>
      <c r="J48" s="73"/>
      <c r="K48" s="73"/>
      <c r="L48" s="73"/>
      <c r="M48" s="79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15"/>
      <c r="D49" s="73"/>
      <c r="E49" s="73"/>
      <c r="F49" s="73"/>
      <c r="G49" s="73"/>
      <c r="H49" s="73"/>
      <c r="I49" s="73"/>
      <c r="J49" s="73"/>
      <c r="K49" s="73"/>
      <c r="L49" s="73"/>
      <c r="M49" s="79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15"/>
      <c r="D50" s="73"/>
      <c r="E50" s="73"/>
      <c r="F50" s="73"/>
      <c r="G50" s="73"/>
      <c r="H50" s="73"/>
      <c r="I50" s="73"/>
      <c r="J50" s="73"/>
      <c r="K50" s="73"/>
      <c r="L50" s="73"/>
      <c r="M50" s="79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15"/>
      <c r="D51" s="73"/>
      <c r="E51" s="73"/>
      <c r="F51" s="73"/>
      <c r="G51" s="73"/>
      <c r="H51" s="73"/>
      <c r="I51" s="73"/>
      <c r="J51" s="73"/>
      <c r="K51" s="73"/>
      <c r="L51" s="73"/>
      <c r="M51" s="79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15"/>
      <c r="D52" s="73"/>
      <c r="E52" s="73"/>
      <c r="F52" s="73"/>
      <c r="G52" s="73"/>
      <c r="H52" s="73"/>
      <c r="I52" s="73"/>
      <c r="J52" s="73"/>
      <c r="K52" s="73"/>
      <c r="L52" s="73"/>
      <c r="M52" s="79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15"/>
      <c r="D53" s="73"/>
      <c r="E53" s="73"/>
      <c r="F53" s="73"/>
      <c r="G53" s="73"/>
      <c r="H53" s="73"/>
      <c r="I53" s="73"/>
      <c r="J53" s="73"/>
      <c r="K53" s="73"/>
      <c r="L53" s="73"/>
      <c r="M53" s="79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15"/>
      <c r="D54" s="73"/>
      <c r="E54" s="73"/>
      <c r="F54" s="73"/>
      <c r="G54" s="73"/>
      <c r="H54" s="73"/>
      <c r="I54" s="73"/>
      <c r="J54" s="73"/>
      <c r="K54" s="73"/>
      <c r="L54" s="73"/>
      <c r="M54" s="79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15"/>
      <c r="D55" s="73"/>
      <c r="E55" s="73"/>
      <c r="F55" s="73"/>
      <c r="G55" s="73"/>
      <c r="H55" s="73"/>
      <c r="I55" s="73"/>
      <c r="J55" s="73"/>
      <c r="K55" s="73"/>
      <c r="L55" s="73"/>
      <c r="M55" s="79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15"/>
      <c r="D56" s="73"/>
      <c r="E56" s="73"/>
      <c r="F56" s="73"/>
      <c r="G56" s="73"/>
      <c r="H56" s="73"/>
      <c r="I56" s="73"/>
      <c r="J56" s="73"/>
      <c r="K56" s="73"/>
      <c r="L56" s="73"/>
      <c r="M56" s="79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15"/>
      <c r="D57" s="73"/>
      <c r="E57" s="73"/>
      <c r="F57" s="73"/>
      <c r="G57" s="73"/>
      <c r="H57" s="73"/>
      <c r="I57" s="73"/>
      <c r="J57" s="73"/>
      <c r="K57" s="73"/>
      <c r="L57" s="73"/>
      <c r="M57" s="79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15"/>
      <c r="D58" s="73"/>
      <c r="E58" s="73"/>
      <c r="F58" s="73"/>
      <c r="G58" s="73"/>
      <c r="H58" s="73"/>
      <c r="I58" s="73"/>
      <c r="J58" s="73"/>
      <c r="K58" s="73"/>
      <c r="L58" s="73"/>
      <c r="M58" s="79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15"/>
      <c r="D59" s="73"/>
      <c r="E59" s="73"/>
      <c r="F59" s="73"/>
      <c r="G59" s="73"/>
      <c r="H59" s="73"/>
      <c r="I59" s="73"/>
      <c r="J59" s="73"/>
      <c r="K59" s="73"/>
      <c r="L59" s="73"/>
      <c r="M59" s="79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15"/>
      <c r="D60" s="73"/>
      <c r="E60" s="73"/>
      <c r="F60" s="73"/>
      <c r="G60" s="73"/>
      <c r="H60" s="73"/>
      <c r="I60" s="73"/>
      <c r="J60" s="73"/>
      <c r="K60" s="73"/>
      <c r="L60" s="73"/>
      <c r="M60" s="79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15"/>
      <c r="D61" s="73"/>
      <c r="E61" s="73"/>
      <c r="F61" s="73"/>
      <c r="G61" s="73"/>
      <c r="H61" s="73"/>
      <c r="I61" s="73"/>
      <c r="J61" s="73"/>
      <c r="K61" s="73"/>
      <c r="L61" s="73"/>
      <c r="M61" s="79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15"/>
      <c r="D62" s="73"/>
      <c r="E62" s="73"/>
      <c r="F62" s="73"/>
      <c r="G62" s="73"/>
      <c r="H62" s="73"/>
      <c r="I62" s="73"/>
      <c r="J62" s="73"/>
      <c r="K62" s="73"/>
      <c r="L62" s="73"/>
      <c r="M62" s="79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15"/>
      <c r="D63" s="73"/>
      <c r="E63" s="73"/>
      <c r="F63" s="73"/>
      <c r="G63" s="73"/>
      <c r="H63" s="73"/>
      <c r="I63" s="73"/>
      <c r="J63" s="73"/>
      <c r="K63" s="73"/>
      <c r="L63" s="73"/>
      <c r="M63" s="79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15"/>
      <c r="D64" s="73"/>
      <c r="E64" s="73"/>
      <c r="F64" s="73"/>
      <c r="G64" s="73"/>
      <c r="H64" s="73"/>
      <c r="I64" s="73"/>
      <c r="J64" s="73"/>
      <c r="K64" s="73"/>
      <c r="L64" s="73"/>
      <c r="M64" s="79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15"/>
      <c r="D65" s="73"/>
      <c r="E65" s="73"/>
      <c r="F65" s="73"/>
      <c r="G65" s="73"/>
      <c r="H65" s="73"/>
      <c r="I65" s="73"/>
      <c r="J65" s="73"/>
      <c r="K65" s="73"/>
      <c r="L65" s="73"/>
      <c r="M65" s="79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15"/>
      <c r="D66" s="73"/>
      <c r="E66" s="73"/>
      <c r="F66" s="73"/>
      <c r="G66" s="73"/>
      <c r="H66" s="73"/>
      <c r="I66" s="73"/>
      <c r="J66" s="73"/>
      <c r="K66" s="73"/>
      <c r="L66" s="73"/>
      <c r="M66" s="79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15"/>
      <c r="D67" s="73"/>
      <c r="E67" s="73"/>
      <c r="F67" s="73"/>
      <c r="G67" s="73"/>
      <c r="H67" s="73"/>
      <c r="I67" s="73"/>
      <c r="J67" s="73"/>
      <c r="K67" s="73"/>
      <c r="L67" s="73"/>
      <c r="M67" s="79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15"/>
      <c r="D68" s="73"/>
      <c r="E68" s="73"/>
      <c r="F68" s="73"/>
      <c r="G68" s="73"/>
      <c r="H68" s="73"/>
      <c r="I68" s="73"/>
      <c r="J68" s="73"/>
      <c r="K68" s="73"/>
      <c r="L68" s="73"/>
      <c r="M68" s="79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15"/>
      <c r="D69" s="73"/>
      <c r="E69" s="73"/>
      <c r="F69" s="73"/>
      <c r="G69" s="73"/>
      <c r="H69" s="73"/>
      <c r="I69" s="73"/>
      <c r="J69" s="73"/>
      <c r="K69" s="73"/>
      <c r="L69" s="73"/>
      <c r="M69" s="79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15"/>
      <c r="D70" s="73"/>
      <c r="E70" s="73"/>
      <c r="F70" s="73"/>
      <c r="G70" s="73"/>
      <c r="H70" s="73"/>
      <c r="I70" s="73"/>
      <c r="J70" s="73"/>
      <c r="K70" s="73"/>
      <c r="L70" s="73"/>
      <c r="M70" s="79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15"/>
      <c r="D71" s="73"/>
      <c r="E71" s="73"/>
      <c r="F71" s="73"/>
      <c r="G71" s="73"/>
      <c r="H71" s="73"/>
      <c r="I71" s="73"/>
      <c r="J71" s="73"/>
      <c r="K71" s="73"/>
      <c r="L71" s="73"/>
      <c r="M71" s="79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15"/>
      <c r="D72" s="73"/>
      <c r="E72" s="73"/>
      <c r="F72" s="73"/>
      <c r="G72" s="73"/>
      <c r="H72" s="73"/>
      <c r="I72" s="73"/>
      <c r="J72" s="73"/>
      <c r="K72" s="73"/>
      <c r="L72" s="73"/>
      <c r="M72" s="79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15"/>
      <c r="D73" s="73"/>
      <c r="E73" s="73"/>
      <c r="F73" s="73"/>
      <c r="G73" s="73"/>
      <c r="H73" s="73"/>
      <c r="I73" s="73"/>
      <c r="J73" s="73"/>
      <c r="K73" s="73"/>
      <c r="L73" s="73"/>
      <c r="M73" s="79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15"/>
      <c r="D74" s="73"/>
      <c r="E74" s="73"/>
      <c r="F74" s="73"/>
      <c r="G74" s="73"/>
      <c r="H74" s="73"/>
      <c r="I74" s="73"/>
      <c r="J74" s="73"/>
      <c r="K74" s="73"/>
      <c r="L74" s="73"/>
      <c r="M74" s="79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15"/>
      <c r="D75" s="73"/>
      <c r="E75" s="73"/>
      <c r="F75" s="73"/>
      <c r="G75" s="73"/>
      <c r="H75" s="73"/>
      <c r="I75" s="73"/>
      <c r="J75" s="73"/>
      <c r="K75" s="73"/>
      <c r="L75" s="73"/>
      <c r="M75" s="79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15"/>
      <c r="D76" s="73"/>
      <c r="E76" s="73"/>
      <c r="F76" s="73"/>
      <c r="G76" s="73"/>
      <c r="H76" s="73"/>
      <c r="I76" s="73"/>
      <c r="J76" s="73"/>
      <c r="K76" s="73"/>
      <c r="L76" s="73"/>
      <c r="M76" s="79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15"/>
      <c r="D77" s="73"/>
      <c r="E77" s="73"/>
      <c r="F77" s="73"/>
      <c r="G77" s="73"/>
      <c r="H77" s="73"/>
      <c r="I77" s="73"/>
      <c r="J77" s="73"/>
      <c r="K77" s="73"/>
      <c r="L77" s="73"/>
      <c r="M77" s="79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15"/>
      <c r="D78" s="73"/>
      <c r="E78" s="73"/>
      <c r="F78" s="73"/>
      <c r="G78" s="73"/>
      <c r="H78" s="73"/>
      <c r="I78" s="73"/>
      <c r="J78" s="73"/>
      <c r="K78" s="73"/>
      <c r="L78" s="73"/>
      <c r="M78" s="79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15"/>
      <c r="D79" s="73"/>
      <c r="E79" s="73"/>
      <c r="F79" s="73"/>
      <c r="G79" s="73"/>
      <c r="H79" s="73"/>
      <c r="I79" s="73"/>
      <c r="J79" s="73"/>
      <c r="K79" s="73"/>
      <c r="L79" s="73"/>
      <c r="M79" s="79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15"/>
      <c r="D80" s="73"/>
      <c r="E80" s="73"/>
      <c r="F80" s="73"/>
      <c r="G80" s="73"/>
      <c r="H80" s="73"/>
      <c r="I80" s="73"/>
      <c r="J80" s="73"/>
      <c r="K80" s="73"/>
      <c r="L80" s="73"/>
      <c r="M80" s="79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15"/>
      <c r="D81" s="73"/>
      <c r="E81" s="73"/>
      <c r="F81" s="73"/>
      <c r="G81" s="73"/>
      <c r="H81" s="73"/>
      <c r="I81" s="73"/>
      <c r="J81" s="73"/>
      <c r="K81" s="73"/>
      <c r="L81" s="73"/>
      <c r="M81" s="79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15"/>
      <c r="D82" s="73"/>
      <c r="E82" s="73"/>
      <c r="F82" s="73"/>
      <c r="G82" s="73"/>
      <c r="H82" s="73"/>
      <c r="I82" s="73"/>
      <c r="J82" s="73"/>
      <c r="K82" s="73"/>
      <c r="L82" s="73"/>
      <c r="M82" s="79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15"/>
      <c r="D83" s="73"/>
      <c r="E83" s="73"/>
      <c r="F83" s="73"/>
      <c r="G83" s="73"/>
      <c r="H83" s="73"/>
      <c r="I83" s="73"/>
      <c r="J83" s="73"/>
      <c r="K83" s="73"/>
      <c r="L83" s="73"/>
      <c r="M83" s="79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15"/>
      <c r="D84" s="73"/>
      <c r="E84" s="73"/>
      <c r="F84" s="73"/>
      <c r="G84" s="73"/>
      <c r="H84" s="73"/>
      <c r="I84" s="73"/>
      <c r="J84" s="73"/>
      <c r="K84" s="73"/>
      <c r="L84" s="73"/>
      <c r="M84" s="79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15"/>
      <c r="D85" s="73"/>
      <c r="E85" s="73"/>
      <c r="F85" s="73"/>
      <c r="G85" s="73"/>
      <c r="H85" s="73"/>
      <c r="I85" s="73"/>
      <c r="J85" s="73"/>
      <c r="K85" s="73"/>
      <c r="L85" s="73"/>
      <c r="M85" s="79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15"/>
      <c r="D86" s="73"/>
      <c r="E86" s="73"/>
      <c r="F86" s="73"/>
      <c r="G86" s="73"/>
      <c r="H86" s="73"/>
      <c r="I86" s="73"/>
      <c r="J86" s="73"/>
      <c r="K86" s="73"/>
      <c r="L86" s="73"/>
      <c r="M86" s="79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15"/>
      <c r="D87" s="73"/>
      <c r="E87" s="73"/>
      <c r="F87" s="73"/>
      <c r="G87" s="73"/>
      <c r="H87" s="73"/>
      <c r="I87" s="73"/>
      <c r="J87" s="73"/>
      <c r="K87" s="73"/>
      <c r="L87" s="73"/>
      <c r="M87" s="79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15"/>
      <c r="D88" s="73"/>
      <c r="E88" s="73"/>
      <c r="F88" s="73"/>
      <c r="G88" s="73"/>
      <c r="H88" s="73"/>
      <c r="I88" s="73"/>
      <c r="J88" s="73"/>
      <c r="K88" s="73"/>
      <c r="L88" s="73"/>
      <c r="M88" s="79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15"/>
      <c r="D89" s="73"/>
      <c r="E89" s="73"/>
      <c r="F89" s="73"/>
      <c r="G89" s="73"/>
      <c r="H89" s="73"/>
      <c r="I89" s="73"/>
      <c r="J89" s="73"/>
      <c r="K89" s="73"/>
      <c r="L89" s="73"/>
      <c r="M89" s="79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15"/>
      <c r="D90" s="73"/>
      <c r="E90" s="73"/>
      <c r="F90" s="73"/>
      <c r="G90" s="73"/>
      <c r="H90" s="73"/>
      <c r="I90" s="73"/>
      <c r="J90" s="73"/>
      <c r="K90" s="73"/>
      <c r="L90" s="73"/>
      <c r="M90" s="79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15"/>
      <c r="D91" s="73"/>
      <c r="E91" s="73"/>
      <c r="F91" s="73"/>
      <c r="G91" s="73"/>
      <c r="H91" s="73"/>
      <c r="I91" s="73"/>
      <c r="J91" s="73"/>
      <c r="K91" s="73"/>
      <c r="L91" s="73"/>
      <c r="M91" s="79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15"/>
      <c r="D92" s="73"/>
      <c r="E92" s="73"/>
      <c r="F92" s="73"/>
      <c r="G92" s="73"/>
      <c r="H92" s="73"/>
      <c r="I92" s="73"/>
      <c r="J92" s="73"/>
      <c r="K92" s="73"/>
      <c r="L92" s="73"/>
      <c r="M92" s="79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15"/>
      <c r="D93" s="73"/>
      <c r="E93" s="73"/>
      <c r="F93" s="73"/>
      <c r="G93" s="73"/>
      <c r="H93" s="73"/>
      <c r="I93" s="73"/>
      <c r="J93" s="73"/>
      <c r="K93" s="73"/>
      <c r="L93" s="73"/>
      <c r="M93" s="79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15"/>
      <c r="D94" s="73"/>
      <c r="E94" s="73"/>
      <c r="F94" s="73"/>
      <c r="G94" s="73"/>
      <c r="H94" s="73"/>
      <c r="I94" s="73"/>
      <c r="J94" s="73"/>
      <c r="K94" s="73"/>
      <c r="L94" s="73"/>
      <c r="M94" s="79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15"/>
      <c r="D95" s="73"/>
      <c r="E95" s="73"/>
      <c r="F95" s="73"/>
      <c r="G95" s="73"/>
      <c r="H95" s="73"/>
      <c r="I95" s="73"/>
      <c r="J95" s="73"/>
      <c r="K95" s="73"/>
      <c r="L95" s="73"/>
      <c r="M95" s="79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15"/>
      <c r="D96" s="73"/>
      <c r="E96" s="73"/>
      <c r="F96" s="73"/>
      <c r="G96" s="73"/>
      <c r="H96" s="73"/>
      <c r="I96" s="73"/>
      <c r="J96" s="73"/>
      <c r="K96" s="73"/>
      <c r="L96" s="73"/>
      <c r="M96" s="79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15"/>
      <c r="D97" s="73"/>
      <c r="E97" s="73"/>
      <c r="F97" s="73"/>
      <c r="G97" s="73"/>
      <c r="H97" s="73"/>
      <c r="I97" s="73"/>
      <c r="J97" s="73"/>
      <c r="K97" s="73"/>
      <c r="L97" s="73"/>
      <c r="M97" s="79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15"/>
      <c r="D98" s="73"/>
      <c r="E98" s="73"/>
      <c r="F98" s="73"/>
      <c r="G98" s="73"/>
      <c r="H98" s="73"/>
      <c r="I98" s="73"/>
      <c r="J98" s="73"/>
      <c r="K98" s="73"/>
      <c r="L98" s="73"/>
      <c r="M98" s="79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15"/>
      <c r="D99" s="73"/>
      <c r="E99" s="73"/>
      <c r="F99" s="73"/>
      <c r="G99" s="73"/>
      <c r="H99" s="73"/>
      <c r="I99" s="73"/>
      <c r="J99" s="73"/>
      <c r="K99" s="73"/>
      <c r="L99" s="73"/>
      <c r="M99" s="79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15"/>
      <c r="D100" s="73"/>
      <c r="E100" s="73"/>
      <c r="F100" s="73"/>
      <c r="G100" s="73"/>
      <c r="H100" s="73"/>
      <c r="I100" s="73"/>
      <c r="J100" s="73"/>
      <c r="K100" s="73"/>
      <c r="L100" s="73"/>
      <c r="M100" s="79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15"/>
      <c r="D101" s="73"/>
      <c r="E101" s="73"/>
      <c r="F101" s="73"/>
      <c r="G101" s="73"/>
      <c r="H101" s="73"/>
      <c r="I101" s="73"/>
      <c r="J101" s="73"/>
      <c r="K101" s="73"/>
      <c r="L101" s="73"/>
      <c r="M101" s="79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15"/>
      <c r="D102" s="73"/>
      <c r="E102" s="73"/>
      <c r="F102" s="73"/>
      <c r="G102" s="73"/>
      <c r="H102" s="73"/>
      <c r="I102" s="73"/>
      <c r="J102" s="73"/>
      <c r="K102" s="73"/>
      <c r="L102" s="73"/>
      <c r="M102" s="79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15"/>
      <c r="D103" s="73"/>
      <c r="E103" s="73"/>
      <c r="F103" s="73"/>
      <c r="G103" s="73"/>
      <c r="H103" s="73"/>
      <c r="I103" s="73"/>
      <c r="J103" s="73"/>
      <c r="K103" s="73"/>
      <c r="L103" s="73"/>
      <c r="M103" s="79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15"/>
      <c r="D104" s="73"/>
      <c r="E104" s="73"/>
      <c r="F104" s="73"/>
      <c r="G104" s="73"/>
      <c r="H104" s="73"/>
      <c r="I104" s="73"/>
      <c r="J104" s="73"/>
      <c r="K104" s="73"/>
      <c r="L104" s="73"/>
      <c r="M104" s="79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15"/>
      <c r="D105" s="73"/>
      <c r="E105" s="73"/>
      <c r="F105" s="73"/>
      <c r="G105" s="73"/>
      <c r="H105" s="73"/>
      <c r="I105" s="73"/>
      <c r="J105" s="73"/>
      <c r="K105" s="73"/>
      <c r="L105" s="73"/>
      <c r="M105" s="79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15"/>
      <c r="D106" s="73"/>
      <c r="E106" s="73"/>
      <c r="F106" s="73"/>
      <c r="G106" s="73"/>
      <c r="H106" s="73"/>
      <c r="I106" s="73"/>
      <c r="J106" s="73"/>
      <c r="K106" s="73"/>
      <c r="L106" s="73"/>
      <c r="M106" s="79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15"/>
      <c r="D107" s="73"/>
      <c r="E107" s="73"/>
      <c r="F107" s="73"/>
      <c r="G107" s="73"/>
      <c r="H107" s="73"/>
      <c r="I107" s="73"/>
      <c r="J107" s="73"/>
      <c r="K107" s="73"/>
      <c r="L107" s="73"/>
      <c r="M107" s="79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15"/>
      <c r="D108" s="73"/>
      <c r="E108" s="73"/>
      <c r="F108" s="73"/>
      <c r="G108" s="73"/>
      <c r="H108" s="73"/>
      <c r="I108" s="73"/>
      <c r="J108" s="73"/>
      <c r="K108" s="73"/>
      <c r="L108" s="73"/>
      <c r="M108" s="79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15"/>
      <c r="D109" s="73"/>
      <c r="E109" s="73"/>
      <c r="F109" s="73"/>
      <c r="G109" s="73"/>
      <c r="H109" s="73"/>
      <c r="I109" s="73"/>
      <c r="J109" s="73"/>
      <c r="K109" s="73"/>
      <c r="L109" s="73"/>
      <c r="M109" s="79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15"/>
      <c r="D110" s="73"/>
      <c r="E110" s="73"/>
      <c r="F110" s="73"/>
      <c r="G110" s="73"/>
      <c r="H110" s="73"/>
      <c r="I110" s="73"/>
      <c r="J110" s="73"/>
      <c r="K110" s="73"/>
      <c r="L110" s="73"/>
      <c r="M110" s="79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15"/>
      <c r="D111" s="73"/>
      <c r="E111" s="73"/>
      <c r="F111" s="73"/>
      <c r="G111" s="73"/>
      <c r="H111" s="73"/>
      <c r="I111" s="73"/>
      <c r="J111" s="73"/>
      <c r="K111" s="73"/>
      <c r="L111" s="73"/>
      <c r="M111" s="79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15"/>
      <c r="D112" s="73"/>
      <c r="E112" s="73"/>
      <c r="F112" s="73"/>
      <c r="G112" s="73"/>
      <c r="H112" s="73"/>
      <c r="I112" s="73"/>
      <c r="J112" s="73"/>
      <c r="K112" s="73"/>
      <c r="L112" s="73"/>
      <c r="M112" s="79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15"/>
      <c r="D113" s="73"/>
      <c r="E113" s="73"/>
      <c r="F113" s="73"/>
      <c r="G113" s="73"/>
      <c r="H113" s="73"/>
      <c r="I113" s="73"/>
      <c r="J113" s="73"/>
      <c r="K113" s="73"/>
      <c r="L113" s="73"/>
      <c r="M113" s="79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15"/>
      <c r="D114" s="73"/>
      <c r="E114" s="73"/>
      <c r="F114" s="73"/>
      <c r="G114" s="73"/>
      <c r="H114" s="73"/>
      <c r="I114" s="73"/>
      <c r="J114" s="73"/>
      <c r="K114" s="73"/>
      <c r="L114" s="73"/>
      <c r="M114" s="79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15"/>
      <c r="D115" s="73"/>
      <c r="E115" s="73"/>
      <c r="F115" s="73"/>
      <c r="G115" s="73"/>
      <c r="H115" s="73"/>
      <c r="I115" s="73"/>
      <c r="J115" s="73"/>
      <c r="K115" s="73"/>
      <c r="L115" s="73"/>
      <c r="M115" s="79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15"/>
      <c r="D116" s="73"/>
      <c r="E116" s="73"/>
      <c r="F116" s="73"/>
      <c r="G116" s="73"/>
      <c r="H116" s="73"/>
      <c r="I116" s="73"/>
      <c r="J116" s="73"/>
      <c r="K116" s="73"/>
      <c r="L116" s="73"/>
      <c r="M116" s="79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15"/>
      <c r="D117" s="73"/>
      <c r="E117" s="73"/>
      <c r="F117" s="73"/>
      <c r="G117" s="73"/>
      <c r="H117" s="73"/>
      <c r="I117" s="73"/>
      <c r="J117" s="73"/>
      <c r="K117" s="73"/>
      <c r="L117" s="73"/>
      <c r="M117" s="79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15"/>
      <c r="D118" s="73"/>
      <c r="E118" s="73"/>
      <c r="F118" s="73"/>
      <c r="G118" s="73"/>
      <c r="H118" s="73"/>
      <c r="I118" s="73"/>
      <c r="J118" s="73"/>
      <c r="K118" s="73"/>
      <c r="L118" s="73"/>
      <c r="M118" s="79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15"/>
      <c r="D119" s="73"/>
      <c r="E119" s="73"/>
      <c r="F119" s="73"/>
      <c r="G119" s="73"/>
      <c r="H119" s="73"/>
      <c r="I119" s="73"/>
      <c r="J119" s="73"/>
      <c r="K119" s="73"/>
      <c r="L119" s="73"/>
      <c r="M119" s="79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15"/>
      <c r="D120" s="73"/>
      <c r="E120" s="73"/>
      <c r="F120" s="73"/>
      <c r="G120" s="73"/>
      <c r="H120" s="73"/>
      <c r="I120" s="73"/>
      <c r="J120" s="73"/>
      <c r="K120" s="73"/>
      <c r="L120" s="73"/>
      <c r="M120" s="79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C121" s="15"/>
      <c r="M121" s="79"/>
      <c r="Q121" s="56" t="str">
        <f>IF(StList!F113&lt;&gt;"",StList!F113,"")</f>
        <v/>
      </c>
    </row>
    <row r="122" spans="1:17" ht="21.75" hidden="1" customHeight="1" x14ac:dyDescent="0.25">
      <c r="C122" s="15"/>
      <c r="M122" s="79"/>
    </row>
    <row r="123" spans="1:17" ht="21.75" hidden="1" customHeight="1" x14ac:dyDescent="0.25"/>
    <row r="124" spans="1:17" ht="21.75" hidden="1" customHeight="1" thickBot="1" x14ac:dyDescent="0.3">
      <c r="A124" s="256" t="s">
        <v>84</v>
      </c>
      <c r="B124" s="257"/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8"/>
    </row>
    <row r="125" spans="1:17" ht="21.75" hidden="1" customHeight="1" x14ac:dyDescent="0.25">
      <c r="A125" s="94">
        <v>1</v>
      </c>
      <c r="B125" s="259" t="s">
        <v>205</v>
      </c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2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x14ac:dyDescent="0.25">
      <c r="A127" s="92">
        <v>3</v>
      </c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260"/>
    </row>
    <row r="128" spans="1:17" ht="21.75" hidden="1" customHeight="1" thickBot="1" x14ac:dyDescent="0.3">
      <c r="A128" s="93">
        <v>4</v>
      </c>
      <c r="B128" s="270"/>
      <c r="C128" s="270"/>
      <c r="D128" s="270"/>
      <c r="E128" s="270"/>
      <c r="F128" s="270"/>
      <c r="G128" s="270"/>
      <c r="H128" s="270"/>
      <c r="I128" s="270"/>
      <c r="J128" s="270"/>
      <c r="K128" s="270"/>
      <c r="L128" s="270"/>
      <c r="M128" s="270"/>
      <c r="N128" s="271"/>
    </row>
    <row r="129" spans="1:14" ht="21.75" hidden="1" customHeight="1" thickBot="1" x14ac:dyDescent="0.3">
      <c r="A129" s="256" t="s">
        <v>85</v>
      </c>
      <c r="B129" s="257"/>
      <c r="C129" s="257"/>
      <c r="D129" s="25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8"/>
    </row>
    <row r="130" spans="1:14" ht="21.75" hidden="1" customHeight="1" x14ac:dyDescent="0.25">
      <c r="A130" s="94">
        <v>1</v>
      </c>
      <c r="B130" s="272" t="s">
        <v>207</v>
      </c>
      <c r="C130" s="272"/>
      <c r="D130" s="272"/>
      <c r="E130" s="272"/>
      <c r="F130" s="272"/>
      <c r="G130" s="272"/>
      <c r="H130" s="272"/>
      <c r="I130" s="272"/>
      <c r="J130" s="272"/>
      <c r="K130" s="272"/>
      <c r="L130" s="272"/>
      <c r="M130" s="272"/>
      <c r="N130" s="273"/>
    </row>
    <row r="131" spans="1:14" ht="21.75" hidden="1" customHeight="1" x14ac:dyDescent="0.25">
      <c r="A131" s="92">
        <v>2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x14ac:dyDescent="0.25">
      <c r="A132" s="92">
        <v>3</v>
      </c>
      <c r="B132" s="259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260"/>
    </row>
    <row r="133" spans="1:14" ht="21.75" hidden="1" customHeight="1" thickBot="1" x14ac:dyDescent="0.3">
      <c r="A133" s="93">
        <v>4</v>
      </c>
      <c r="B133" s="270"/>
      <c r="C133" s="270"/>
      <c r="D133" s="270"/>
      <c r="E133" s="270"/>
      <c r="F133" s="270"/>
      <c r="G133" s="270"/>
      <c r="H133" s="270"/>
      <c r="I133" s="270"/>
      <c r="J133" s="270"/>
      <c r="K133" s="270"/>
      <c r="L133" s="270"/>
      <c r="M133" s="270"/>
      <c r="N133" s="271"/>
    </row>
    <row r="134" spans="1:14" ht="21.75" hidden="1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ht="21.75" customHeight="1" x14ac:dyDescent="0.25">
      <c r="A135" s="274" t="s">
        <v>133</v>
      </c>
      <c r="B135" s="274"/>
      <c r="C135" s="274"/>
      <c r="D135" s="274"/>
      <c r="E135" s="274"/>
      <c r="F135" s="274"/>
      <c r="G135" s="274" t="s">
        <v>114</v>
      </c>
      <c r="H135" s="274"/>
      <c r="I135" s="274"/>
      <c r="J135" s="274" t="s">
        <v>134</v>
      </c>
      <c r="K135" s="274"/>
      <c r="L135" s="274"/>
      <c r="M135" s="274"/>
      <c r="N135" s="274"/>
    </row>
    <row r="136" spans="1:14" ht="21.75" customHeight="1" x14ac:dyDescent="0.25">
      <c r="A136" s="150" t="s">
        <v>8</v>
      </c>
      <c r="B136" s="275" t="str">
        <f>Config!B2</f>
        <v>Dr Md Tanwir Athar</v>
      </c>
      <c r="C136" s="275"/>
      <c r="D136" s="275"/>
      <c r="E136" s="275"/>
      <c r="F136" s="275"/>
      <c r="G136" s="276"/>
      <c r="H136" s="277"/>
      <c r="I136" s="278"/>
      <c r="J136" s="259" t="s">
        <v>91</v>
      </c>
      <c r="K136" s="259"/>
      <c r="L136" s="259"/>
      <c r="M136" s="259"/>
      <c r="N136" s="210"/>
    </row>
    <row r="137" spans="1:14" ht="21.75" customHeight="1" x14ac:dyDescent="0.25">
      <c r="A137" s="73" t="s">
        <v>86</v>
      </c>
      <c r="B137" s="275"/>
      <c r="C137" s="275"/>
      <c r="D137" s="275"/>
      <c r="E137" s="275"/>
      <c r="F137" s="275"/>
      <c r="G137" s="279"/>
      <c r="H137" s="280"/>
      <c r="I137" s="281"/>
      <c r="J137" s="259" t="s">
        <v>86</v>
      </c>
      <c r="K137" s="259"/>
      <c r="L137" s="259"/>
      <c r="M137" s="259"/>
      <c r="N137" s="210"/>
    </row>
  </sheetData>
  <sheetProtection sheet="1" objects="1" scenarios="1"/>
  <mergeCells count="25">
    <mergeCell ref="O1:Q3"/>
    <mergeCell ref="O9:Q9"/>
    <mergeCell ref="B136:F136"/>
    <mergeCell ref="J136:M136"/>
    <mergeCell ref="B125:N125"/>
    <mergeCell ref="B126:N126"/>
    <mergeCell ref="B127:N127"/>
    <mergeCell ref="B128:N128"/>
    <mergeCell ref="A129:N129"/>
    <mergeCell ref="B2:M2"/>
    <mergeCell ref="B1:D1"/>
    <mergeCell ref="E1:F1"/>
    <mergeCell ref="G1:J1"/>
    <mergeCell ref="L1:M1"/>
    <mergeCell ref="A124:N124"/>
    <mergeCell ref="B137:F137"/>
    <mergeCell ref="J137:M137"/>
    <mergeCell ref="B130:N130"/>
    <mergeCell ref="B131:N131"/>
    <mergeCell ref="B132:N132"/>
    <mergeCell ref="B133:N133"/>
    <mergeCell ref="A135:F135"/>
    <mergeCell ref="G135:I135"/>
    <mergeCell ref="J135:N135"/>
    <mergeCell ref="G136:I137"/>
  </mergeCells>
  <conditionalFormatting sqref="C12:C122 M13:M122 B3:N120">
    <cfRule type="cellIs" dxfId="18" priority="52" operator="equal">
      <formula>0</formula>
    </cfRule>
  </conditionalFormatting>
  <conditionalFormatting sqref="C12:C122 M13:M122 B3:N120">
    <cfRule type="containsBlanks" dxfId="17" priority="51">
      <formula>LEN(TRIM(B3))=0</formula>
    </cfRule>
  </conditionalFormatting>
  <conditionalFormatting sqref="O1:Q10">
    <cfRule type="containsBlanks" dxfId="16" priority="2">
      <formula>LEN(TRIM(O1))=0</formula>
    </cfRule>
  </conditionalFormatting>
  <conditionalFormatting sqref="O1:Q3">
    <cfRule type="containsBlanks" dxfId="1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  <pageSetUpPr fitToPage="1"/>
  </sheetPr>
  <dimension ref="A1:Q136"/>
  <sheetViews>
    <sheetView showGridLines="0" workbookViewId="0">
      <pane ySplit="10" topLeftCell="A11" activePane="bottomLeft" state="frozen"/>
      <selection activeCell="D6" sqref="D6"/>
      <selection pane="bottomLeft" activeCell="F19" sqref="F19"/>
    </sheetView>
  </sheetViews>
  <sheetFormatPr defaultColWidth="9.140625" defaultRowHeight="21.75" customHeight="1" x14ac:dyDescent="0.25"/>
  <cols>
    <col min="1" max="1" width="17.7109375" style="19" customWidth="1"/>
    <col min="2" max="9" width="6.85546875" style="19" customWidth="1"/>
    <col min="10" max="11" width="6.5703125" style="19" customWidth="1"/>
    <col min="12" max="13" width="6.85546875" style="19" customWidth="1"/>
    <col min="14" max="14" width="10.42578125" style="20" bestFit="1" customWidth="1"/>
    <col min="15" max="15" width="6.28515625" style="21" customWidth="1"/>
    <col min="16" max="16" width="6.5703125" style="19" customWidth="1"/>
    <col min="17" max="17" width="42.42578125" style="19" customWidth="1"/>
    <col min="18" max="18" width="14.85546875" style="19" customWidth="1"/>
    <col min="19" max="16384" width="9.140625" style="19"/>
  </cols>
  <sheetData>
    <row r="1" spans="1:17" s="1" customFormat="1" ht="33" customHeight="1" thickTop="1" thickBot="1" x14ac:dyDescent="0.3">
      <c r="A1" s="53" t="s">
        <v>11</v>
      </c>
      <c r="B1" s="264" t="str">
        <f>Config!A50</f>
        <v>final exam</v>
      </c>
      <c r="C1" s="265"/>
      <c r="D1" s="265"/>
      <c r="E1" s="266" t="s">
        <v>0</v>
      </c>
      <c r="F1" s="266"/>
      <c r="G1" s="267" t="str">
        <f>Config!B4</f>
        <v>Pharmacognosy-I</v>
      </c>
      <c r="H1" s="268"/>
      <c r="I1" s="268"/>
      <c r="J1" s="269"/>
      <c r="K1" s="209"/>
      <c r="L1" s="266" t="str">
        <f>Config!A10</f>
        <v>PHG301</v>
      </c>
      <c r="M1" s="266"/>
      <c r="N1" s="213"/>
      <c r="O1" s="244" t="str">
        <f>"Detailed Report for Student Outcomes in "&amp;B1</f>
        <v>Detailed Report for Student Outcomes in final exam</v>
      </c>
      <c r="P1" s="245"/>
      <c r="Q1" s="246"/>
    </row>
    <row r="2" spans="1:17" s="1" customFormat="1" ht="21.75" customHeight="1" thickTop="1" x14ac:dyDescent="0.25">
      <c r="A2" s="54" t="s">
        <v>13</v>
      </c>
      <c r="B2" s="261">
        <f>IF(SUM(B3:M3)&lt;&gt;N3,"ERROR",SUM(B3:M3))</f>
        <v>50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3"/>
      <c r="N2" s="2" t="s">
        <v>15</v>
      </c>
      <c r="O2" s="247"/>
      <c r="P2" s="248"/>
      <c r="Q2" s="249"/>
    </row>
    <row r="3" spans="1:17" s="1" customFormat="1" ht="21.75" customHeight="1" thickBot="1" x14ac:dyDescent="0.3">
      <c r="A3" s="5" t="s">
        <v>16</v>
      </c>
      <c r="B3" s="49">
        <f>IF(Config!E50&lt;&gt;"",Config!E50,"")</f>
        <v>3</v>
      </c>
      <c r="C3" s="49">
        <f>IF(Config!F50&lt;&gt;"",Config!F50,"")</f>
        <v>32</v>
      </c>
      <c r="D3" s="49">
        <f>IF(Config!G50&lt;&gt;"",Config!G50,"")</f>
        <v>10</v>
      </c>
      <c r="E3" s="49">
        <f>IF(Config!H50&lt;&gt;"",Config!H50,"")</f>
        <v>5</v>
      </c>
      <c r="F3" s="49" t="str">
        <f>IF(Config!I50&lt;&gt;"",Config!I50,"")</f>
        <v/>
      </c>
      <c r="G3" s="49" t="str">
        <f>IF(Config!J50&lt;&gt;"",Config!J50,"")</f>
        <v/>
      </c>
      <c r="H3" s="49" t="str">
        <f>IF(Config!K50&lt;&gt;"",Config!K50,"")</f>
        <v/>
      </c>
      <c r="I3" s="49" t="str">
        <f>IF(Config!L50&lt;&gt;"",Config!L50,"")</f>
        <v/>
      </c>
      <c r="J3" s="49" t="str">
        <f>IF(Config!M50&lt;&gt;"",Config!M50,"")</f>
        <v/>
      </c>
      <c r="K3" s="49" t="str">
        <f>IF(Config!N50&lt;&gt;"",Config!N50,"")</f>
        <v/>
      </c>
      <c r="L3" s="49" t="str">
        <f>IF(Config!O50&lt;&gt;"",Config!O50,"")</f>
        <v/>
      </c>
      <c r="M3" s="49" t="str">
        <f>IF(Config!P50&lt;&gt;"",Config!P50,"")</f>
        <v/>
      </c>
      <c r="N3" s="49">
        <f>SUM(B3:M3)</f>
        <v>50</v>
      </c>
      <c r="O3" s="250"/>
      <c r="P3" s="251"/>
      <c r="Q3" s="252"/>
    </row>
    <row r="4" spans="1:17" s="1" customFormat="1" ht="21.75" hidden="1" customHeight="1" thickTop="1" x14ac:dyDescent="0.25">
      <c r="A4" s="6" t="s">
        <v>17</v>
      </c>
      <c r="B4" s="50" t="s">
        <v>18</v>
      </c>
      <c r="C4" s="27" t="s">
        <v>19</v>
      </c>
      <c r="D4" s="27" t="s">
        <v>20</v>
      </c>
      <c r="E4" s="27" t="s">
        <v>21</v>
      </c>
      <c r="F4" s="27" t="s">
        <v>22</v>
      </c>
      <c r="G4" s="27" t="s">
        <v>23</v>
      </c>
      <c r="H4" s="27" t="s">
        <v>24</v>
      </c>
      <c r="I4" s="27" t="s">
        <v>25</v>
      </c>
      <c r="J4" s="27" t="s">
        <v>26</v>
      </c>
      <c r="K4" s="27"/>
      <c r="L4" s="27" t="s">
        <v>27</v>
      </c>
      <c r="M4" s="51" t="s">
        <v>28</v>
      </c>
      <c r="N4" s="6"/>
    </row>
    <row r="5" spans="1:17" s="1" customFormat="1" ht="21.75" hidden="1" customHeight="1" x14ac:dyDescent="0.25">
      <c r="A5" s="6" t="s">
        <v>29</v>
      </c>
      <c r="B5" s="7">
        <f t="shared" ref="B5:M5" si="0">IF(SUM(B11:B120)&gt;0,SUM(B11:B120),"")</f>
        <v>12</v>
      </c>
      <c r="C5" s="7">
        <f t="shared" si="0"/>
        <v>202</v>
      </c>
      <c r="D5" s="7">
        <f t="shared" si="0"/>
        <v>60</v>
      </c>
      <c r="E5" s="7">
        <f t="shared" si="0"/>
        <v>40</v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314</v>
      </c>
    </row>
    <row r="6" spans="1:17" s="1" customFormat="1" ht="21.75" hidden="1" customHeight="1" x14ac:dyDescent="0.25">
      <c r="A6" s="6" t="s">
        <v>30</v>
      </c>
      <c r="B6" s="9">
        <f t="shared" ref="B6:M6" si="1">IF(B7="","",B7*B3)</f>
        <v>27</v>
      </c>
      <c r="C6" s="9">
        <f t="shared" si="1"/>
        <v>288</v>
      </c>
      <c r="D6" s="9">
        <f t="shared" si="1"/>
        <v>90</v>
      </c>
      <c r="E6" s="9">
        <f t="shared" si="1"/>
        <v>45</v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450</v>
      </c>
    </row>
    <row r="7" spans="1:17" s="1" customFormat="1" ht="21.75" hidden="1" customHeight="1" x14ac:dyDescent="0.25">
      <c r="A7" s="6" t="s">
        <v>31</v>
      </c>
      <c r="B7" s="7">
        <f t="shared" ref="B7:M7" si="2">IF(B8="","",B5/B8)</f>
        <v>9</v>
      </c>
      <c r="C7" s="7">
        <f t="shared" si="2"/>
        <v>9</v>
      </c>
      <c r="D7" s="7">
        <f t="shared" si="2"/>
        <v>9</v>
      </c>
      <c r="E7" s="7">
        <f t="shared" si="2"/>
        <v>9</v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9</v>
      </c>
    </row>
    <row r="8" spans="1:17" s="1" customFormat="1" ht="21.75" hidden="1" customHeight="1" thickBot="1" x14ac:dyDescent="0.3">
      <c r="A8" s="6" t="s">
        <v>32</v>
      </c>
      <c r="B8" s="7">
        <f>IF(B3&lt;&gt;"",AVERAGE(B11:B121),"")</f>
        <v>1.3333333333333333</v>
      </c>
      <c r="C8" s="7">
        <f t="shared" ref="C8:M8" si="3">IF(C3&lt;&gt;"",AVERAGE(C11:C121),"")</f>
        <v>22.444444444444443</v>
      </c>
      <c r="D8" s="7">
        <f t="shared" si="3"/>
        <v>6.666666666666667</v>
      </c>
      <c r="E8" s="7">
        <f t="shared" si="3"/>
        <v>4.4444444444444446</v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34.888888888888886</v>
      </c>
    </row>
    <row r="9" spans="1:17" s="1" customFormat="1" ht="21.75" customHeight="1" thickTop="1" thickBot="1" x14ac:dyDescent="0.3">
      <c r="A9" s="10" t="s">
        <v>33</v>
      </c>
      <c r="B9" s="11">
        <f>IF(B3&lt;&gt;"",B8/B3,"")</f>
        <v>0.44444444444444442</v>
      </c>
      <c r="C9" s="11">
        <f t="shared" ref="C9:N9" si="4">IF(C3&lt;&gt;"",C8/C3,"")</f>
        <v>0.70138888888888884</v>
      </c>
      <c r="D9" s="11">
        <f t="shared" si="4"/>
        <v>0.66666666666666674</v>
      </c>
      <c r="E9" s="11">
        <f t="shared" si="4"/>
        <v>0.88888888888888895</v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0.69777777777777772</v>
      </c>
      <c r="O9" s="253" t="s">
        <v>103</v>
      </c>
      <c r="P9" s="254"/>
      <c r="Q9" s="255"/>
    </row>
    <row r="10" spans="1:17" s="1" customFormat="1" ht="21.75" customHeight="1" thickTop="1" thickBot="1" x14ac:dyDescent="0.3">
      <c r="A10" s="12" t="s">
        <v>7</v>
      </c>
      <c r="B10" s="52" t="str">
        <f>Config!E42</f>
        <v>K.1.1</v>
      </c>
      <c r="C10" s="52" t="str">
        <f>Config!F42</f>
        <v>K.1.2</v>
      </c>
      <c r="D10" s="52" t="str">
        <f>Config!G42</f>
        <v>K.2.1</v>
      </c>
      <c r="E10" s="52" t="str">
        <f>Config!H42</f>
        <v>K2.2</v>
      </c>
      <c r="F10" s="52" t="str">
        <f>Config!I42</f>
        <v>S.3.1</v>
      </c>
      <c r="G10" s="52" t="str">
        <f>Config!J42</f>
        <v>S.7.1</v>
      </c>
      <c r="H10" s="52">
        <f>Config!K42</f>
        <v>0</v>
      </c>
      <c r="I10" s="52">
        <f>Config!L42</f>
        <v>0</v>
      </c>
      <c r="J10" s="52">
        <f>Config!M42</f>
        <v>0</v>
      </c>
      <c r="K10" s="52">
        <f>Config!N42</f>
        <v>0</v>
      </c>
      <c r="L10" s="52">
        <f>Config!O42</f>
        <v>0</v>
      </c>
      <c r="M10" s="52" t="str">
        <f>Config!P42</f>
        <v>v2</v>
      </c>
      <c r="N10" s="12" t="s">
        <v>34</v>
      </c>
      <c r="O10" s="97" t="s">
        <v>3</v>
      </c>
      <c r="P10" s="97" t="s">
        <v>4</v>
      </c>
      <c r="Q10" s="122" t="s">
        <v>8</v>
      </c>
    </row>
    <row r="11" spans="1:17" s="1" customFormat="1" ht="21.75" customHeight="1" thickTop="1" x14ac:dyDescent="0.25">
      <c r="A11" s="55">
        <f>IF(StList!E3&lt;&gt;"",StList!E3,"")</f>
        <v>431003107</v>
      </c>
      <c r="B11" s="78">
        <v>0</v>
      </c>
      <c r="C11" s="15">
        <v>20</v>
      </c>
      <c r="D11" s="15">
        <v>6</v>
      </c>
      <c r="E11" s="15">
        <v>5</v>
      </c>
      <c r="F11" s="15"/>
      <c r="G11" s="15"/>
      <c r="H11" s="15"/>
      <c r="I11" s="15"/>
      <c r="J11" s="15"/>
      <c r="K11" s="15"/>
      <c r="L11" s="15"/>
      <c r="M11" s="79"/>
      <c r="N11" s="17">
        <f>IF(SUM(B11:M11),SUM(B11:M11),"")</f>
        <v>31</v>
      </c>
      <c r="O11" s="24">
        <f>IF(StList!A3&lt;&gt;"",StList!A3,"")</f>
        <v>1</v>
      </c>
      <c r="P11" s="24" t="str">
        <f>IF(StList!B3&lt;&gt;"",StList!B3,"")</f>
        <v>Pharmaceutical sciences</v>
      </c>
      <c r="Q11" s="56" t="str">
        <f>IF(StList!F3&lt;&gt;"",StList!F3,"")</f>
        <v> SADEEM FAHAD S ALSEDRANI</v>
      </c>
    </row>
    <row r="12" spans="1:17" s="1" customFormat="1" ht="21.75" customHeight="1" x14ac:dyDescent="0.25">
      <c r="A12" s="55">
        <f>IF(StList!E4&lt;&gt;"",StList!E4,"")</f>
        <v>431003423</v>
      </c>
      <c r="B12" s="80">
        <v>2</v>
      </c>
      <c r="C12" s="18">
        <v>19</v>
      </c>
      <c r="D12" s="18">
        <v>8</v>
      </c>
      <c r="E12" s="18">
        <v>5</v>
      </c>
      <c r="F12" s="18"/>
      <c r="G12" s="18"/>
      <c r="H12" s="18"/>
      <c r="I12" s="18"/>
      <c r="J12" s="18"/>
      <c r="K12" s="18"/>
      <c r="L12" s="18"/>
      <c r="M12" s="81"/>
      <c r="N12" s="17">
        <f t="shared" ref="N12:N75" si="5">IF(SUM(B12:M12),SUM(B12:M12),"")</f>
        <v>34</v>
      </c>
      <c r="O12" s="24">
        <f>IF(StList!A4&lt;&gt;"",StList!A4,"")</f>
        <v>2</v>
      </c>
      <c r="P12" s="24" t="str">
        <f>IF(StList!B4&lt;&gt;"",StList!B4,"")</f>
        <v>Pharmaceutical sciences</v>
      </c>
      <c r="Q12" s="56" t="str">
        <f>IF(StList!F4&lt;&gt;"",StList!F4,"")</f>
        <v> ROBA RABAH H ALHARBI</v>
      </c>
    </row>
    <row r="13" spans="1:17" s="1" customFormat="1" ht="21.75" customHeight="1" x14ac:dyDescent="0.25">
      <c r="A13" s="55">
        <f>IF(StList!E5&lt;&gt;"",StList!E5,"")</f>
        <v>431003483</v>
      </c>
      <c r="B13" s="80">
        <v>1</v>
      </c>
      <c r="C13" s="18">
        <v>23</v>
      </c>
      <c r="D13" s="18">
        <v>6</v>
      </c>
      <c r="E13" s="18">
        <v>5</v>
      </c>
      <c r="F13" s="18"/>
      <c r="G13" s="18"/>
      <c r="H13" s="18"/>
      <c r="I13" s="18"/>
      <c r="J13" s="18"/>
      <c r="K13" s="18"/>
      <c r="L13" s="18"/>
      <c r="M13" s="81"/>
      <c r="N13" s="17">
        <f t="shared" si="5"/>
        <v>35</v>
      </c>
      <c r="O13" s="24">
        <f>IF(StList!A5&lt;&gt;"",StList!A5,"")</f>
        <v>3</v>
      </c>
      <c r="P13" s="24" t="str">
        <f>IF(StList!B5&lt;&gt;"",StList!B5,"")</f>
        <v>Pharmaceutical sciences</v>
      </c>
      <c r="Q13" s="56" t="str">
        <f>IF(StList!F5&lt;&gt;"",StList!F5,"")</f>
        <v> NUJUD KHAIFAH A ALAMMAR</v>
      </c>
    </row>
    <row r="14" spans="1:17" s="1" customFormat="1" ht="21.75" customHeight="1" x14ac:dyDescent="0.25">
      <c r="A14" s="55">
        <f>IF(StList!E6&lt;&gt;"",StList!E6,"")</f>
        <v>432003601</v>
      </c>
      <c r="B14" s="80">
        <v>2</v>
      </c>
      <c r="C14" s="18">
        <v>25</v>
      </c>
      <c r="D14" s="18">
        <v>8</v>
      </c>
      <c r="E14" s="18">
        <v>5</v>
      </c>
      <c r="F14" s="18"/>
      <c r="G14" s="18"/>
      <c r="H14" s="18"/>
      <c r="I14" s="18"/>
      <c r="J14" s="18"/>
      <c r="K14" s="18"/>
      <c r="L14" s="18"/>
      <c r="M14" s="81"/>
      <c r="N14" s="17">
        <f t="shared" si="5"/>
        <v>40</v>
      </c>
      <c r="O14" s="24">
        <f>IF(StList!A6&lt;&gt;"",StList!A6,"")</f>
        <v>4</v>
      </c>
      <c r="P14" s="24" t="str">
        <f>IF(StList!B6&lt;&gt;"",StList!B6,"")</f>
        <v>Pharmaceutical sciences</v>
      </c>
      <c r="Q14" s="56" t="str">
        <f>IF(StList!F6&lt;&gt;"",StList!F6,"")</f>
        <v> RINA KHALID S ALABDULRAHIM</v>
      </c>
    </row>
    <row r="15" spans="1:17" s="1" customFormat="1" ht="21.75" customHeight="1" x14ac:dyDescent="0.25">
      <c r="A15" s="55">
        <f>IF(StList!E7&lt;&gt;"",StList!E7,"")</f>
        <v>432003648</v>
      </c>
      <c r="B15" s="80">
        <v>2</v>
      </c>
      <c r="C15" s="18">
        <v>22</v>
      </c>
      <c r="D15" s="18">
        <v>6</v>
      </c>
      <c r="E15" s="18">
        <v>5</v>
      </c>
      <c r="F15" s="18"/>
      <c r="G15" s="18"/>
      <c r="H15" s="18"/>
      <c r="I15" s="18"/>
      <c r="J15" s="18"/>
      <c r="K15" s="18"/>
      <c r="L15" s="18"/>
      <c r="M15" s="81"/>
      <c r="N15" s="17">
        <f t="shared" si="5"/>
        <v>35</v>
      </c>
      <c r="O15" s="24">
        <f>IF(StList!A7&lt;&gt;"",StList!A7,"")</f>
        <v>5</v>
      </c>
      <c r="P15" s="24" t="str">
        <f>IF(StList!B7&lt;&gt;"",StList!B7,"")</f>
        <v>Pharmaceutical sciences</v>
      </c>
      <c r="Q15" s="56" t="str">
        <f>IF(StList!F7&lt;&gt;"",StList!F7,"")</f>
        <v> HANEEN HAJJI E ALHARBI</v>
      </c>
    </row>
    <row r="16" spans="1:17" ht="21.75" customHeight="1" x14ac:dyDescent="0.25">
      <c r="A16" s="55">
        <f>IF(StList!E8&lt;&gt;"",StList!E8,"")</f>
        <v>432003748</v>
      </c>
      <c r="B16" s="80">
        <v>1</v>
      </c>
      <c r="C16" s="220">
        <v>25</v>
      </c>
      <c r="D16" s="18">
        <v>7</v>
      </c>
      <c r="E16" s="18">
        <v>5</v>
      </c>
      <c r="F16" s="18"/>
      <c r="G16" s="18"/>
      <c r="H16" s="18"/>
      <c r="I16" s="18"/>
      <c r="J16" s="18"/>
      <c r="K16" s="18"/>
      <c r="L16" s="18"/>
      <c r="M16" s="81"/>
      <c r="N16" s="17">
        <f t="shared" si="5"/>
        <v>38</v>
      </c>
      <c r="O16" s="24">
        <f>IF(StList!A8&lt;&gt;"",StList!A8,"")</f>
        <v>6</v>
      </c>
      <c r="P16" s="24" t="str">
        <f>IF(StList!B8&lt;&gt;"",StList!B8,"")</f>
        <v>Pharmaceutical sciences</v>
      </c>
      <c r="Q16" s="56" t="str">
        <f>IF(StList!F8&lt;&gt;"",StList!F8,"")</f>
        <v> REEM MANSWER A AJEB</v>
      </c>
    </row>
    <row r="17" spans="1:17" ht="21.75" customHeight="1" x14ac:dyDescent="0.25">
      <c r="A17" s="55">
        <f>IF(StList!E9&lt;&gt;"",StList!E9,"")</f>
        <v>452003804</v>
      </c>
      <c r="B17" s="3">
        <v>2</v>
      </c>
      <c r="C17" s="73">
        <v>24</v>
      </c>
      <c r="D17" s="73">
        <v>10</v>
      </c>
      <c r="E17" s="73">
        <v>5</v>
      </c>
      <c r="F17" s="73"/>
      <c r="G17" s="73"/>
      <c r="H17" s="73"/>
      <c r="I17" s="73"/>
      <c r="J17" s="73"/>
      <c r="K17" s="73"/>
      <c r="L17" s="73"/>
      <c r="M17" s="4"/>
      <c r="N17" s="17">
        <f t="shared" si="5"/>
        <v>41</v>
      </c>
      <c r="O17" s="24">
        <f>IF(StList!A9&lt;&gt;"",StList!A9,"")</f>
        <v>7</v>
      </c>
      <c r="P17" s="24" t="str">
        <f>IF(StList!B9&lt;&gt;"",StList!B9,"")</f>
        <v>Pharmaceutical sciences</v>
      </c>
      <c r="Q17" s="56" t="str">
        <f>IF(StList!F9&lt;&gt;"",StList!F9,"")</f>
        <v> JULIEN KHALID M ALKHALDI</v>
      </c>
    </row>
    <row r="18" spans="1:17" ht="21.75" customHeight="1" x14ac:dyDescent="0.25">
      <c r="A18" s="55">
        <f>IF(StList!E10&lt;&gt;"",StList!E10,"")</f>
        <v>452003886</v>
      </c>
      <c r="B18" s="3">
        <v>2</v>
      </c>
      <c r="C18" s="73">
        <v>26</v>
      </c>
      <c r="D18" s="73">
        <v>7</v>
      </c>
      <c r="E18" s="73">
        <v>4</v>
      </c>
      <c r="F18" s="73"/>
      <c r="G18" s="73"/>
      <c r="H18" s="73"/>
      <c r="I18" s="73"/>
      <c r="J18" s="73"/>
      <c r="K18" s="73"/>
      <c r="L18" s="73"/>
      <c r="M18" s="4"/>
      <c r="N18" s="17">
        <f t="shared" si="5"/>
        <v>39</v>
      </c>
      <c r="O18" s="24">
        <f>IF(StList!A10&lt;&gt;"",StList!A10,"")</f>
        <v>8</v>
      </c>
      <c r="P18" s="24" t="str">
        <f>IF(StList!B10&lt;&gt;"",StList!B10,"")</f>
        <v>Pharmaceutical sciences</v>
      </c>
      <c r="Q18" s="56" t="str">
        <f>IF(StList!F10&lt;&gt;"",StList!F10,"")</f>
        <v> SAFFANAH ABDULAZIZ A ALZAYDI</v>
      </c>
    </row>
    <row r="19" spans="1:17" ht="21.75" customHeight="1" x14ac:dyDescent="0.25">
      <c r="A19" s="55">
        <f>IF(StList!E11&lt;&gt;"",StList!E11,"")</f>
        <v>461003576</v>
      </c>
      <c r="B19" s="3">
        <v>0</v>
      </c>
      <c r="C19" s="73">
        <v>18</v>
      </c>
      <c r="D19" s="73">
        <v>2</v>
      </c>
      <c r="E19" s="73">
        <v>1</v>
      </c>
      <c r="F19" s="73"/>
      <c r="G19" s="73"/>
      <c r="H19" s="73"/>
      <c r="I19" s="73"/>
      <c r="J19" s="73"/>
      <c r="K19" s="73"/>
      <c r="L19" s="73"/>
      <c r="M19" s="4"/>
      <c r="N19" s="17">
        <f t="shared" si="5"/>
        <v>21</v>
      </c>
      <c r="O19" s="24">
        <f>IF(StList!A11&lt;&gt;"",StList!A11,"")</f>
        <v>9</v>
      </c>
      <c r="P19" s="24" t="str">
        <f>IF(StList!B11&lt;&gt;"",StList!B11,"")</f>
        <v>Pharmaceutical sciences</v>
      </c>
      <c r="Q19" s="56" t="str">
        <f>IF(StList!F11&lt;&gt;"",StList!F11,"")</f>
        <v> SHAIMA BASSAM M ALALI</v>
      </c>
    </row>
    <row r="20" spans="1:17" ht="21.75" hidden="1" customHeight="1" x14ac:dyDescent="0.25">
      <c r="A20" s="55" t="str">
        <f>IF(StList!E12&lt;&gt;"",StList!E12,"")</f>
        <v/>
      </c>
      <c r="B20" s="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4"/>
      <c r="N20" s="17" t="str">
        <f t="shared" si="5"/>
        <v/>
      </c>
      <c r="O20" s="24">
        <f>IF(StList!A12&lt;&gt;"",StList!A12,"")</f>
        <v>10</v>
      </c>
      <c r="P20" s="24" t="str">
        <f>IF(StList!B12&lt;&gt;"",StList!B12,"")</f>
        <v>Pharmaceutical sciences</v>
      </c>
      <c r="Q20" s="56" t="str">
        <f>IF(StList!F12&lt;&gt;"",StList!F12,"")</f>
        <v/>
      </c>
    </row>
    <row r="21" spans="1:17" ht="21.75" hidden="1" customHeight="1" x14ac:dyDescent="0.25">
      <c r="A21" s="55" t="str">
        <f>IF(StList!E13&lt;&gt;"",StList!E13,"")</f>
        <v/>
      </c>
      <c r="B21" s="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4"/>
      <c r="N21" s="17" t="str">
        <f t="shared" si="5"/>
        <v/>
      </c>
      <c r="O21" s="24">
        <f>IF(StList!A13&lt;&gt;"",StList!A13,"")</f>
        <v>11</v>
      </c>
      <c r="P21" s="24" t="str">
        <f>IF(StList!B13&lt;&gt;"",StList!B13,"")</f>
        <v>Pharmaceutical sciences</v>
      </c>
      <c r="Q21" s="56" t="str">
        <f>IF(StList!F13&lt;&gt;"",StList!F13,"")</f>
        <v/>
      </c>
    </row>
    <row r="22" spans="1:17" ht="21.75" hidden="1" customHeight="1" x14ac:dyDescent="0.25">
      <c r="A22" s="55" t="str">
        <f>IF(StList!E14&lt;&gt;"",StList!E14,"")</f>
        <v/>
      </c>
      <c r="B22" s="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4"/>
      <c r="N22" s="17" t="str">
        <f t="shared" si="5"/>
        <v/>
      </c>
      <c r="O22" s="24">
        <f>IF(StList!A14&lt;&gt;"",StList!A14,"")</f>
        <v>12</v>
      </c>
      <c r="P22" s="24" t="str">
        <f>IF(StList!B14&lt;&gt;"",StList!B14,"")</f>
        <v>Pharmaceutical sciences</v>
      </c>
      <c r="Q22" s="56" t="str">
        <f>IF(StList!F14&lt;&gt;"",StList!F14,"")</f>
        <v/>
      </c>
    </row>
    <row r="23" spans="1:17" ht="21.75" hidden="1" customHeight="1" x14ac:dyDescent="0.25">
      <c r="A23" s="55" t="str">
        <f>IF(StList!E15&lt;&gt;"",StList!E15,"")</f>
        <v/>
      </c>
      <c r="B23" s="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4"/>
      <c r="N23" s="17" t="str">
        <f t="shared" si="5"/>
        <v/>
      </c>
      <c r="O23" s="24">
        <f>IF(StList!A15&lt;&gt;"",StList!A15,"")</f>
        <v>13</v>
      </c>
      <c r="P23" s="24" t="str">
        <f>IF(StList!B15&lt;&gt;"",StList!B15,"")</f>
        <v>Pharmaceutical sciences</v>
      </c>
      <c r="Q23" s="56" t="str">
        <f>IF(StList!F15&lt;&gt;"",StList!F15,"")</f>
        <v/>
      </c>
    </row>
    <row r="24" spans="1:17" ht="21.75" hidden="1" customHeight="1" x14ac:dyDescent="0.25">
      <c r="A24" s="55" t="str">
        <f>IF(StList!E16&lt;&gt;"",StList!E16,"")</f>
        <v/>
      </c>
      <c r="B24" s="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4"/>
      <c r="N24" s="17" t="str">
        <f t="shared" si="5"/>
        <v/>
      </c>
      <c r="O24" s="24">
        <f>IF(StList!A16&lt;&gt;"",StList!A16,"")</f>
        <v>14</v>
      </c>
      <c r="P24" s="24" t="str">
        <f>IF(StList!B16&lt;&gt;"",StList!B16,"")</f>
        <v>Pharmaceutical sciences</v>
      </c>
      <c r="Q24" s="56" t="str">
        <f>IF(StList!F16&lt;&gt;"",StList!F16,"")</f>
        <v/>
      </c>
    </row>
    <row r="25" spans="1:17" ht="21.75" hidden="1" customHeight="1" x14ac:dyDescent="0.25">
      <c r="A25" s="55" t="str">
        <f>IF(StList!E17&lt;&gt;"",StList!E17,"")</f>
        <v/>
      </c>
      <c r="B25" s="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4"/>
      <c r="N25" s="17" t="str">
        <f t="shared" si="5"/>
        <v/>
      </c>
      <c r="O25" s="24">
        <f>IF(StList!A17&lt;&gt;"",StList!A17,"")</f>
        <v>15</v>
      </c>
      <c r="P25" s="24" t="str">
        <f>IF(StList!B17&lt;&gt;"",StList!B17,"")</f>
        <v>Pharmaceutical sciences</v>
      </c>
      <c r="Q25" s="56" t="str">
        <f>IF(StList!F17&lt;&gt;"",StList!F17,"")</f>
        <v/>
      </c>
    </row>
    <row r="26" spans="1:17" ht="21.75" hidden="1" customHeight="1" x14ac:dyDescent="0.25">
      <c r="A26" s="55" t="str">
        <f>IF(StList!E18&lt;&gt;"",StList!E18,"")</f>
        <v/>
      </c>
      <c r="B26" s="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4"/>
      <c r="N26" s="17" t="str">
        <f t="shared" si="5"/>
        <v/>
      </c>
      <c r="O26" s="24">
        <f>IF(StList!A18&lt;&gt;"",StList!A18,"")</f>
        <v>16</v>
      </c>
      <c r="P26" s="24" t="str">
        <f>IF(StList!B18&lt;&gt;"",StList!B18,"")</f>
        <v>Pharmaceutical sciences</v>
      </c>
      <c r="Q26" s="56" t="str">
        <f>IF(StList!F18&lt;&gt;"",StList!F18,"")</f>
        <v/>
      </c>
    </row>
    <row r="27" spans="1:17" ht="21.75" hidden="1" customHeight="1" x14ac:dyDescent="0.25">
      <c r="A27" s="55" t="str">
        <f>IF(StList!E19&lt;&gt;"",StList!E19,"")</f>
        <v/>
      </c>
      <c r="B27" s="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4"/>
      <c r="N27" s="17" t="str">
        <f t="shared" si="5"/>
        <v/>
      </c>
      <c r="O27" s="24">
        <f>IF(StList!A19&lt;&gt;"",StList!A19,"")</f>
        <v>17</v>
      </c>
      <c r="P27" s="24" t="str">
        <f>IF(StList!B19&lt;&gt;"",StList!B19,"")</f>
        <v>Pharmaceutical sciences</v>
      </c>
      <c r="Q27" s="56" t="str">
        <f>IF(StList!F19&lt;&gt;"",StList!F19,"")</f>
        <v/>
      </c>
    </row>
    <row r="28" spans="1:17" ht="21.75" hidden="1" customHeight="1" x14ac:dyDescent="0.25">
      <c r="A28" s="55" t="str">
        <f>IF(StList!E20&lt;&gt;"",StList!E20,"")</f>
        <v/>
      </c>
      <c r="B28" s="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4"/>
      <c r="N28" s="17" t="str">
        <f t="shared" si="5"/>
        <v/>
      </c>
      <c r="O28" s="24">
        <f>IF(StList!A20&lt;&gt;"",StList!A20,"")</f>
        <v>18</v>
      </c>
      <c r="P28" s="24" t="str">
        <f>IF(StList!B20&lt;&gt;"",StList!B20,"")</f>
        <v>Pharmaceutical sciences</v>
      </c>
      <c r="Q28" s="56" t="str">
        <f>IF(StList!F20&lt;&gt;"",StList!F20,"")</f>
        <v/>
      </c>
    </row>
    <row r="29" spans="1:17" ht="21.75" hidden="1" customHeight="1" x14ac:dyDescent="0.25">
      <c r="A29" s="55" t="str">
        <f>IF(StList!E21&lt;&gt;"",StList!E21,"")</f>
        <v/>
      </c>
      <c r="B29" s="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4"/>
      <c r="N29" s="17" t="str">
        <f t="shared" si="5"/>
        <v/>
      </c>
      <c r="O29" s="24">
        <f>IF(StList!A21&lt;&gt;"",StList!A21,"")</f>
        <v>19</v>
      </c>
      <c r="P29" s="24" t="str">
        <f>IF(StList!B21&lt;&gt;"",StList!B21,"")</f>
        <v>Pharmaceutical sciences</v>
      </c>
      <c r="Q29" s="56" t="str">
        <f>IF(StList!F21&lt;&gt;"",StList!F21,"")</f>
        <v/>
      </c>
    </row>
    <row r="30" spans="1:17" ht="21.75" hidden="1" customHeight="1" x14ac:dyDescent="0.25">
      <c r="A30" s="55" t="str">
        <f>IF(StList!E22&lt;&gt;"",StList!E22,"")</f>
        <v/>
      </c>
      <c r="B30" s="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4"/>
      <c r="N30" s="17" t="str">
        <f t="shared" si="5"/>
        <v/>
      </c>
      <c r="O30" s="24">
        <f>IF(StList!A22&lt;&gt;"",StList!A22,"")</f>
        <v>20</v>
      </c>
      <c r="P30" s="24" t="str">
        <f>IF(StList!B22&lt;&gt;"",StList!B22,"")</f>
        <v>Pharmaceutical sciences</v>
      </c>
      <c r="Q30" s="56" t="str">
        <f>IF(StList!F22&lt;&gt;"",StList!F22,"")</f>
        <v/>
      </c>
    </row>
    <row r="31" spans="1:17" ht="21.75" hidden="1" customHeight="1" x14ac:dyDescent="0.25">
      <c r="A31" s="55" t="str">
        <f>IF(StList!E23&lt;&gt;"",StList!E23,"")</f>
        <v/>
      </c>
      <c r="B31" s="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4"/>
      <c r="N31" s="17" t="str">
        <f t="shared" si="5"/>
        <v/>
      </c>
      <c r="O31" s="24">
        <f>IF(StList!A23&lt;&gt;"",StList!A23,"")</f>
        <v>21</v>
      </c>
      <c r="P31" s="24" t="str">
        <f>IF(StList!B23&lt;&gt;"",StList!B23,"")</f>
        <v>Pharmaceutical sciences</v>
      </c>
      <c r="Q31" s="56" t="str">
        <f>IF(StList!F23&lt;&gt;"",StList!F23,"")</f>
        <v/>
      </c>
    </row>
    <row r="32" spans="1:17" ht="21.75" hidden="1" customHeight="1" x14ac:dyDescent="0.25">
      <c r="A32" s="55" t="str">
        <f>IF(StList!E24&lt;&gt;"",StList!E24,"")</f>
        <v/>
      </c>
      <c r="B32" s="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4"/>
      <c r="N32" s="17" t="str">
        <f t="shared" si="5"/>
        <v/>
      </c>
      <c r="O32" s="24">
        <f>IF(StList!A24&lt;&gt;"",StList!A24,"")</f>
        <v>22</v>
      </c>
      <c r="P32" s="24" t="str">
        <f>IF(StList!B24&lt;&gt;"",StList!B24,"")</f>
        <v>Pharmaceutical sciences</v>
      </c>
      <c r="Q32" s="56" t="str">
        <f>IF(StList!F24&lt;&gt;"",StList!F24,"")</f>
        <v/>
      </c>
    </row>
    <row r="33" spans="1:17" ht="21.75" hidden="1" customHeight="1" x14ac:dyDescent="0.25">
      <c r="A33" s="55" t="str">
        <f>IF(StList!E25&lt;&gt;"",StList!E25,"")</f>
        <v/>
      </c>
      <c r="B33" s="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4"/>
      <c r="N33" s="17" t="str">
        <f t="shared" si="5"/>
        <v/>
      </c>
      <c r="O33" s="24">
        <f>IF(StList!A25&lt;&gt;"",StList!A25,"")</f>
        <v>23</v>
      </c>
      <c r="P33" s="24" t="str">
        <f>IF(StList!B25&lt;&gt;"",StList!B25,"")</f>
        <v>Pharmaceutical sciences</v>
      </c>
      <c r="Q33" s="56" t="str">
        <f>IF(StList!F25&lt;&gt;"",StList!F25,"")</f>
        <v/>
      </c>
    </row>
    <row r="34" spans="1:17" ht="21.75" hidden="1" customHeight="1" x14ac:dyDescent="0.25">
      <c r="A34" s="55" t="str">
        <f>IF(StList!E26&lt;&gt;"",StList!E26,"")</f>
        <v/>
      </c>
      <c r="B34" s="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4"/>
      <c r="N34" s="17" t="str">
        <f t="shared" si="5"/>
        <v/>
      </c>
      <c r="O34" s="24">
        <f>IF(StList!A26&lt;&gt;"",StList!A26,"")</f>
        <v>24</v>
      </c>
      <c r="P34" s="24" t="str">
        <f>IF(StList!B26&lt;&gt;"",StList!B26,"")</f>
        <v>Pharmaceutical sciences</v>
      </c>
      <c r="Q34" s="56" t="str">
        <f>IF(StList!F26&lt;&gt;"",StList!F26,"")</f>
        <v/>
      </c>
    </row>
    <row r="35" spans="1:17" ht="21.75" hidden="1" customHeight="1" x14ac:dyDescent="0.25">
      <c r="A35" s="55" t="str">
        <f>IF(StList!E27&lt;&gt;"",StList!E27,"")</f>
        <v/>
      </c>
      <c r="B35" s="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4"/>
      <c r="N35" s="17" t="str">
        <f t="shared" si="5"/>
        <v/>
      </c>
      <c r="O35" s="24">
        <f>IF(StList!A27&lt;&gt;"",StList!A27,"")</f>
        <v>25</v>
      </c>
      <c r="P35" s="24" t="str">
        <f>IF(StList!B27&lt;&gt;"",StList!B27,"")</f>
        <v>Pharmaceutical sciences</v>
      </c>
      <c r="Q35" s="56" t="str">
        <f>IF(StList!F27&lt;&gt;"",StList!F27,"")</f>
        <v/>
      </c>
    </row>
    <row r="36" spans="1:17" ht="21.75" hidden="1" customHeight="1" x14ac:dyDescent="0.25">
      <c r="A36" s="55" t="str">
        <f>IF(StList!E28&lt;&gt;"",StList!E28,"")</f>
        <v/>
      </c>
      <c r="B36" s="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4"/>
      <c r="N36" s="17" t="str">
        <f t="shared" si="5"/>
        <v/>
      </c>
      <c r="O36" s="24">
        <f>IF(StList!A28&lt;&gt;"",StList!A28,"")</f>
        <v>26</v>
      </c>
      <c r="P36" s="24" t="str">
        <f>IF(StList!B28&lt;&gt;"",StList!B28,"")</f>
        <v>Pharmaceutical sciences</v>
      </c>
      <c r="Q36" s="56" t="str">
        <f>IF(StList!F28&lt;&gt;"",StList!F28,"")</f>
        <v/>
      </c>
    </row>
    <row r="37" spans="1:17" ht="21.75" hidden="1" customHeight="1" x14ac:dyDescent="0.25">
      <c r="A37" s="55" t="str">
        <f>IF(StList!E29&lt;&gt;"",StList!E29,"")</f>
        <v/>
      </c>
      <c r="B37" s="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4"/>
      <c r="N37" s="17" t="str">
        <f t="shared" si="5"/>
        <v/>
      </c>
      <c r="O37" s="24">
        <f>IF(StList!A29&lt;&gt;"",StList!A29,"")</f>
        <v>27</v>
      </c>
      <c r="P37" s="24" t="str">
        <f>IF(StList!B29&lt;&gt;"",StList!B29,"")</f>
        <v>Pharmaceutical sciences</v>
      </c>
      <c r="Q37" s="56" t="str">
        <f>IF(StList!F29&lt;&gt;"",StList!F29,"")</f>
        <v/>
      </c>
    </row>
    <row r="38" spans="1:17" ht="21.75" hidden="1" customHeight="1" x14ac:dyDescent="0.25">
      <c r="A38" s="55" t="str">
        <f>IF(StList!E30&lt;&gt;"",StList!E30,"")</f>
        <v/>
      </c>
      <c r="B38" s="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4"/>
      <c r="N38" s="17" t="str">
        <f t="shared" si="5"/>
        <v/>
      </c>
      <c r="O38" s="24">
        <f>IF(StList!A30&lt;&gt;"",StList!A30,"")</f>
        <v>28</v>
      </c>
      <c r="P38" s="24" t="str">
        <f>IF(StList!B30&lt;&gt;"",StList!B30,"")</f>
        <v>Pharmaceutical sciences</v>
      </c>
      <c r="Q38" s="56" t="str">
        <f>IF(StList!F30&lt;&gt;"",StList!F30,"")</f>
        <v/>
      </c>
    </row>
    <row r="39" spans="1:17" ht="21.75" hidden="1" customHeight="1" x14ac:dyDescent="0.25">
      <c r="A39" s="55" t="str">
        <f>IF(StList!E31&lt;&gt;"",StList!E31,"")</f>
        <v/>
      </c>
      <c r="B39" s="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4"/>
      <c r="N39" s="17" t="str">
        <f t="shared" si="5"/>
        <v/>
      </c>
      <c r="O39" s="24">
        <f>IF(StList!A31&lt;&gt;"",StList!A31,"")</f>
        <v>29</v>
      </c>
      <c r="P39" s="24" t="str">
        <f>IF(StList!B31&lt;&gt;"",StList!B31,"")</f>
        <v>Pharmaceutical sciences</v>
      </c>
      <c r="Q39" s="56" t="str">
        <f>IF(StList!F31&lt;&gt;"",StList!F31,"")</f>
        <v/>
      </c>
    </row>
    <row r="40" spans="1:17" ht="21.75" hidden="1" customHeight="1" x14ac:dyDescent="0.25">
      <c r="A40" s="55" t="str">
        <f>IF(StList!E32&lt;&gt;"",StList!E32,"")</f>
        <v/>
      </c>
      <c r="B40" s="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4"/>
      <c r="N40" s="17" t="str">
        <f t="shared" si="5"/>
        <v/>
      </c>
      <c r="O40" s="24">
        <f>IF(StList!A32&lt;&gt;"",StList!A32,"")</f>
        <v>30</v>
      </c>
      <c r="P40" s="24" t="str">
        <f>IF(StList!B32&lt;&gt;"",StList!B32,"")</f>
        <v>Pharmaceutical sciences</v>
      </c>
      <c r="Q40" s="56" t="str">
        <f>IF(StList!F32&lt;&gt;"",StList!F32,"")</f>
        <v/>
      </c>
    </row>
    <row r="41" spans="1:17" ht="21.75" hidden="1" customHeight="1" x14ac:dyDescent="0.25">
      <c r="A41" s="55" t="str">
        <f>IF(StList!E33&lt;&gt;"",StList!E33,"")</f>
        <v/>
      </c>
      <c r="B41" s="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4"/>
      <c r="N41" s="17" t="str">
        <f t="shared" si="5"/>
        <v/>
      </c>
      <c r="O41" s="24">
        <f>IF(StList!A33&lt;&gt;"",StList!A33,"")</f>
        <v>31</v>
      </c>
      <c r="P41" s="24" t="str">
        <f>IF(StList!B33&lt;&gt;"",StList!B33,"")</f>
        <v>Pharmaceutical sciences</v>
      </c>
      <c r="Q41" s="56" t="str">
        <f>IF(StList!F33&lt;&gt;"",StList!F33,"")</f>
        <v/>
      </c>
    </row>
    <row r="42" spans="1:17" ht="21.75" hidden="1" customHeight="1" x14ac:dyDescent="0.25">
      <c r="A42" s="55" t="str">
        <f>IF(StList!E34&lt;&gt;"",StList!E34,"")</f>
        <v/>
      </c>
      <c r="B42" s="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4"/>
      <c r="N42" s="17" t="str">
        <f t="shared" si="5"/>
        <v/>
      </c>
      <c r="O42" s="24">
        <f>IF(StList!A34&lt;&gt;"",StList!A34,"")</f>
        <v>32</v>
      </c>
      <c r="P42" s="24" t="str">
        <f>IF(StList!B34&lt;&gt;"",StList!B34,"")</f>
        <v>Pharmaceutical sciences</v>
      </c>
      <c r="Q42" s="56" t="str">
        <f>IF(StList!F34&lt;&gt;"",StList!F34,"")</f>
        <v/>
      </c>
    </row>
    <row r="43" spans="1:17" ht="21.75" hidden="1" customHeight="1" x14ac:dyDescent="0.25">
      <c r="A43" s="55" t="str">
        <f>IF(StList!E35&lt;&gt;"",StList!E35,"")</f>
        <v/>
      </c>
      <c r="B43" s="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4"/>
      <c r="N43" s="17" t="str">
        <f t="shared" si="5"/>
        <v/>
      </c>
      <c r="O43" s="24">
        <f>IF(StList!A35&lt;&gt;"",StList!A35,"")</f>
        <v>33</v>
      </c>
      <c r="P43" s="24" t="str">
        <f>IF(StList!B35&lt;&gt;"",StList!B35,"")</f>
        <v>Pharmaceutical sciences</v>
      </c>
      <c r="Q43" s="56" t="str">
        <f>IF(StList!F35&lt;&gt;"",StList!F35,"")</f>
        <v/>
      </c>
    </row>
    <row r="44" spans="1:17" ht="21.75" hidden="1" customHeight="1" x14ac:dyDescent="0.25">
      <c r="A44" s="55" t="str">
        <f>IF(StList!E36&lt;&gt;"",StList!E36,"")</f>
        <v/>
      </c>
      <c r="B44" s="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4"/>
      <c r="N44" s="17" t="str">
        <f t="shared" si="5"/>
        <v/>
      </c>
      <c r="O44" s="24">
        <f>IF(StList!A36&lt;&gt;"",StList!A36,"")</f>
        <v>34</v>
      </c>
      <c r="P44" s="24" t="str">
        <f>IF(StList!B36&lt;&gt;"",StList!B36,"")</f>
        <v>Pharmaceutical sciences</v>
      </c>
      <c r="Q44" s="56" t="str">
        <f>IF(StList!F36&lt;&gt;"",StList!F36,"")</f>
        <v/>
      </c>
    </row>
    <row r="45" spans="1:17" ht="21.75" hidden="1" customHeight="1" x14ac:dyDescent="0.25">
      <c r="A45" s="55" t="str">
        <f>IF(StList!E37&lt;&gt;"",StList!E37,"")</f>
        <v/>
      </c>
      <c r="B45" s="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4"/>
      <c r="N45" s="17" t="str">
        <f t="shared" si="5"/>
        <v/>
      </c>
      <c r="O45" s="24">
        <f>IF(StList!A37&lt;&gt;"",StList!A37,"")</f>
        <v>35</v>
      </c>
      <c r="P45" s="24" t="str">
        <f>IF(StList!B37&lt;&gt;"",StList!B37,"")</f>
        <v>Pharmaceutical sciences</v>
      </c>
      <c r="Q45" s="56" t="str">
        <f>IF(StList!F37&lt;&gt;"",StList!F37,"")</f>
        <v/>
      </c>
    </row>
    <row r="46" spans="1:17" ht="21.75" hidden="1" customHeight="1" x14ac:dyDescent="0.25">
      <c r="A46" s="55" t="str">
        <f>IF(StList!E38&lt;&gt;"",StList!E38,"")</f>
        <v/>
      </c>
      <c r="B46" s="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4"/>
      <c r="N46" s="17" t="str">
        <f t="shared" si="5"/>
        <v/>
      </c>
      <c r="O46" s="24">
        <f>IF(StList!A38&lt;&gt;"",StList!A38,"")</f>
        <v>36</v>
      </c>
      <c r="P46" s="24" t="str">
        <f>IF(StList!B38&lt;&gt;"",StList!B38,"")</f>
        <v>Pharmaceutical sciences</v>
      </c>
      <c r="Q46" s="56" t="str">
        <f>IF(StList!F38&lt;&gt;"",StList!F38,"")</f>
        <v/>
      </c>
    </row>
    <row r="47" spans="1:17" ht="21.75" hidden="1" customHeight="1" x14ac:dyDescent="0.25">
      <c r="A47" s="55" t="str">
        <f>IF(StList!E39&lt;&gt;"",StList!E39,"")</f>
        <v/>
      </c>
      <c r="B47" s="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4"/>
      <c r="N47" s="17" t="str">
        <f t="shared" si="5"/>
        <v/>
      </c>
      <c r="O47" s="24">
        <f>IF(StList!A39&lt;&gt;"",StList!A39,"")</f>
        <v>37</v>
      </c>
      <c r="P47" s="24" t="str">
        <f>IF(StList!B39&lt;&gt;"",StList!B39,"")</f>
        <v>Pharmaceutical sciences</v>
      </c>
      <c r="Q47" s="56" t="str">
        <f>IF(StList!F39&lt;&gt;"",StList!F39,"")</f>
        <v/>
      </c>
    </row>
    <row r="48" spans="1:17" ht="21.75" hidden="1" customHeight="1" x14ac:dyDescent="0.25">
      <c r="A48" s="55" t="str">
        <f>IF(StList!E40&lt;&gt;"",StList!E40,"")</f>
        <v/>
      </c>
      <c r="B48" s="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4"/>
      <c r="N48" s="17" t="str">
        <f t="shared" si="5"/>
        <v/>
      </c>
      <c r="O48" s="24">
        <f>IF(StList!A40&lt;&gt;"",StList!A40,"")</f>
        <v>38</v>
      </c>
      <c r="P48" s="24" t="str">
        <f>IF(StList!B40&lt;&gt;"",StList!B40,"")</f>
        <v>Pharmaceutical sciences</v>
      </c>
      <c r="Q48" s="56" t="str">
        <f>IF(StList!F40&lt;&gt;"",StList!F40,"")</f>
        <v/>
      </c>
    </row>
    <row r="49" spans="1:17" ht="21.75" hidden="1" customHeight="1" x14ac:dyDescent="0.25">
      <c r="A49" s="55" t="str">
        <f>IF(StList!E41&lt;&gt;"",StList!E41,"")</f>
        <v/>
      </c>
      <c r="B49" s="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4"/>
      <c r="N49" s="17" t="str">
        <f t="shared" si="5"/>
        <v/>
      </c>
      <c r="O49" s="24">
        <f>IF(StList!A41&lt;&gt;"",StList!A41,"")</f>
        <v>39</v>
      </c>
      <c r="P49" s="24" t="str">
        <f>IF(StList!B41&lt;&gt;"",StList!B41,"")</f>
        <v>Pharmaceutical sciences</v>
      </c>
      <c r="Q49" s="56" t="str">
        <f>IF(StList!F41&lt;&gt;"",StList!F41,"")</f>
        <v/>
      </c>
    </row>
    <row r="50" spans="1:17" ht="21.75" hidden="1" customHeight="1" x14ac:dyDescent="0.25">
      <c r="A50" s="55" t="str">
        <f>IF(StList!E42&lt;&gt;"",StList!E42,"")</f>
        <v/>
      </c>
      <c r="B50" s="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4"/>
      <c r="N50" s="17" t="str">
        <f t="shared" si="5"/>
        <v/>
      </c>
      <c r="O50" s="24">
        <f>IF(StList!A42&lt;&gt;"",StList!A42,"")</f>
        <v>40</v>
      </c>
      <c r="P50" s="24" t="str">
        <f>IF(StList!B42&lt;&gt;"",StList!B42,"")</f>
        <v>Pharmaceutical sciences</v>
      </c>
      <c r="Q50" s="56" t="str">
        <f>IF(StList!F42&lt;&gt;"",StList!F42,"")</f>
        <v/>
      </c>
    </row>
    <row r="51" spans="1:17" ht="21.75" hidden="1" customHeight="1" x14ac:dyDescent="0.25">
      <c r="A51" s="55" t="str">
        <f>IF(StList!E43&lt;&gt;"",StList!E43,"")</f>
        <v/>
      </c>
      <c r="B51" s="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4"/>
      <c r="N51" s="17" t="str">
        <f t="shared" si="5"/>
        <v/>
      </c>
      <c r="O51" s="24">
        <f>IF(StList!A43&lt;&gt;"",StList!A43,"")</f>
        <v>41</v>
      </c>
      <c r="P51" s="24" t="str">
        <f>IF(StList!B43&lt;&gt;"",StList!B43,"")</f>
        <v>Pharmaceutical sciences</v>
      </c>
      <c r="Q51" s="56" t="str">
        <f>IF(StList!F43&lt;&gt;"",StList!F43,"")</f>
        <v/>
      </c>
    </row>
    <row r="52" spans="1:17" ht="21.75" hidden="1" customHeight="1" x14ac:dyDescent="0.25">
      <c r="A52" s="55" t="str">
        <f>IF(StList!E44&lt;&gt;"",StList!E44,"")</f>
        <v/>
      </c>
      <c r="B52" s="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4"/>
      <c r="N52" s="17" t="str">
        <f t="shared" si="5"/>
        <v/>
      </c>
      <c r="O52" s="24">
        <f>IF(StList!A44&lt;&gt;"",StList!A44,"")</f>
        <v>42</v>
      </c>
      <c r="P52" s="24" t="str">
        <f>IF(StList!B44&lt;&gt;"",StList!B44,"")</f>
        <v>Pharmaceutical sciences</v>
      </c>
      <c r="Q52" s="56" t="str">
        <f>IF(StList!F44&lt;&gt;"",StList!F44,"")</f>
        <v/>
      </c>
    </row>
    <row r="53" spans="1:17" ht="21.75" hidden="1" customHeight="1" x14ac:dyDescent="0.25">
      <c r="A53" s="55" t="str">
        <f>IF(StList!E45&lt;&gt;"",StList!E45,"")</f>
        <v/>
      </c>
      <c r="B53" s="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4"/>
      <c r="N53" s="17" t="str">
        <f t="shared" si="5"/>
        <v/>
      </c>
      <c r="O53" s="24">
        <f>IF(StList!A45&lt;&gt;"",StList!A45,"")</f>
        <v>43</v>
      </c>
      <c r="P53" s="24" t="str">
        <f>IF(StList!B45&lt;&gt;"",StList!B45,"")</f>
        <v>Pharmaceutical sciences</v>
      </c>
      <c r="Q53" s="56" t="str">
        <f>IF(StList!F45&lt;&gt;"",StList!F45,"")</f>
        <v/>
      </c>
    </row>
    <row r="54" spans="1:17" ht="21.75" hidden="1" customHeight="1" x14ac:dyDescent="0.25">
      <c r="A54" s="55" t="str">
        <f>IF(StList!E46&lt;&gt;"",StList!E46,"")</f>
        <v/>
      </c>
      <c r="B54" s="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4"/>
      <c r="N54" s="17" t="str">
        <f t="shared" si="5"/>
        <v/>
      </c>
      <c r="O54" s="24">
        <f>IF(StList!A46&lt;&gt;"",StList!A46,"")</f>
        <v>44</v>
      </c>
      <c r="P54" s="24" t="str">
        <f>IF(StList!B46&lt;&gt;"",StList!B46,"")</f>
        <v>Pharmaceutical sciences</v>
      </c>
      <c r="Q54" s="56" t="str">
        <f>IF(StList!F46&lt;&gt;"",StList!F46,"")</f>
        <v/>
      </c>
    </row>
    <row r="55" spans="1:17" ht="21.75" hidden="1" customHeight="1" x14ac:dyDescent="0.25">
      <c r="A55" s="55" t="str">
        <f>IF(StList!E47&lt;&gt;"",StList!E47,"")</f>
        <v/>
      </c>
      <c r="B55" s="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4"/>
      <c r="N55" s="17" t="str">
        <f t="shared" si="5"/>
        <v/>
      </c>
      <c r="O55" s="24">
        <f>IF(StList!A47&lt;&gt;"",StList!A47,"")</f>
        <v>45</v>
      </c>
      <c r="P55" s="24" t="str">
        <f>IF(StList!B47&lt;&gt;"",StList!B47,"")</f>
        <v>Pharmaceutical sciences</v>
      </c>
      <c r="Q55" s="56" t="str">
        <f>IF(StList!F47&lt;&gt;"",StList!F47,"")</f>
        <v/>
      </c>
    </row>
    <row r="56" spans="1:17" ht="21.75" hidden="1" customHeight="1" x14ac:dyDescent="0.25">
      <c r="A56" s="55" t="str">
        <f>IF(StList!E48&lt;&gt;"",StList!E48,"")</f>
        <v/>
      </c>
      <c r="B56" s="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4"/>
      <c r="N56" s="17" t="str">
        <f t="shared" si="5"/>
        <v/>
      </c>
      <c r="O56" s="24">
        <f>IF(StList!A48&lt;&gt;"",StList!A48,"")</f>
        <v>46</v>
      </c>
      <c r="P56" s="24" t="str">
        <f>IF(StList!B48&lt;&gt;"",StList!B48,"")</f>
        <v>Pharmaceutical sciences</v>
      </c>
      <c r="Q56" s="56" t="str">
        <f>IF(StList!F48&lt;&gt;"",StList!F48,"")</f>
        <v/>
      </c>
    </row>
    <row r="57" spans="1:17" ht="21.75" hidden="1" customHeight="1" x14ac:dyDescent="0.25">
      <c r="A57" s="55" t="str">
        <f>IF(StList!E49&lt;&gt;"",StList!E49,"")</f>
        <v/>
      </c>
      <c r="B57" s="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4"/>
      <c r="N57" s="17" t="str">
        <f t="shared" si="5"/>
        <v/>
      </c>
      <c r="O57" s="24">
        <f>IF(StList!A49&lt;&gt;"",StList!A49,"")</f>
        <v>47</v>
      </c>
      <c r="P57" s="24" t="str">
        <f>IF(StList!B49&lt;&gt;"",StList!B49,"")</f>
        <v>Pharmaceutical sciences</v>
      </c>
      <c r="Q57" s="56" t="str">
        <f>IF(StList!F49&lt;&gt;"",StList!F49,"")</f>
        <v/>
      </c>
    </row>
    <row r="58" spans="1:17" ht="21.75" hidden="1" customHeight="1" x14ac:dyDescent="0.25">
      <c r="A58" s="55" t="str">
        <f>IF(StList!E50&lt;&gt;"",StList!E50,"")</f>
        <v/>
      </c>
      <c r="B58" s="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4"/>
      <c r="N58" s="17" t="str">
        <f t="shared" si="5"/>
        <v/>
      </c>
      <c r="O58" s="24">
        <f>IF(StList!A50&lt;&gt;"",StList!A50,"")</f>
        <v>48</v>
      </c>
      <c r="P58" s="24" t="str">
        <f>IF(StList!B50&lt;&gt;"",StList!B50,"")</f>
        <v>Pharmaceutical sciences</v>
      </c>
      <c r="Q58" s="56" t="str">
        <f>IF(StList!F50&lt;&gt;"",StList!F50,"")</f>
        <v/>
      </c>
    </row>
    <row r="59" spans="1:17" ht="21.75" hidden="1" customHeight="1" x14ac:dyDescent="0.25">
      <c r="A59" s="55" t="str">
        <f>IF(StList!E51&lt;&gt;"",StList!E51,"")</f>
        <v/>
      </c>
      <c r="B59" s="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4"/>
      <c r="N59" s="17" t="str">
        <f t="shared" si="5"/>
        <v/>
      </c>
      <c r="O59" s="24">
        <f>IF(StList!A51&lt;&gt;"",StList!A51,"")</f>
        <v>49</v>
      </c>
      <c r="P59" s="24" t="str">
        <f>IF(StList!B51&lt;&gt;"",StList!B51,"")</f>
        <v>Pharmaceutical sciences</v>
      </c>
      <c r="Q59" s="56" t="str">
        <f>IF(StList!F51&lt;&gt;"",StList!F51,"")</f>
        <v/>
      </c>
    </row>
    <row r="60" spans="1:17" ht="21.75" hidden="1" customHeight="1" x14ac:dyDescent="0.25">
      <c r="A60" s="55" t="str">
        <f>IF(StList!E52&lt;&gt;"",StList!E52,"")</f>
        <v/>
      </c>
      <c r="B60" s="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4"/>
      <c r="N60" s="17" t="str">
        <f t="shared" si="5"/>
        <v/>
      </c>
      <c r="O60" s="24">
        <f>IF(StList!A52&lt;&gt;"",StList!A52,"")</f>
        <v>50</v>
      </c>
      <c r="P60" s="24" t="str">
        <f>IF(StList!B52&lt;&gt;"",StList!B52,"")</f>
        <v>Pharmaceutical sciences</v>
      </c>
      <c r="Q60" s="56" t="str">
        <f>IF(StList!F52&lt;&gt;"",StList!F52,"")</f>
        <v/>
      </c>
    </row>
    <row r="61" spans="1:17" ht="21.75" hidden="1" customHeight="1" x14ac:dyDescent="0.25">
      <c r="A61" s="55" t="str">
        <f>IF(StList!E53&lt;&gt;"",StList!E53,"")</f>
        <v/>
      </c>
      <c r="B61" s="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4"/>
      <c r="N61" s="17" t="str">
        <f t="shared" si="5"/>
        <v/>
      </c>
      <c r="O61" s="24">
        <f>IF(StList!A53&lt;&gt;"",StList!A53,"")</f>
        <v>51</v>
      </c>
      <c r="P61" s="24" t="str">
        <f>IF(StList!B53&lt;&gt;"",StList!B53,"")</f>
        <v>Pharmaceutical sciences</v>
      </c>
      <c r="Q61" s="56" t="str">
        <f>IF(StList!F53&lt;&gt;"",StList!F53,"")</f>
        <v/>
      </c>
    </row>
    <row r="62" spans="1:17" ht="21.75" hidden="1" customHeight="1" x14ac:dyDescent="0.25">
      <c r="A62" s="55" t="str">
        <f>IF(StList!E54&lt;&gt;"",StList!E54,"")</f>
        <v/>
      </c>
      <c r="B62" s="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4"/>
      <c r="N62" s="17" t="str">
        <f t="shared" si="5"/>
        <v/>
      </c>
      <c r="O62" s="24">
        <f>IF(StList!A54&lt;&gt;"",StList!A54,"")</f>
        <v>52</v>
      </c>
      <c r="P62" s="24" t="str">
        <f>IF(StList!B54&lt;&gt;"",StList!B54,"")</f>
        <v>Pharmaceutical sciences</v>
      </c>
      <c r="Q62" s="56" t="str">
        <f>IF(StList!F54&lt;&gt;"",StList!F54,"")</f>
        <v/>
      </c>
    </row>
    <row r="63" spans="1:17" ht="21.75" hidden="1" customHeight="1" x14ac:dyDescent="0.25">
      <c r="A63" s="55" t="str">
        <f>IF(StList!E55&lt;&gt;"",StList!E55,"")</f>
        <v/>
      </c>
      <c r="B63" s="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4"/>
      <c r="N63" s="17" t="str">
        <f t="shared" si="5"/>
        <v/>
      </c>
      <c r="O63" s="24">
        <f>IF(StList!A55&lt;&gt;"",StList!A55,"")</f>
        <v>53</v>
      </c>
      <c r="P63" s="24" t="str">
        <f>IF(StList!B55&lt;&gt;"",StList!B55,"")</f>
        <v>Pharmaceutical sciences</v>
      </c>
      <c r="Q63" s="56" t="str">
        <f>IF(StList!F55&lt;&gt;"",StList!F55,"")</f>
        <v/>
      </c>
    </row>
    <row r="64" spans="1:17" ht="21.75" hidden="1" customHeight="1" x14ac:dyDescent="0.25">
      <c r="A64" s="55" t="str">
        <f>IF(StList!E56&lt;&gt;"",StList!E56,"")</f>
        <v/>
      </c>
      <c r="B64" s="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4"/>
      <c r="N64" s="17" t="str">
        <f t="shared" si="5"/>
        <v/>
      </c>
      <c r="O64" s="24">
        <f>IF(StList!A56&lt;&gt;"",StList!A56,"")</f>
        <v>54</v>
      </c>
      <c r="P64" s="24" t="str">
        <f>IF(StList!B56&lt;&gt;"",StList!B56,"")</f>
        <v>Pharmaceutical sciences</v>
      </c>
      <c r="Q64" s="56" t="str">
        <f>IF(StList!F56&lt;&gt;"",StList!F56,"")</f>
        <v/>
      </c>
    </row>
    <row r="65" spans="1:17" ht="21.75" hidden="1" customHeight="1" x14ac:dyDescent="0.25">
      <c r="A65" s="55" t="str">
        <f>IF(StList!E57&lt;&gt;"",StList!E57,"")</f>
        <v/>
      </c>
      <c r="B65" s="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4"/>
      <c r="N65" s="17" t="str">
        <f t="shared" si="5"/>
        <v/>
      </c>
      <c r="O65" s="24">
        <f>IF(StList!A57&lt;&gt;"",StList!A57,"")</f>
        <v>55</v>
      </c>
      <c r="P65" s="24" t="str">
        <f>IF(StList!B57&lt;&gt;"",StList!B57,"")</f>
        <v>Pharmaceutical sciences</v>
      </c>
      <c r="Q65" s="56" t="str">
        <f>IF(StList!F57&lt;&gt;"",StList!F57,"")</f>
        <v/>
      </c>
    </row>
    <row r="66" spans="1:17" ht="21.75" hidden="1" customHeight="1" x14ac:dyDescent="0.25">
      <c r="A66" s="55" t="str">
        <f>IF(StList!E58&lt;&gt;"",StList!E58,"")</f>
        <v/>
      </c>
      <c r="B66" s="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4"/>
      <c r="N66" s="17" t="str">
        <f t="shared" si="5"/>
        <v/>
      </c>
      <c r="O66" s="24">
        <f>IF(StList!A58&lt;&gt;"",StList!A58,"")</f>
        <v>56</v>
      </c>
      <c r="P66" s="24" t="str">
        <f>IF(StList!B58&lt;&gt;"",StList!B58,"")</f>
        <v>Pharmaceutical sciences</v>
      </c>
      <c r="Q66" s="56" t="str">
        <f>IF(StList!F58&lt;&gt;"",StList!F58,"")</f>
        <v/>
      </c>
    </row>
    <row r="67" spans="1:17" ht="21.75" hidden="1" customHeight="1" x14ac:dyDescent="0.25">
      <c r="A67" s="55" t="str">
        <f>IF(StList!E59&lt;&gt;"",StList!E59,"")</f>
        <v/>
      </c>
      <c r="B67" s="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4"/>
      <c r="N67" s="17" t="str">
        <f t="shared" si="5"/>
        <v/>
      </c>
      <c r="O67" s="24">
        <f>IF(StList!A59&lt;&gt;"",StList!A59,"")</f>
        <v>57</v>
      </c>
      <c r="P67" s="24" t="str">
        <f>IF(StList!B59&lt;&gt;"",StList!B59,"")</f>
        <v>Pharmaceutical sciences</v>
      </c>
      <c r="Q67" s="56" t="str">
        <f>IF(StList!F59&lt;&gt;"",StList!F59,"")</f>
        <v/>
      </c>
    </row>
    <row r="68" spans="1:17" ht="21.75" hidden="1" customHeight="1" x14ac:dyDescent="0.25">
      <c r="A68" s="55" t="str">
        <f>IF(StList!E60&lt;&gt;"",StList!E60,"")</f>
        <v/>
      </c>
      <c r="B68" s="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4"/>
      <c r="N68" s="17" t="str">
        <f t="shared" si="5"/>
        <v/>
      </c>
      <c r="O68" s="24">
        <f>IF(StList!A60&lt;&gt;"",StList!A60,"")</f>
        <v>58</v>
      </c>
      <c r="P68" s="24" t="str">
        <f>IF(StList!B60&lt;&gt;"",StList!B60,"")</f>
        <v>Pharmaceutical sciences</v>
      </c>
      <c r="Q68" s="56" t="str">
        <f>IF(StList!F60&lt;&gt;"",StList!F60,"")</f>
        <v/>
      </c>
    </row>
    <row r="69" spans="1:17" ht="21.75" hidden="1" customHeight="1" x14ac:dyDescent="0.25">
      <c r="A69" s="55" t="str">
        <f>IF(StList!E61&lt;&gt;"",StList!E61,"")</f>
        <v/>
      </c>
      <c r="B69" s="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4"/>
      <c r="N69" s="17" t="str">
        <f t="shared" si="5"/>
        <v/>
      </c>
      <c r="O69" s="24">
        <f>IF(StList!A61&lt;&gt;"",StList!A61,"")</f>
        <v>59</v>
      </c>
      <c r="P69" s="24" t="str">
        <f>IF(StList!B61&lt;&gt;"",StList!B61,"")</f>
        <v>Pharmaceutical sciences</v>
      </c>
      <c r="Q69" s="56" t="str">
        <f>IF(StList!F61&lt;&gt;"",StList!F61,"")</f>
        <v/>
      </c>
    </row>
    <row r="70" spans="1:17" ht="21.75" hidden="1" customHeight="1" x14ac:dyDescent="0.25">
      <c r="A70" s="55" t="str">
        <f>IF(StList!E62&lt;&gt;"",StList!E62,"")</f>
        <v/>
      </c>
      <c r="B70" s="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4"/>
      <c r="N70" s="17" t="str">
        <f t="shared" si="5"/>
        <v/>
      </c>
      <c r="O70" s="24">
        <f>IF(StList!A62&lt;&gt;"",StList!A62,"")</f>
        <v>60</v>
      </c>
      <c r="P70" s="24" t="str">
        <f>IF(StList!B62&lt;&gt;"",StList!B62,"")</f>
        <v>Pharmaceutical sciences</v>
      </c>
      <c r="Q70" s="56" t="str">
        <f>IF(StList!F62&lt;&gt;"",StList!F62,"")</f>
        <v/>
      </c>
    </row>
    <row r="71" spans="1:17" ht="21.75" hidden="1" customHeight="1" x14ac:dyDescent="0.25">
      <c r="A71" s="55" t="str">
        <f>IF(StList!E63&lt;&gt;"",StList!E63,"")</f>
        <v/>
      </c>
      <c r="B71" s="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4"/>
      <c r="N71" s="17" t="str">
        <f t="shared" si="5"/>
        <v/>
      </c>
      <c r="O71" s="24">
        <f>IF(StList!A63&lt;&gt;"",StList!A63,"")</f>
        <v>61</v>
      </c>
      <c r="P71" s="24" t="str">
        <f>IF(StList!B63&lt;&gt;"",StList!B63,"")</f>
        <v>Pharmaceutical sciences</v>
      </c>
      <c r="Q71" s="56" t="str">
        <f>IF(StList!F63&lt;&gt;"",StList!F63,"")</f>
        <v/>
      </c>
    </row>
    <row r="72" spans="1:17" ht="21.75" hidden="1" customHeight="1" x14ac:dyDescent="0.25">
      <c r="A72" s="55" t="str">
        <f>IF(StList!E64&lt;&gt;"",StList!E64,"")</f>
        <v/>
      </c>
      <c r="B72" s="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4"/>
      <c r="N72" s="17" t="str">
        <f t="shared" si="5"/>
        <v/>
      </c>
      <c r="O72" s="24">
        <f>IF(StList!A64&lt;&gt;"",StList!A64,"")</f>
        <v>62</v>
      </c>
      <c r="P72" s="24" t="str">
        <f>IF(StList!B64&lt;&gt;"",StList!B64,"")</f>
        <v>Pharmaceutical sciences</v>
      </c>
      <c r="Q72" s="56" t="str">
        <f>IF(StList!F64&lt;&gt;"",StList!F64,"")</f>
        <v/>
      </c>
    </row>
    <row r="73" spans="1:17" ht="21.75" hidden="1" customHeight="1" x14ac:dyDescent="0.25">
      <c r="A73" s="55" t="str">
        <f>IF(StList!E65&lt;&gt;"",StList!E65,"")</f>
        <v/>
      </c>
      <c r="B73" s="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4"/>
      <c r="N73" s="17" t="str">
        <f t="shared" si="5"/>
        <v/>
      </c>
      <c r="O73" s="24">
        <f>IF(StList!A65&lt;&gt;"",StList!A65,"")</f>
        <v>63</v>
      </c>
      <c r="P73" s="24" t="str">
        <f>IF(StList!B65&lt;&gt;"",StList!B65,"")</f>
        <v>Pharmaceutical sciences</v>
      </c>
      <c r="Q73" s="56" t="str">
        <f>IF(StList!F65&lt;&gt;"",StList!F65,"")</f>
        <v/>
      </c>
    </row>
    <row r="74" spans="1:17" ht="21.75" hidden="1" customHeight="1" x14ac:dyDescent="0.25">
      <c r="A74" s="55" t="str">
        <f>IF(StList!E66&lt;&gt;"",StList!E66,"")</f>
        <v/>
      </c>
      <c r="B74" s="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4"/>
      <c r="N74" s="17" t="str">
        <f t="shared" si="5"/>
        <v/>
      </c>
      <c r="O74" s="24">
        <f>IF(StList!A66&lt;&gt;"",StList!A66,"")</f>
        <v>64</v>
      </c>
      <c r="P74" s="24" t="str">
        <f>IF(StList!B66&lt;&gt;"",StList!B66,"")</f>
        <v>Pharmaceutical sciences</v>
      </c>
      <c r="Q74" s="56" t="str">
        <f>IF(StList!F66&lt;&gt;"",StList!F66,"")</f>
        <v/>
      </c>
    </row>
    <row r="75" spans="1:17" ht="21.75" hidden="1" customHeight="1" x14ac:dyDescent="0.25">
      <c r="A75" s="55" t="str">
        <f>IF(StList!E67&lt;&gt;"",StList!E67,"")</f>
        <v/>
      </c>
      <c r="B75" s="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"/>
      <c r="N75" s="17" t="str">
        <f t="shared" si="5"/>
        <v/>
      </c>
      <c r="O75" s="24">
        <f>IF(StList!A67&lt;&gt;"",StList!A67,"")</f>
        <v>65</v>
      </c>
      <c r="P75" s="24" t="str">
        <f>IF(StList!B67&lt;&gt;"",StList!B67,"")</f>
        <v>Pharmaceutical sciences</v>
      </c>
      <c r="Q75" s="56" t="str">
        <f>IF(StList!F67&lt;&gt;"",StList!F67,"")</f>
        <v/>
      </c>
    </row>
    <row r="76" spans="1:17" ht="21.75" hidden="1" customHeight="1" x14ac:dyDescent="0.25">
      <c r="A76" s="55" t="str">
        <f>IF(StList!E68&lt;&gt;"",StList!E68,"")</f>
        <v/>
      </c>
      <c r="B76" s="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"/>
      <c r="N76" s="17" t="str">
        <f t="shared" ref="N76:N120" si="6">IF(SUM(B76:M76),SUM(B76:M76),"")</f>
        <v/>
      </c>
      <c r="O76" s="24">
        <f>IF(StList!A68&lt;&gt;"",StList!A68,"")</f>
        <v>66</v>
      </c>
      <c r="P76" s="24" t="str">
        <f>IF(StList!B68&lt;&gt;"",StList!B68,"")</f>
        <v>Pharmaceutical sciences</v>
      </c>
      <c r="Q76" s="56" t="str">
        <f>IF(StList!F68&lt;&gt;"",StList!F68,"")</f>
        <v/>
      </c>
    </row>
    <row r="77" spans="1:17" ht="21.75" hidden="1" customHeight="1" x14ac:dyDescent="0.25">
      <c r="A77" s="55" t="str">
        <f>IF(StList!E69&lt;&gt;"",StList!E69,"")</f>
        <v/>
      </c>
      <c r="B77" s="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4"/>
      <c r="N77" s="17" t="str">
        <f t="shared" si="6"/>
        <v/>
      </c>
      <c r="O77" s="24">
        <f>IF(StList!A69&lt;&gt;"",StList!A69,"")</f>
        <v>67</v>
      </c>
      <c r="P77" s="24" t="str">
        <f>IF(StList!B69&lt;&gt;"",StList!B69,"")</f>
        <v>Pharmaceutical sciences</v>
      </c>
      <c r="Q77" s="56" t="str">
        <f>IF(StList!F69&lt;&gt;"",StList!F69,"")</f>
        <v/>
      </c>
    </row>
    <row r="78" spans="1:17" ht="21.75" hidden="1" customHeight="1" x14ac:dyDescent="0.25">
      <c r="A78" s="55" t="str">
        <f>IF(StList!E70&lt;&gt;"",StList!E70,"")</f>
        <v/>
      </c>
      <c r="B78" s="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4"/>
      <c r="N78" s="17" t="str">
        <f t="shared" si="6"/>
        <v/>
      </c>
      <c r="O78" s="24">
        <f>IF(StList!A70&lt;&gt;"",StList!A70,"")</f>
        <v>68</v>
      </c>
      <c r="P78" s="24" t="str">
        <f>IF(StList!B70&lt;&gt;"",StList!B70,"")</f>
        <v>Pharmaceutical sciences</v>
      </c>
      <c r="Q78" s="56" t="str">
        <f>IF(StList!F70&lt;&gt;"",StList!F70,"")</f>
        <v/>
      </c>
    </row>
    <row r="79" spans="1:17" ht="21.75" hidden="1" customHeight="1" x14ac:dyDescent="0.25">
      <c r="A79" s="55" t="str">
        <f>IF(StList!E71&lt;&gt;"",StList!E71,"")</f>
        <v/>
      </c>
      <c r="B79" s="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4"/>
      <c r="N79" s="17" t="str">
        <f t="shared" si="6"/>
        <v/>
      </c>
      <c r="O79" s="24">
        <f>IF(StList!A71&lt;&gt;"",StList!A71,"")</f>
        <v>69</v>
      </c>
      <c r="P79" s="24" t="str">
        <f>IF(StList!B71&lt;&gt;"",StList!B71,"")</f>
        <v>Pharmaceutical sciences</v>
      </c>
      <c r="Q79" s="56" t="str">
        <f>IF(StList!F71&lt;&gt;"",StList!F71,"")</f>
        <v/>
      </c>
    </row>
    <row r="80" spans="1:17" ht="21.75" hidden="1" customHeight="1" x14ac:dyDescent="0.25">
      <c r="A80" s="55" t="str">
        <f>IF(StList!E72&lt;&gt;"",StList!E72,"")</f>
        <v/>
      </c>
      <c r="B80" s="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4"/>
      <c r="N80" s="17" t="str">
        <f t="shared" si="6"/>
        <v/>
      </c>
      <c r="O80" s="24">
        <f>IF(StList!A72&lt;&gt;"",StList!A72,"")</f>
        <v>70</v>
      </c>
      <c r="P80" s="24" t="str">
        <f>IF(StList!B72&lt;&gt;"",StList!B72,"")</f>
        <v>Pharmaceutical sciences</v>
      </c>
      <c r="Q80" s="56" t="str">
        <f>IF(StList!F72&lt;&gt;"",StList!F72,"")</f>
        <v/>
      </c>
    </row>
    <row r="81" spans="1:17" ht="21.75" hidden="1" customHeight="1" x14ac:dyDescent="0.25">
      <c r="A81" s="55" t="str">
        <f>IF(StList!E73&lt;&gt;"",StList!E73,"")</f>
        <v/>
      </c>
      <c r="B81" s="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4"/>
      <c r="N81" s="17" t="str">
        <f t="shared" si="6"/>
        <v/>
      </c>
      <c r="O81" s="24">
        <f>IF(StList!A73&lt;&gt;"",StList!A73,"")</f>
        <v>71</v>
      </c>
      <c r="P81" s="24" t="str">
        <f>IF(StList!B73&lt;&gt;"",StList!B73,"")</f>
        <v>Pharmaceutical sciences</v>
      </c>
      <c r="Q81" s="56" t="str">
        <f>IF(StList!F73&lt;&gt;"",StList!F73,"")</f>
        <v/>
      </c>
    </row>
    <row r="82" spans="1:17" ht="21.75" hidden="1" customHeight="1" x14ac:dyDescent="0.25">
      <c r="A82" s="55" t="str">
        <f>IF(StList!E74&lt;&gt;"",StList!E74,"")</f>
        <v/>
      </c>
      <c r="B82" s="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17" t="str">
        <f t="shared" si="6"/>
        <v/>
      </c>
      <c r="O82" s="24">
        <f>IF(StList!A74&lt;&gt;"",StList!A74,"")</f>
        <v>72</v>
      </c>
      <c r="P82" s="24" t="str">
        <f>IF(StList!B74&lt;&gt;"",StList!B74,"")</f>
        <v>Pharmaceutical sciences</v>
      </c>
      <c r="Q82" s="56" t="str">
        <f>IF(StList!F74&lt;&gt;"",StList!F74,"")</f>
        <v/>
      </c>
    </row>
    <row r="83" spans="1:17" ht="21.75" hidden="1" customHeight="1" x14ac:dyDescent="0.25">
      <c r="A83" s="55" t="str">
        <f>IF(StList!E75&lt;&gt;"",StList!E75,"")</f>
        <v/>
      </c>
      <c r="B83" s="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4"/>
      <c r="N83" s="17" t="str">
        <f t="shared" si="6"/>
        <v/>
      </c>
      <c r="O83" s="24">
        <f>IF(StList!A75&lt;&gt;"",StList!A75,"")</f>
        <v>73</v>
      </c>
      <c r="P83" s="24" t="str">
        <f>IF(StList!B75&lt;&gt;"",StList!B75,"")</f>
        <v>Pharmaceutical sciences</v>
      </c>
      <c r="Q83" s="56" t="str">
        <f>IF(StList!F75&lt;&gt;"",StList!F75,"")</f>
        <v/>
      </c>
    </row>
    <row r="84" spans="1:17" ht="21.75" hidden="1" customHeight="1" x14ac:dyDescent="0.25">
      <c r="A84" s="55" t="str">
        <f>IF(StList!E76&lt;&gt;"",StList!E76,"")</f>
        <v/>
      </c>
      <c r="B84" s="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4"/>
      <c r="N84" s="17" t="str">
        <f t="shared" si="6"/>
        <v/>
      </c>
      <c r="O84" s="24">
        <f>IF(StList!A76&lt;&gt;"",StList!A76,"")</f>
        <v>74</v>
      </c>
      <c r="P84" s="24" t="str">
        <f>IF(StList!B76&lt;&gt;"",StList!B76,"")</f>
        <v>Pharmaceutical sciences</v>
      </c>
      <c r="Q84" s="56" t="str">
        <f>IF(StList!F76&lt;&gt;"",StList!F76,"")</f>
        <v/>
      </c>
    </row>
    <row r="85" spans="1:17" ht="21.75" hidden="1" customHeight="1" x14ac:dyDescent="0.25">
      <c r="A85" s="55" t="str">
        <f>IF(StList!E77&lt;&gt;"",StList!E77,"")</f>
        <v/>
      </c>
      <c r="B85" s="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4"/>
      <c r="N85" s="17" t="str">
        <f t="shared" si="6"/>
        <v/>
      </c>
      <c r="O85" s="24">
        <f>IF(StList!A77&lt;&gt;"",StList!A77,"")</f>
        <v>75</v>
      </c>
      <c r="P85" s="24" t="str">
        <f>IF(StList!B77&lt;&gt;"",StList!B77,"")</f>
        <v>Pharmaceutical sciences</v>
      </c>
      <c r="Q85" s="56" t="str">
        <f>IF(StList!F77&lt;&gt;"",StList!F77,"")</f>
        <v/>
      </c>
    </row>
    <row r="86" spans="1:17" ht="21.75" hidden="1" customHeight="1" x14ac:dyDescent="0.25">
      <c r="A86" s="55" t="str">
        <f>IF(StList!E78&lt;&gt;"",StList!E78,"")</f>
        <v/>
      </c>
      <c r="B86" s="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4"/>
      <c r="N86" s="17" t="str">
        <f t="shared" si="6"/>
        <v/>
      </c>
      <c r="O86" s="24">
        <f>IF(StList!A78&lt;&gt;"",StList!A78,"")</f>
        <v>76</v>
      </c>
      <c r="P86" s="24" t="str">
        <f>IF(StList!B78&lt;&gt;"",StList!B78,"")</f>
        <v>Pharmaceutical sciences</v>
      </c>
      <c r="Q86" s="56" t="str">
        <f>IF(StList!F78&lt;&gt;"",StList!F78,"")</f>
        <v/>
      </c>
    </row>
    <row r="87" spans="1:17" ht="21.75" hidden="1" customHeight="1" x14ac:dyDescent="0.25">
      <c r="A87" s="55" t="str">
        <f>IF(StList!E79&lt;&gt;"",StList!E79,"")</f>
        <v/>
      </c>
      <c r="B87" s="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4"/>
      <c r="N87" s="17" t="str">
        <f t="shared" si="6"/>
        <v/>
      </c>
      <c r="O87" s="24">
        <f>IF(StList!A79&lt;&gt;"",StList!A79,"")</f>
        <v>77</v>
      </c>
      <c r="P87" s="24" t="str">
        <f>IF(StList!B79&lt;&gt;"",StList!B79,"")</f>
        <v>Pharmaceutical sciences</v>
      </c>
      <c r="Q87" s="56" t="str">
        <f>IF(StList!F79&lt;&gt;"",StList!F79,"")</f>
        <v/>
      </c>
    </row>
    <row r="88" spans="1:17" ht="21.75" hidden="1" customHeight="1" x14ac:dyDescent="0.25">
      <c r="A88" s="55" t="str">
        <f>IF(StList!E80&lt;&gt;"",StList!E80,"")</f>
        <v/>
      </c>
      <c r="B88" s="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4"/>
      <c r="N88" s="17" t="str">
        <f t="shared" si="6"/>
        <v/>
      </c>
      <c r="O88" s="24">
        <f>IF(StList!A80&lt;&gt;"",StList!A80,"")</f>
        <v>78</v>
      </c>
      <c r="P88" s="24" t="str">
        <f>IF(StList!B80&lt;&gt;"",StList!B80,"")</f>
        <v>Pharmaceutical sciences</v>
      </c>
      <c r="Q88" s="56" t="str">
        <f>IF(StList!F80&lt;&gt;"",StList!F80,"")</f>
        <v/>
      </c>
    </row>
    <row r="89" spans="1:17" ht="21.75" hidden="1" customHeight="1" x14ac:dyDescent="0.25">
      <c r="A89" s="55" t="str">
        <f>IF(StList!E81&lt;&gt;"",StList!E81,"")</f>
        <v/>
      </c>
      <c r="B89" s="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"/>
      <c r="N89" s="17" t="str">
        <f t="shared" si="6"/>
        <v/>
      </c>
      <c r="O89" s="24">
        <f>IF(StList!A81&lt;&gt;"",StList!A81,"")</f>
        <v>79</v>
      </c>
      <c r="P89" s="24" t="str">
        <f>IF(StList!B81&lt;&gt;"",StList!B81,"")</f>
        <v>Pharmaceutical sciences</v>
      </c>
      <c r="Q89" s="56" t="str">
        <f>IF(StList!F81&lt;&gt;"",StList!F81,"")</f>
        <v/>
      </c>
    </row>
    <row r="90" spans="1:17" ht="21.75" hidden="1" customHeight="1" x14ac:dyDescent="0.25">
      <c r="A90" s="55" t="str">
        <f>IF(StList!E82&lt;&gt;"",StList!E82,"")</f>
        <v/>
      </c>
      <c r="B90" s="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"/>
      <c r="N90" s="17" t="str">
        <f t="shared" si="6"/>
        <v/>
      </c>
      <c r="O90" s="24">
        <f>IF(StList!A82&lt;&gt;"",StList!A82,"")</f>
        <v>80</v>
      </c>
      <c r="P90" s="24" t="str">
        <f>IF(StList!B82&lt;&gt;"",StList!B82,"")</f>
        <v>Pharmaceutical sciences</v>
      </c>
      <c r="Q90" s="56" t="str">
        <f>IF(StList!F82&lt;&gt;"",StList!F82,"")</f>
        <v/>
      </c>
    </row>
    <row r="91" spans="1:17" ht="21.75" hidden="1" customHeight="1" x14ac:dyDescent="0.25">
      <c r="A91" s="55" t="str">
        <f>IF(StList!E83&lt;&gt;"",StList!E83,"")</f>
        <v/>
      </c>
      <c r="B91" s="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4"/>
      <c r="N91" s="17" t="str">
        <f t="shared" si="6"/>
        <v/>
      </c>
      <c r="O91" s="24">
        <f>IF(StList!A83&lt;&gt;"",StList!A83,"")</f>
        <v>81</v>
      </c>
      <c r="P91" s="24" t="str">
        <f>IF(StList!B83&lt;&gt;"",StList!B83,"")</f>
        <v>Pharmaceutical sciences</v>
      </c>
      <c r="Q91" s="56" t="str">
        <f>IF(StList!F83&lt;&gt;"",StList!F83,"")</f>
        <v/>
      </c>
    </row>
    <row r="92" spans="1:17" ht="21.75" hidden="1" customHeight="1" x14ac:dyDescent="0.25">
      <c r="A92" s="55" t="str">
        <f>IF(StList!E84&lt;&gt;"",StList!E84,"")</f>
        <v/>
      </c>
      <c r="B92" s="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4"/>
      <c r="N92" s="17" t="str">
        <f t="shared" si="6"/>
        <v/>
      </c>
      <c r="O92" s="24">
        <f>IF(StList!A84&lt;&gt;"",StList!A84,"")</f>
        <v>82</v>
      </c>
      <c r="P92" s="24" t="str">
        <f>IF(StList!B84&lt;&gt;"",StList!B84,"")</f>
        <v>Pharmaceutical sciences</v>
      </c>
      <c r="Q92" s="56" t="str">
        <f>IF(StList!F84&lt;&gt;"",StList!F84,"")</f>
        <v/>
      </c>
    </row>
    <row r="93" spans="1:17" ht="21.75" hidden="1" customHeight="1" x14ac:dyDescent="0.25">
      <c r="A93" s="55" t="str">
        <f>IF(StList!E85&lt;&gt;"",StList!E85,"")</f>
        <v/>
      </c>
      <c r="B93" s="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4"/>
      <c r="N93" s="17" t="str">
        <f t="shared" si="6"/>
        <v/>
      </c>
      <c r="O93" s="24">
        <f>IF(StList!A85&lt;&gt;"",StList!A85,"")</f>
        <v>83</v>
      </c>
      <c r="P93" s="24" t="str">
        <f>IF(StList!B85&lt;&gt;"",StList!B85,"")</f>
        <v>Pharmaceutical sciences</v>
      </c>
      <c r="Q93" s="56" t="str">
        <f>IF(StList!F85&lt;&gt;"",StList!F85,"")</f>
        <v/>
      </c>
    </row>
    <row r="94" spans="1:17" ht="21.75" hidden="1" customHeight="1" x14ac:dyDescent="0.25">
      <c r="A94" s="55" t="str">
        <f>IF(StList!E86&lt;&gt;"",StList!E86,"")</f>
        <v/>
      </c>
      <c r="B94" s="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4"/>
      <c r="N94" s="17" t="str">
        <f t="shared" si="6"/>
        <v/>
      </c>
      <c r="O94" s="24">
        <f>IF(StList!A86&lt;&gt;"",StList!A86,"")</f>
        <v>84</v>
      </c>
      <c r="P94" s="24" t="str">
        <f>IF(StList!B86&lt;&gt;"",StList!B86,"")</f>
        <v>Pharmaceutical sciences</v>
      </c>
      <c r="Q94" s="56" t="str">
        <f>IF(StList!F86&lt;&gt;"",StList!F86,"")</f>
        <v/>
      </c>
    </row>
    <row r="95" spans="1:17" ht="21.75" hidden="1" customHeight="1" x14ac:dyDescent="0.25">
      <c r="A95" s="55" t="str">
        <f>IF(StList!E87&lt;&gt;"",StList!E87,"")</f>
        <v/>
      </c>
      <c r="B95" s="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4"/>
      <c r="N95" s="17" t="str">
        <f t="shared" si="6"/>
        <v/>
      </c>
      <c r="O95" s="24">
        <f>IF(StList!A87&lt;&gt;"",StList!A87,"")</f>
        <v>85</v>
      </c>
      <c r="P95" s="24" t="str">
        <f>IF(StList!B87&lt;&gt;"",StList!B87,"")</f>
        <v>Pharmaceutical sciences</v>
      </c>
      <c r="Q95" s="56" t="str">
        <f>IF(StList!F87&lt;&gt;"",StList!F87,"")</f>
        <v/>
      </c>
    </row>
    <row r="96" spans="1:17" ht="21.75" hidden="1" customHeight="1" x14ac:dyDescent="0.25">
      <c r="A96" s="55" t="str">
        <f>IF(StList!E88&lt;&gt;"",StList!E88,"")</f>
        <v/>
      </c>
      <c r="B96" s="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4"/>
      <c r="N96" s="17" t="str">
        <f t="shared" si="6"/>
        <v/>
      </c>
      <c r="O96" s="24">
        <f>IF(StList!A88&lt;&gt;"",StList!A88,"")</f>
        <v>86</v>
      </c>
      <c r="P96" s="24" t="str">
        <f>IF(StList!B88&lt;&gt;"",StList!B88,"")</f>
        <v>Pharmaceutical sciences</v>
      </c>
      <c r="Q96" s="56" t="str">
        <f>IF(StList!F88&lt;&gt;"",StList!F88,"")</f>
        <v/>
      </c>
    </row>
    <row r="97" spans="1:17" ht="21.75" hidden="1" customHeight="1" x14ac:dyDescent="0.25">
      <c r="A97" s="55" t="str">
        <f>IF(StList!E89&lt;&gt;"",StList!E89,"")</f>
        <v/>
      </c>
      <c r="B97" s="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4"/>
      <c r="N97" s="17" t="str">
        <f t="shared" si="6"/>
        <v/>
      </c>
      <c r="O97" s="24">
        <f>IF(StList!A89&lt;&gt;"",StList!A89,"")</f>
        <v>87</v>
      </c>
      <c r="P97" s="24" t="str">
        <f>IF(StList!B89&lt;&gt;"",StList!B89,"")</f>
        <v>Pharmaceutical sciences</v>
      </c>
      <c r="Q97" s="56" t="str">
        <f>IF(StList!F89&lt;&gt;"",StList!F89,"")</f>
        <v/>
      </c>
    </row>
    <row r="98" spans="1:17" ht="21.75" hidden="1" customHeight="1" x14ac:dyDescent="0.25">
      <c r="A98" s="55" t="str">
        <f>IF(StList!E90&lt;&gt;"",StList!E90,"")</f>
        <v/>
      </c>
      <c r="B98" s="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4"/>
      <c r="N98" s="17" t="str">
        <f t="shared" si="6"/>
        <v/>
      </c>
      <c r="O98" s="24">
        <f>IF(StList!A90&lt;&gt;"",StList!A90,"")</f>
        <v>88</v>
      </c>
      <c r="P98" s="24" t="str">
        <f>IF(StList!B90&lt;&gt;"",StList!B90,"")</f>
        <v>Pharmaceutical sciences</v>
      </c>
      <c r="Q98" s="56" t="str">
        <f>IF(StList!F90&lt;&gt;"",StList!F90,"")</f>
        <v/>
      </c>
    </row>
    <row r="99" spans="1:17" ht="21.75" hidden="1" customHeight="1" x14ac:dyDescent="0.25">
      <c r="A99" s="55" t="str">
        <f>IF(StList!E91&lt;&gt;"",StList!E91,"")</f>
        <v/>
      </c>
      <c r="B99" s="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4"/>
      <c r="N99" s="17" t="str">
        <f t="shared" si="6"/>
        <v/>
      </c>
      <c r="O99" s="24">
        <f>IF(StList!A91&lt;&gt;"",StList!A91,"")</f>
        <v>89</v>
      </c>
      <c r="P99" s="24" t="str">
        <f>IF(StList!B91&lt;&gt;"",StList!B91,"")</f>
        <v>Pharmaceutical sciences</v>
      </c>
      <c r="Q99" s="56" t="str">
        <f>IF(StList!F91&lt;&gt;"",StList!F91,"")</f>
        <v/>
      </c>
    </row>
    <row r="100" spans="1:17" ht="21.75" hidden="1" customHeight="1" x14ac:dyDescent="0.25">
      <c r="A100" s="55" t="str">
        <f>IF(StList!E92&lt;&gt;"",StList!E92,"")</f>
        <v/>
      </c>
      <c r="B100" s="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4"/>
      <c r="N100" s="17" t="str">
        <f t="shared" si="6"/>
        <v/>
      </c>
      <c r="O100" s="24">
        <f>IF(StList!A92&lt;&gt;"",StList!A92,"")</f>
        <v>90</v>
      </c>
      <c r="P100" s="24" t="str">
        <f>IF(StList!B92&lt;&gt;"",StList!B92,"")</f>
        <v>Pharmaceutical sciences</v>
      </c>
      <c r="Q100" s="56" t="str">
        <f>IF(StList!F92&lt;&gt;"",StList!F92,"")</f>
        <v/>
      </c>
    </row>
    <row r="101" spans="1:17" ht="21.75" hidden="1" customHeight="1" x14ac:dyDescent="0.25">
      <c r="A101" s="55" t="str">
        <f>IF(StList!E93&lt;&gt;"",StList!E93,"")</f>
        <v/>
      </c>
      <c r="B101" s="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4"/>
      <c r="N101" s="17" t="str">
        <f t="shared" si="6"/>
        <v/>
      </c>
      <c r="O101" s="24">
        <f>IF(StList!A93&lt;&gt;"",StList!A93,"")</f>
        <v>91</v>
      </c>
      <c r="P101" s="24" t="str">
        <f>IF(StList!B93&lt;&gt;"",StList!B93,"")</f>
        <v>Pharmaceutical sciences</v>
      </c>
      <c r="Q101" s="56" t="str">
        <f>IF(StList!F93&lt;&gt;"",StList!F93,"")</f>
        <v/>
      </c>
    </row>
    <row r="102" spans="1:17" ht="21.75" hidden="1" customHeight="1" x14ac:dyDescent="0.25">
      <c r="A102" s="55" t="str">
        <f>IF(StList!E94&lt;&gt;"",StList!E94,"")</f>
        <v/>
      </c>
      <c r="B102" s="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4"/>
      <c r="N102" s="17" t="str">
        <f t="shared" si="6"/>
        <v/>
      </c>
      <c r="O102" s="24">
        <f>IF(StList!A94&lt;&gt;"",StList!A94,"")</f>
        <v>92</v>
      </c>
      <c r="P102" s="24" t="str">
        <f>IF(StList!B94&lt;&gt;"",StList!B94,"")</f>
        <v>Pharmaceutical sciences</v>
      </c>
      <c r="Q102" s="56" t="str">
        <f>IF(StList!F94&lt;&gt;"",StList!F94,"")</f>
        <v/>
      </c>
    </row>
    <row r="103" spans="1:17" ht="21.75" hidden="1" customHeight="1" x14ac:dyDescent="0.25">
      <c r="A103" s="55" t="str">
        <f>IF(StList!E95&lt;&gt;"",StList!E95,"")</f>
        <v/>
      </c>
      <c r="B103" s="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4"/>
      <c r="N103" s="17" t="str">
        <f t="shared" si="6"/>
        <v/>
      </c>
      <c r="O103" s="24">
        <f>IF(StList!A95&lt;&gt;"",StList!A95,"")</f>
        <v>93</v>
      </c>
      <c r="P103" s="24" t="str">
        <f>IF(StList!B95&lt;&gt;"",StList!B95,"")</f>
        <v>Pharmaceutical sciences</v>
      </c>
      <c r="Q103" s="56" t="str">
        <f>IF(StList!F95&lt;&gt;"",StList!F95,"")</f>
        <v/>
      </c>
    </row>
    <row r="104" spans="1:17" ht="21.75" hidden="1" customHeight="1" x14ac:dyDescent="0.25">
      <c r="A104" s="55" t="str">
        <f>IF(StList!E96&lt;&gt;"",StList!E96,"")</f>
        <v/>
      </c>
      <c r="B104" s="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4"/>
      <c r="N104" s="17" t="str">
        <f t="shared" si="6"/>
        <v/>
      </c>
      <c r="O104" s="24">
        <f>IF(StList!A96&lt;&gt;"",StList!A96,"")</f>
        <v>94</v>
      </c>
      <c r="P104" s="24" t="str">
        <f>IF(StList!B96&lt;&gt;"",StList!B96,"")</f>
        <v>Pharmaceutical sciences</v>
      </c>
      <c r="Q104" s="56" t="str">
        <f>IF(StList!F96&lt;&gt;"",StList!F96,"")</f>
        <v/>
      </c>
    </row>
    <row r="105" spans="1:17" ht="21.75" hidden="1" customHeight="1" x14ac:dyDescent="0.25">
      <c r="A105" s="55" t="str">
        <f>IF(StList!E97&lt;&gt;"",StList!E97,"")</f>
        <v/>
      </c>
      <c r="B105" s="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4"/>
      <c r="N105" s="17" t="str">
        <f t="shared" si="6"/>
        <v/>
      </c>
      <c r="O105" s="24">
        <f>IF(StList!A97&lt;&gt;"",StList!A97,"")</f>
        <v>95</v>
      </c>
      <c r="P105" s="24" t="str">
        <f>IF(StList!B97&lt;&gt;"",StList!B97,"")</f>
        <v>Pharmaceutical sciences</v>
      </c>
      <c r="Q105" s="56" t="str">
        <f>IF(StList!F97&lt;&gt;"",StList!F97,"")</f>
        <v/>
      </c>
    </row>
    <row r="106" spans="1:17" ht="21.75" hidden="1" customHeight="1" x14ac:dyDescent="0.25">
      <c r="A106" s="55" t="str">
        <f>IF(StList!E98&lt;&gt;"",StList!E98,"")</f>
        <v/>
      </c>
      <c r="B106" s="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4"/>
      <c r="N106" s="17" t="str">
        <f t="shared" si="6"/>
        <v/>
      </c>
      <c r="O106" s="24">
        <f>IF(StList!A98&lt;&gt;"",StList!A98,"")</f>
        <v>96</v>
      </c>
      <c r="P106" s="24" t="str">
        <f>IF(StList!B98&lt;&gt;"",StList!B98,"")</f>
        <v>Pharmaceutical sciences</v>
      </c>
      <c r="Q106" s="56" t="str">
        <f>IF(StList!F98&lt;&gt;"",StList!F98,"")</f>
        <v/>
      </c>
    </row>
    <row r="107" spans="1:17" ht="21.75" hidden="1" customHeight="1" x14ac:dyDescent="0.25">
      <c r="A107" s="55" t="str">
        <f>IF(StList!E99&lt;&gt;"",StList!E99,"")</f>
        <v/>
      </c>
      <c r="B107" s="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4"/>
      <c r="N107" s="17" t="str">
        <f t="shared" si="6"/>
        <v/>
      </c>
      <c r="O107" s="24">
        <f>IF(StList!A99&lt;&gt;"",StList!A99,"")</f>
        <v>97</v>
      </c>
      <c r="P107" s="24" t="str">
        <f>IF(StList!B99&lt;&gt;"",StList!B99,"")</f>
        <v>Pharmaceutical sciences</v>
      </c>
      <c r="Q107" s="56" t="str">
        <f>IF(StList!F99&lt;&gt;"",StList!F99,"")</f>
        <v/>
      </c>
    </row>
    <row r="108" spans="1:17" ht="21.75" hidden="1" customHeight="1" x14ac:dyDescent="0.25">
      <c r="A108" s="55" t="str">
        <f>IF(StList!E100&lt;&gt;"",StList!E100,"")</f>
        <v/>
      </c>
      <c r="B108" s="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4"/>
      <c r="N108" s="17" t="str">
        <f t="shared" si="6"/>
        <v/>
      </c>
      <c r="O108" s="24">
        <f>IF(StList!A100&lt;&gt;"",StList!A100,"")</f>
        <v>98</v>
      </c>
      <c r="P108" s="24" t="str">
        <f>IF(StList!B100&lt;&gt;"",StList!B100,"")</f>
        <v>Pharmaceutical sciences</v>
      </c>
      <c r="Q108" s="56" t="str">
        <f>IF(StList!F100&lt;&gt;"",StList!F100,"")</f>
        <v/>
      </c>
    </row>
    <row r="109" spans="1:17" ht="21.75" hidden="1" customHeight="1" x14ac:dyDescent="0.25">
      <c r="A109" s="55" t="str">
        <f>IF(StList!E101&lt;&gt;"",StList!E101,"")</f>
        <v/>
      </c>
      <c r="B109" s="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4"/>
      <c r="N109" s="17" t="str">
        <f t="shared" si="6"/>
        <v/>
      </c>
      <c r="O109" s="24">
        <f>IF(StList!A101&lt;&gt;"",StList!A101,"")</f>
        <v>99</v>
      </c>
      <c r="P109" s="24" t="str">
        <f>IF(StList!B101&lt;&gt;"",StList!B101,"")</f>
        <v>Pharmaceutical sciences</v>
      </c>
      <c r="Q109" s="56" t="str">
        <f>IF(StList!F101&lt;&gt;"",StList!F101,"")</f>
        <v/>
      </c>
    </row>
    <row r="110" spans="1:17" ht="21.75" hidden="1" customHeight="1" x14ac:dyDescent="0.25">
      <c r="A110" s="55" t="str">
        <f>IF(StList!E102&lt;&gt;"",StList!E102,"")</f>
        <v/>
      </c>
      <c r="B110" s="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4"/>
      <c r="N110" s="17" t="str">
        <f t="shared" si="6"/>
        <v/>
      </c>
      <c r="O110" s="24">
        <f>IF(StList!A102&lt;&gt;"",StList!A102,"")</f>
        <v>100</v>
      </c>
      <c r="P110" s="24" t="str">
        <f>IF(StList!B102&lt;&gt;"",StList!B102,"")</f>
        <v>Pharmaceutical sciences</v>
      </c>
      <c r="Q110" s="56" t="str">
        <f>IF(StList!F102&lt;&gt;"",StList!F102,"")</f>
        <v/>
      </c>
    </row>
    <row r="111" spans="1:17" ht="21.75" hidden="1" customHeight="1" x14ac:dyDescent="0.25">
      <c r="A111" s="55" t="str">
        <f>IF(StList!E103&lt;&gt;"",StList!E103,"")</f>
        <v/>
      </c>
      <c r="B111" s="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4"/>
      <c r="N111" s="17" t="str">
        <f t="shared" si="6"/>
        <v/>
      </c>
      <c r="O111" s="24">
        <f>IF(StList!A103&lt;&gt;"",StList!A103,"")</f>
        <v>101</v>
      </c>
      <c r="P111" s="24" t="str">
        <f>IF(StList!B103&lt;&gt;"",StList!B103,"")</f>
        <v>Pharmaceutical sciences</v>
      </c>
      <c r="Q111" s="56" t="str">
        <f>IF(StList!F103&lt;&gt;"",StList!F103,"")</f>
        <v/>
      </c>
    </row>
    <row r="112" spans="1:17" ht="21.75" hidden="1" customHeight="1" x14ac:dyDescent="0.25">
      <c r="A112" s="55" t="str">
        <f>IF(StList!E104&lt;&gt;"",StList!E104,"")</f>
        <v/>
      </c>
      <c r="B112" s="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4"/>
      <c r="N112" s="17" t="str">
        <f t="shared" si="6"/>
        <v/>
      </c>
      <c r="O112" s="24">
        <f>IF(StList!A104&lt;&gt;"",StList!A104,"")</f>
        <v>102</v>
      </c>
      <c r="P112" s="24" t="str">
        <f>IF(StList!B104&lt;&gt;"",StList!B104,"")</f>
        <v>Pharmaceutical sciences</v>
      </c>
      <c r="Q112" s="56" t="str">
        <f>IF(StList!F104&lt;&gt;"",StList!F104,"")</f>
        <v/>
      </c>
    </row>
    <row r="113" spans="1:17" ht="21.75" hidden="1" customHeight="1" x14ac:dyDescent="0.25">
      <c r="A113" s="55" t="str">
        <f>IF(StList!E105&lt;&gt;"",StList!E105,"")</f>
        <v/>
      </c>
      <c r="B113" s="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4"/>
      <c r="N113" s="17" t="str">
        <f t="shared" si="6"/>
        <v/>
      </c>
      <c r="O113" s="24">
        <f>IF(StList!A105&lt;&gt;"",StList!A105,"")</f>
        <v>103</v>
      </c>
      <c r="P113" s="24" t="str">
        <f>IF(StList!B105&lt;&gt;"",StList!B105,"")</f>
        <v>Pharmaceutical sciences</v>
      </c>
      <c r="Q113" s="56" t="str">
        <f>IF(StList!F105&lt;&gt;"",StList!F105,"")</f>
        <v/>
      </c>
    </row>
    <row r="114" spans="1:17" ht="21.75" hidden="1" customHeight="1" x14ac:dyDescent="0.25">
      <c r="A114" s="55" t="str">
        <f>IF(StList!E106&lt;&gt;"",StList!E106,"")</f>
        <v/>
      </c>
      <c r="B114" s="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4"/>
      <c r="N114" s="17" t="str">
        <f t="shared" si="6"/>
        <v/>
      </c>
      <c r="O114" s="24">
        <f>IF(StList!A106&lt;&gt;"",StList!A106,"")</f>
        <v>104</v>
      </c>
      <c r="P114" s="24" t="str">
        <f>IF(StList!B106&lt;&gt;"",StList!B106,"")</f>
        <v>Pharmaceutical sciences</v>
      </c>
      <c r="Q114" s="56" t="str">
        <f>IF(StList!F106&lt;&gt;"",StList!F106,"")</f>
        <v/>
      </c>
    </row>
    <row r="115" spans="1:17" ht="21.75" hidden="1" customHeight="1" x14ac:dyDescent="0.25">
      <c r="A115" s="55" t="str">
        <f>IF(StList!E107&lt;&gt;"",StList!E107,"")</f>
        <v/>
      </c>
      <c r="B115" s="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4"/>
      <c r="N115" s="17" t="str">
        <f t="shared" si="6"/>
        <v/>
      </c>
      <c r="O115" s="24">
        <f>IF(StList!A107&lt;&gt;"",StList!A107,"")</f>
        <v>105</v>
      </c>
      <c r="P115" s="24" t="str">
        <f>IF(StList!B107&lt;&gt;"",StList!B107,"")</f>
        <v>Pharmaceutical sciences</v>
      </c>
      <c r="Q115" s="56" t="str">
        <f>IF(StList!F107&lt;&gt;"",StList!F107,"")</f>
        <v/>
      </c>
    </row>
    <row r="116" spans="1:17" ht="21.75" hidden="1" customHeight="1" x14ac:dyDescent="0.25">
      <c r="A116" s="55" t="str">
        <f>IF(StList!E108&lt;&gt;"",StList!E108,"")</f>
        <v/>
      </c>
      <c r="B116" s="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4"/>
      <c r="N116" s="17" t="str">
        <f t="shared" si="6"/>
        <v/>
      </c>
      <c r="O116" s="24">
        <f>IF(StList!A108&lt;&gt;"",StList!A108,"")</f>
        <v>106</v>
      </c>
      <c r="P116" s="24" t="str">
        <f>IF(StList!B108&lt;&gt;"",StList!B108,"")</f>
        <v>Pharmaceutical sciences</v>
      </c>
      <c r="Q116" s="56" t="str">
        <f>IF(StList!F108&lt;&gt;"",StList!F108,"")</f>
        <v/>
      </c>
    </row>
    <row r="117" spans="1:17" ht="21.75" hidden="1" customHeight="1" x14ac:dyDescent="0.25">
      <c r="A117" s="55" t="str">
        <f>IF(StList!E109&lt;&gt;"",StList!E109,"")</f>
        <v/>
      </c>
      <c r="B117" s="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4"/>
      <c r="N117" s="17" t="str">
        <f t="shared" si="6"/>
        <v/>
      </c>
      <c r="O117" s="24">
        <f>IF(StList!A109&lt;&gt;"",StList!A109,"")</f>
        <v>107</v>
      </c>
      <c r="P117" s="24" t="str">
        <f>IF(StList!B109&lt;&gt;"",StList!B109,"")</f>
        <v>Pharmaceutical sciences</v>
      </c>
      <c r="Q117" s="56" t="str">
        <f>IF(StList!F109&lt;&gt;"",StList!F109,"")</f>
        <v/>
      </c>
    </row>
    <row r="118" spans="1:17" ht="21.75" hidden="1" customHeight="1" x14ac:dyDescent="0.25">
      <c r="A118" s="55" t="str">
        <f>IF(StList!E110&lt;&gt;"",StList!E110,"")</f>
        <v/>
      </c>
      <c r="B118" s="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4"/>
      <c r="N118" s="17" t="str">
        <f t="shared" si="6"/>
        <v/>
      </c>
      <c r="O118" s="24">
        <f>IF(StList!A110&lt;&gt;"",StList!A110,"")</f>
        <v>108</v>
      </c>
      <c r="P118" s="24" t="str">
        <f>IF(StList!B110&lt;&gt;"",StList!B110,"")</f>
        <v>Pharmaceutical sciences</v>
      </c>
      <c r="Q118" s="56" t="str">
        <f>IF(StList!F110&lt;&gt;"",StList!F110,"")</f>
        <v/>
      </c>
    </row>
    <row r="119" spans="1:17" ht="21.75" hidden="1" customHeight="1" x14ac:dyDescent="0.25">
      <c r="A119" s="55" t="str">
        <f>IF(StList!E111&lt;&gt;"",StList!E111,"")</f>
        <v/>
      </c>
      <c r="B119" s="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4"/>
      <c r="N119" s="17" t="str">
        <f t="shared" si="6"/>
        <v/>
      </c>
      <c r="O119" s="24">
        <f>IF(StList!A111&lt;&gt;"",StList!A111,"")</f>
        <v>109</v>
      </c>
      <c r="P119" s="24" t="str">
        <f>IF(StList!B111&lt;&gt;"",StList!B111,"")</f>
        <v>Pharmaceutical sciences</v>
      </c>
      <c r="Q119" s="56" t="str">
        <f>IF(StList!F111&lt;&gt;"",StList!F111,"")</f>
        <v/>
      </c>
    </row>
    <row r="120" spans="1:17" ht="21.75" hidden="1" customHeight="1" x14ac:dyDescent="0.25">
      <c r="A120" s="55" t="str">
        <f>IF(StList!E112&lt;&gt;"",StList!E112,"")</f>
        <v/>
      </c>
      <c r="B120" s="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4"/>
      <c r="N120" s="17" t="str">
        <f t="shared" si="6"/>
        <v/>
      </c>
      <c r="O120" s="24">
        <f>IF(StList!A112&lt;&gt;"",StList!A112,"")</f>
        <v>110</v>
      </c>
      <c r="P120" s="24" t="str">
        <f>IF(StList!B112&lt;&gt;"",StList!B112,"")</f>
        <v>Pharmaceutical sciences</v>
      </c>
      <c r="Q120" s="56" t="str">
        <f>IF(StList!F112&lt;&gt;"",StList!F112,"")</f>
        <v/>
      </c>
    </row>
    <row r="121" spans="1:17" ht="21.75" hidden="1" customHeight="1" x14ac:dyDescent="0.25">
      <c r="A121" s="55" t="str">
        <f>IF(StList!E113&lt;&gt;"",StList!E113,"")</f>
        <v/>
      </c>
      <c r="N121" s="17" t="str">
        <f>IF(SUM(B121:L121),SUM(B121:M121),"")</f>
        <v/>
      </c>
      <c r="Q121" s="56" t="str">
        <f>IF(StList!F113&lt;&gt;"",StList!F113,"")</f>
        <v/>
      </c>
    </row>
    <row r="123" spans="1:17" ht="21.75" hidden="1" customHeight="1" thickBot="1" x14ac:dyDescent="0.3">
      <c r="A123" s="256" t="s">
        <v>84</v>
      </c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8"/>
    </row>
    <row r="124" spans="1:17" ht="21.75" hidden="1" customHeight="1" x14ac:dyDescent="0.25">
      <c r="A124" s="94">
        <v>1</v>
      </c>
      <c r="B124" s="259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260"/>
    </row>
    <row r="125" spans="1:17" ht="21.75" hidden="1" customHeight="1" x14ac:dyDescent="0.25">
      <c r="A125" s="92">
        <v>2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60"/>
    </row>
    <row r="126" spans="1:17" ht="21.75" hidden="1" customHeight="1" x14ac:dyDescent="0.25">
      <c r="A126" s="92">
        <v>3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60"/>
    </row>
    <row r="127" spans="1:17" ht="21.75" hidden="1" customHeight="1" thickBot="1" x14ac:dyDescent="0.3">
      <c r="A127" s="93">
        <v>4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1"/>
    </row>
    <row r="128" spans="1:17" ht="21.75" hidden="1" customHeight="1" thickBot="1" x14ac:dyDescent="0.3">
      <c r="A128" s="256" t="s">
        <v>85</v>
      </c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8"/>
    </row>
    <row r="129" spans="1:14" ht="21.75" hidden="1" customHeight="1" x14ac:dyDescent="0.25">
      <c r="A129" s="94">
        <v>1</v>
      </c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3"/>
    </row>
    <row r="130" spans="1:14" ht="21.75" hidden="1" customHeight="1" x14ac:dyDescent="0.25">
      <c r="A130" s="92">
        <v>2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60"/>
    </row>
    <row r="131" spans="1:14" ht="21.75" hidden="1" customHeight="1" x14ac:dyDescent="0.25">
      <c r="A131" s="92">
        <v>3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60"/>
    </row>
    <row r="132" spans="1:14" ht="21.75" hidden="1" customHeight="1" thickBot="1" x14ac:dyDescent="0.3">
      <c r="A132" s="93">
        <v>4</v>
      </c>
      <c r="B132" s="270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270"/>
      <c r="N132" s="271"/>
    </row>
    <row r="133" spans="1:14" ht="21.75" hidden="1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 x14ac:dyDescent="0.25">
      <c r="A134" s="274" t="s">
        <v>133</v>
      </c>
      <c r="B134" s="274"/>
      <c r="C134" s="274"/>
      <c r="D134" s="274"/>
      <c r="E134" s="274"/>
      <c r="F134" s="274"/>
      <c r="G134" s="274" t="s">
        <v>114</v>
      </c>
      <c r="H134" s="274"/>
      <c r="I134" s="274"/>
      <c r="J134" s="274" t="s">
        <v>134</v>
      </c>
      <c r="K134" s="274"/>
      <c r="L134" s="274"/>
      <c r="M134" s="274"/>
      <c r="N134" s="274"/>
    </row>
    <row r="135" spans="1:14" ht="36.75" customHeight="1" x14ac:dyDescent="0.25">
      <c r="A135" s="150" t="s">
        <v>8</v>
      </c>
      <c r="B135" s="275" t="str">
        <f>Config!B2</f>
        <v>Dr Md Tanwir Athar</v>
      </c>
      <c r="C135" s="275"/>
      <c r="D135" s="275"/>
      <c r="E135" s="275"/>
      <c r="F135" s="275"/>
      <c r="G135" s="276"/>
      <c r="H135" s="277"/>
      <c r="I135" s="278"/>
      <c r="J135" s="259" t="s">
        <v>91</v>
      </c>
      <c r="K135" s="259"/>
      <c r="L135" s="259"/>
      <c r="M135" s="259"/>
      <c r="N135" s="210"/>
    </row>
    <row r="136" spans="1:14" ht="36.75" customHeight="1" x14ac:dyDescent="0.25">
      <c r="A136" s="73" t="s">
        <v>86</v>
      </c>
      <c r="B136" s="275"/>
      <c r="C136" s="275"/>
      <c r="D136" s="275"/>
      <c r="E136" s="275"/>
      <c r="F136" s="275"/>
      <c r="G136" s="279"/>
      <c r="H136" s="280"/>
      <c r="I136" s="281"/>
      <c r="J136" s="259" t="s">
        <v>86</v>
      </c>
      <c r="K136" s="259"/>
      <c r="L136" s="259"/>
      <c r="M136" s="259"/>
      <c r="N136" s="210"/>
    </row>
  </sheetData>
  <sheetProtection sheet="1" objects="1" scenarios="1"/>
  <mergeCells count="25">
    <mergeCell ref="B135:F135"/>
    <mergeCell ref="J135:M135"/>
    <mergeCell ref="B136:F136"/>
    <mergeCell ref="J136:M136"/>
    <mergeCell ref="G135:I136"/>
    <mergeCell ref="B131:N131"/>
    <mergeCell ref="B132:N132"/>
    <mergeCell ref="A134:F134"/>
    <mergeCell ref="G134:I134"/>
    <mergeCell ref="J134:N134"/>
    <mergeCell ref="B126:N126"/>
    <mergeCell ref="B127:N127"/>
    <mergeCell ref="A128:N128"/>
    <mergeCell ref="B129:N129"/>
    <mergeCell ref="B130:N130"/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</mergeCells>
  <conditionalFormatting sqref="N12:N121 B3:N120">
    <cfRule type="cellIs" dxfId="39" priority="75" operator="equal">
      <formula>0</formula>
    </cfRule>
  </conditionalFormatting>
  <conditionalFormatting sqref="N12:N121 B3:N120">
    <cfRule type="containsBlanks" dxfId="38" priority="74">
      <formula>LEN(TRIM(B3))=0</formula>
    </cfRule>
  </conditionalFormatting>
  <conditionalFormatting sqref="O1:O10 P1:Q8 P10:Q10">
    <cfRule type="containsBlanks" dxfId="37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  <pageSetUpPr fitToPage="1"/>
  </sheetPr>
  <dimension ref="A1:B24"/>
  <sheetViews>
    <sheetView topLeftCell="A14" workbookViewId="0">
      <selection activeCell="B18" sqref="B18"/>
    </sheetView>
  </sheetViews>
  <sheetFormatPr defaultColWidth="9" defaultRowHeight="29.25" customHeight="1" x14ac:dyDescent="0.25"/>
  <cols>
    <col min="1" max="1" width="37.140625" style="199" customWidth="1"/>
    <col min="2" max="2" width="56.28515625" style="199" customWidth="1"/>
    <col min="3" max="16384" width="9" style="199"/>
  </cols>
  <sheetData>
    <row r="1" spans="1:2" ht="29.25" customHeight="1" x14ac:dyDescent="0.25">
      <c r="A1" s="204" t="s">
        <v>234</v>
      </c>
      <c r="B1" s="203" t="s">
        <v>233</v>
      </c>
    </row>
    <row r="2" spans="1:2" ht="29.25" customHeight="1" x14ac:dyDescent="0.25">
      <c r="A2" s="202" t="s">
        <v>232</v>
      </c>
      <c r="B2" s="201"/>
    </row>
    <row r="3" spans="1:2" ht="29.25" customHeight="1" x14ac:dyDescent="0.25">
      <c r="A3" s="202" t="s">
        <v>150</v>
      </c>
      <c r="B3" s="201"/>
    </row>
    <row r="4" spans="1:2" ht="29.25" customHeight="1" x14ac:dyDescent="0.25">
      <c r="A4" s="202" t="s">
        <v>231</v>
      </c>
      <c r="B4" s="201"/>
    </row>
    <row r="5" spans="1:2" ht="29.25" customHeight="1" x14ac:dyDescent="0.25">
      <c r="A5" s="202" t="s">
        <v>230</v>
      </c>
      <c r="B5" s="201"/>
    </row>
    <row r="6" spans="1:2" ht="29.25" customHeight="1" x14ac:dyDescent="0.25">
      <c r="A6" s="202" t="s">
        <v>229</v>
      </c>
      <c r="B6" s="201"/>
    </row>
    <row r="7" spans="1:2" ht="29.25" customHeight="1" x14ac:dyDescent="0.25">
      <c r="A7" s="202" t="s">
        <v>136</v>
      </c>
      <c r="B7" s="201"/>
    </row>
    <row r="8" spans="1:2" ht="29.25" customHeight="1" x14ac:dyDescent="0.25">
      <c r="A8" s="202" t="s">
        <v>147</v>
      </c>
      <c r="B8" s="201"/>
    </row>
    <row r="9" spans="1:2" ht="29.25" customHeight="1" x14ac:dyDescent="0.25">
      <c r="A9" s="202" t="s">
        <v>228</v>
      </c>
      <c r="B9" s="201"/>
    </row>
    <row r="10" spans="1:2" ht="29.25" customHeight="1" x14ac:dyDescent="0.25">
      <c r="A10" s="202" t="s">
        <v>227</v>
      </c>
      <c r="B10" s="201"/>
    </row>
    <row r="11" spans="1:2" ht="29.25" customHeight="1" x14ac:dyDescent="0.25">
      <c r="A11" s="202" t="s">
        <v>226</v>
      </c>
      <c r="B11" s="201"/>
    </row>
    <row r="12" spans="1:2" ht="29.25" customHeight="1" x14ac:dyDescent="0.25">
      <c r="A12" s="202" t="s">
        <v>225</v>
      </c>
      <c r="B12" s="201"/>
    </row>
    <row r="13" spans="1:2" ht="29.25" customHeight="1" x14ac:dyDescent="0.25">
      <c r="A13" s="202" t="s">
        <v>224</v>
      </c>
      <c r="B13" s="201"/>
    </row>
    <row r="14" spans="1:2" ht="29.25" customHeight="1" x14ac:dyDescent="0.25">
      <c r="A14" s="202" t="s">
        <v>223</v>
      </c>
      <c r="B14" s="201"/>
    </row>
    <row r="15" spans="1:2" ht="29.25" customHeight="1" x14ac:dyDescent="0.25">
      <c r="A15" s="202" t="s">
        <v>222</v>
      </c>
      <c r="B15" s="201"/>
    </row>
    <row r="16" spans="1:2" ht="29.25" customHeight="1" x14ac:dyDescent="0.25">
      <c r="A16" s="202" t="s">
        <v>221</v>
      </c>
      <c r="B16" s="201"/>
    </row>
    <row r="17" spans="1:2" ht="29.25" customHeight="1" x14ac:dyDescent="0.25">
      <c r="A17" s="202" t="s">
        <v>220</v>
      </c>
      <c r="B17" s="201"/>
    </row>
    <row r="18" spans="1:2" ht="29.25" customHeight="1" x14ac:dyDescent="0.25">
      <c r="A18" s="202" t="s">
        <v>219</v>
      </c>
      <c r="B18" s="201"/>
    </row>
    <row r="19" spans="1:2" ht="29.25" customHeight="1" x14ac:dyDescent="0.25">
      <c r="A19" s="202" t="s">
        <v>218</v>
      </c>
      <c r="B19" s="201"/>
    </row>
    <row r="20" spans="1:2" ht="29.25" customHeight="1" x14ac:dyDescent="0.25">
      <c r="A20" s="202" t="s">
        <v>217</v>
      </c>
      <c r="B20" s="201"/>
    </row>
    <row r="21" spans="1:2" ht="29.25" customHeight="1" x14ac:dyDescent="0.25">
      <c r="A21" s="397" t="s">
        <v>216</v>
      </c>
      <c r="B21" s="201" t="s">
        <v>215</v>
      </c>
    </row>
    <row r="22" spans="1:2" ht="29.25" customHeight="1" x14ac:dyDescent="0.25">
      <c r="A22" s="398"/>
      <c r="B22" s="201"/>
    </row>
    <row r="23" spans="1:2" ht="29.25" customHeight="1" x14ac:dyDescent="0.25">
      <c r="A23" s="398"/>
      <c r="B23" s="201"/>
    </row>
    <row r="24" spans="1:2" ht="29.25" customHeight="1" x14ac:dyDescent="0.25">
      <c r="A24" s="399"/>
      <c r="B24" s="201"/>
    </row>
  </sheetData>
  <mergeCells count="1">
    <mergeCell ref="A21:A24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3" tint="-0.249977111117893"/>
    <pageSetUpPr fitToPage="1"/>
  </sheetPr>
  <dimension ref="A1:O50"/>
  <sheetViews>
    <sheetView showGridLines="0" workbookViewId="0">
      <selection activeCell="S18" sqref="S18"/>
    </sheetView>
  </sheetViews>
  <sheetFormatPr defaultColWidth="9.140625" defaultRowHeight="26.25" customHeight="1" x14ac:dyDescent="0.25"/>
  <cols>
    <col min="1" max="1" width="19.7109375" style="1" customWidth="1"/>
    <col min="2" max="13" width="8" style="1" customWidth="1"/>
    <col min="14" max="14" width="9.85546875" style="1" customWidth="1"/>
    <col min="15" max="15" width="9.140625" style="1" hidden="1" customWidth="1"/>
    <col min="16" max="16" width="9.140625" style="1"/>
    <col min="17" max="17" width="11" style="1" bestFit="1" customWidth="1"/>
    <col min="18" max="16384" width="9.140625" style="1"/>
  </cols>
  <sheetData>
    <row r="1" spans="1:15" ht="26.25" customHeight="1" x14ac:dyDescent="0.25">
      <c r="A1" s="74" t="s">
        <v>58</v>
      </c>
      <c r="B1" s="400" t="str">
        <f>Config!B1</f>
        <v>pharmacy</v>
      </c>
      <c r="C1" s="400"/>
      <c r="D1" s="400"/>
      <c r="E1" s="400"/>
      <c r="F1" s="401"/>
      <c r="G1" s="75"/>
      <c r="H1" s="75"/>
      <c r="I1" s="75"/>
      <c r="J1" s="75"/>
      <c r="K1" s="412" t="s">
        <v>59</v>
      </c>
      <c r="L1" s="412"/>
      <c r="M1" s="412"/>
      <c r="N1" s="413"/>
    </row>
    <row r="2" spans="1:15" ht="26.25" customHeight="1" x14ac:dyDescent="0.25">
      <c r="A2" s="68" t="s">
        <v>60</v>
      </c>
      <c r="B2" s="402" t="str">
        <f>Config!B2</f>
        <v>Dr Md Tanwir Athar</v>
      </c>
      <c r="C2" s="402"/>
      <c r="D2" s="402"/>
      <c r="E2" s="402"/>
      <c r="F2" s="403"/>
      <c r="G2" s="26"/>
      <c r="H2" s="26"/>
      <c r="I2" s="26"/>
      <c r="J2" s="26"/>
      <c r="K2" s="414" t="s">
        <v>61</v>
      </c>
      <c r="L2" s="414"/>
      <c r="M2" s="414"/>
      <c r="N2" s="415"/>
    </row>
    <row r="3" spans="1:15" ht="26.25" customHeight="1" x14ac:dyDescent="0.25">
      <c r="A3" s="68" t="s">
        <v>37</v>
      </c>
      <c r="B3" s="404" t="str">
        <f>"Sem" &amp; Config!B3 &amp; " - " &amp; Config!C3 &amp; " - " &amp; Config!E3</f>
        <v>Sem462 - 1445 - 1446</v>
      </c>
      <c r="C3" s="404"/>
      <c r="D3" s="404"/>
      <c r="E3" s="404"/>
      <c r="F3" s="405"/>
      <c r="G3" s="26"/>
      <c r="H3" s="26"/>
      <c r="I3" s="26"/>
      <c r="J3" s="26"/>
      <c r="K3" s="414" t="s">
        <v>62</v>
      </c>
      <c r="L3" s="414"/>
      <c r="M3" s="414"/>
      <c r="N3" s="415"/>
    </row>
    <row r="4" spans="1:15" ht="42.75" customHeight="1" thickBot="1" x14ac:dyDescent="0.3">
      <c r="A4" s="76" t="s">
        <v>63</v>
      </c>
      <c r="B4" s="406" t="str">
        <f>Config!B4&amp;" / "&amp;Config!A10</f>
        <v>Pharmacognosy-I / PHG301</v>
      </c>
      <c r="C4" s="406"/>
      <c r="D4" s="406"/>
      <c r="E4" s="406"/>
      <c r="F4" s="407"/>
      <c r="G4" s="408"/>
      <c r="H4" s="408"/>
      <c r="I4" s="77"/>
      <c r="J4" s="416" t="str">
        <f>Config!L4</f>
        <v>كلية طب الاسنان والصيدلة</v>
      </c>
      <c r="K4" s="416"/>
      <c r="L4" s="416"/>
      <c r="M4" s="416"/>
      <c r="N4" s="417"/>
    </row>
    <row r="5" spans="1:15" ht="22.5" customHeight="1" thickBot="1" x14ac:dyDescent="0.3">
      <c r="A5" s="409" t="s">
        <v>104</v>
      </c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1"/>
    </row>
    <row r="6" spans="1:15" ht="26.25" customHeight="1" x14ac:dyDescent="0.25">
      <c r="A6" s="66" t="s">
        <v>250</v>
      </c>
      <c r="B6" s="95" t="str">
        <f>Config!E42</f>
        <v>K.1.1</v>
      </c>
      <c r="C6" s="95" t="str">
        <f>Config!F42</f>
        <v>K.1.2</v>
      </c>
      <c r="D6" s="95" t="str">
        <f>Config!G42</f>
        <v>K.2.1</v>
      </c>
      <c r="E6" s="95" t="str">
        <f>Config!H42</f>
        <v>K2.2</v>
      </c>
      <c r="F6" s="95" t="str">
        <f>Config!I42</f>
        <v>S.3.1</v>
      </c>
      <c r="G6" s="95" t="str">
        <f>Config!J42</f>
        <v>S.7.1</v>
      </c>
      <c r="H6" s="95">
        <f>Config!K42</f>
        <v>0</v>
      </c>
      <c r="I6" s="95">
        <f>Config!L42</f>
        <v>0</v>
      </c>
      <c r="J6" s="95">
        <f>Config!M42</f>
        <v>0</v>
      </c>
      <c r="K6" s="95">
        <f>Config!N42</f>
        <v>0</v>
      </c>
      <c r="L6" s="95">
        <f>Config!O42</f>
        <v>0</v>
      </c>
      <c r="M6" s="95" t="str">
        <f>Config!P42</f>
        <v>v2</v>
      </c>
      <c r="N6" s="67" t="s">
        <v>76</v>
      </c>
      <c r="O6" s="65" t="s">
        <v>77</v>
      </c>
    </row>
    <row r="7" spans="1:15" ht="26.25" customHeight="1" x14ac:dyDescent="0.25">
      <c r="A7" s="68" t="str">
        <f>Config!A43</f>
        <v>midterm exam 1</v>
      </c>
      <c r="B7" s="57">
        <f>IF('Mid1'!B6="","",'Mid1'!B6)</f>
        <v>63</v>
      </c>
      <c r="C7" s="57">
        <f>IF('Mid1'!C6="","",'Mid1'!C6)</f>
        <v>72</v>
      </c>
      <c r="D7" s="57">
        <f>IF('Mid1'!D6="","",'Mid1'!D6)</f>
        <v>45</v>
      </c>
      <c r="E7" s="57" t="str">
        <f>IF('Mid1'!E6="","",'Mid1'!E6)</f>
        <v/>
      </c>
      <c r="F7" s="57" t="str">
        <f>IF('Mid1'!F6="","",'Mid1'!F6)</f>
        <v/>
      </c>
      <c r="G7" s="57" t="str">
        <f>IF('Mid1'!G6="","",'Mid1'!G6)</f>
        <v/>
      </c>
      <c r="H7" s="57" t="str">
        <f>IF('Mid1'!H6="","",'Mid1'!H6)</f>
        <v/>
      </c>
      <c r="I7" s="57" t="str">
        <f>IF('Mid1'!I6="","",'Mid1'!I6)</f>
        <v/>
      </c>
      <c r="J7" s="57" t="str">
        <f>IF('Mid1'!J6="","",'Mid1'!J6)</f>
        <v/>
      </c>
      <c r="K7" s="57"/>
      <c r="L7" s="57" t="str">
        <f>IF('Mid1'!L6="","",'Mid1'!L6)</f>
        <v/>
      </c>
      <c r="M7" s="57" t="str">
        <f>IF('Mid1'!M6="","",'Mid1'!M6)</f>
        <v/>
      </c>
      <c r="N7" s="69">
        <f>SUM(B7:M7)</f>
        <v>180</v>
      </c>
      <c r="O7" s="9">
        <f>'Mid1'!N7</f>
        <v>9</v>
      </c>
    </row>
    <row r="8" spans="1:15" ht="26.25" customHeight="1" x14ac:dyDescent="0.25">
      <c r="A8" s="68" t="str">
        <f>Config!A44</f>
        <v>midterm exam 2</v>
      </c>
      <c r="B8" s="57" t="str">
        <f>IF('Mid2'!B6="","",'Mid2'!B6)</f>
        <v/>
      </c>
      <c r="C8" s="57" t="str">
        <f>IF('Mid2'!C6="","",'Mid2'!C6)</f>
        <v/>
      </c>
      <c r="D8" s="57" t="str">
        <f>IF('Mid2'!D6="","",'Mid2'!D6)</f>
        <v/>
      </c>
      <c r="E8" s="57" t="str">
        <f>IF('Mid2'!E6="","",'Mid2'!E6)</f>
        <v/>
      </c>
      <c r="F8" s="57" t="str">
        <f>IF('Mid2'!F6="","",'Mid2'!F6)</f>
        <v/>
      </c>
      <c r="G8" s="57" t="str">
        <f>IF('Mid2'!G6="","",'Mid2'!G6)</f>
        <v/>
      </c>
      <c r="H8" s="57" t="str">
        <f>IF('Mid2'!H6="","",'Mid2'!H6)</f>
        <v/>
      </c>
      <c r="I8" s="57" t="str">
        <f>IF('Mid2'!I6="","",'Mid2'!I6)</f>
        <v/>
      </c>
      <c r="J8" s="57" t="str">
        <f>IF('Mid2'!J6="","",'Mid2'!J6)</f>
        <v/>
      </c>
      <c r="K8" s="57"/>
      <c r="L8" s="57" t="str">
        <f>IF('Mid2'!L6="","",'Mid2'!L6)</f>
        <v/>
      </c>
      <c r="M8" s="57" t="str">
        <f>IF('Mid2'!M6="","",'Mid2'!M6)</f>
        <v/>
      </c>
      <c r="N8" s="69">
        <f t="shared" ref="N8:N18" si="0">SUM(B8:M8)</f>
        <v>0</v>
      </c>
      <c r="O8" s="9" t="str">
        <f>'Mid2'!N7</f>
        <v/>
      </c>
    </row>
    <row r="9" spans="1:15" ht="26.25" hidden="1" customHeight="1" x14ac:dyDescent="0.25">
      <c r="A9" s="68" t="s">
        <v>203</v>
      </c>
      <c r="B9" s="57" t="str">
        <f>IF('quiz 1'!B6="","",'quiz 1'!B6)</f>
        <v/>
      </c>
      <c r="C9" s="57">
        <f>IF('quiz 1'!C6="","",'quiz 1'!C6)</f>
        <v>45</v>
      </c>
      <c r="D9" s="57" t="str">
        <f>IF('quiz 1'!D6="","",'quiz 1'!D6)</f>
        <v/>
      </c>
      <c r="E9" s="57" t="str">
        <f>IF('quiz 1'!E6="","",'quiz 1'!E6)</f>
        <v/>
      </c>
      <c r="F9" s="57" t="str">
        <f>IF('quiz 1'!F6="","",'quiz 1'!F6)</f>
        <v/>
      </c>
      <c r="G9" s="57" t="str">
        <f>IF('quiz 1'!G6="","",'quiz 1'!G6)</f>
        <v/>
      </c>
      <c r="H9" s="57" t="str">
        <f>IF('quiz 1'!H6="","",'quiz 1'!H6)</f>
        <v/>
      </c>
      <c r="I9" s="57" t="str">
        <f>IF('quiz 1'!I6="","",'quiz 1'!I6)</f>
        <v/>
      </c>
      <c r="J9" s="57" t="str">
        <f>IF('quiz 1'!J6="","",'quiz 1'!J6)</f>
        <v/>
      </c>
      <c r="K9" s="57"/>
      <c r="L9" s="57" t="str">
        <f>IF('quiz 1'!L6="","",'quiz 1'!L6)</f>
        <v/>
      </c>
      <c r="M9" s="57" t="str">
        <f>IF('quiz 1'!M6="","",'quiz 1'!M6)</f>
        <v/>
      </c>
      <c r="N9" s="69">
        <f t="shared" si="0"/>
        <v>45</v>
      </c>
      <c r="O9" s="9">
        <f>'quiz 1'!N7</f>
        <v>9</v>
      </c>
    </row>
    <row r="10" spans="1:15" ht="26.25" hidden="1" customHeight="1" x14ac:dyDescent="0.25">
      <c r="A10" s="68" t="s">
        <v>78</v>
      </c>
      <c r="B10" s="57" t="str">
        <f>IF('quiz 2'!B6="","",'quiz 2'!B6)</f>
        <v/>
      </c>
      <c r="C10" s="57" t="str">
        <f>IF('quiz 2'!C6="","",'quiz 2'!C6)</f>
        <v/>
      </c>
      <c r="D10" s="57" t="str">
        <f>IF('quiz 2'!D6="","",'quiz 2'!D6)</f>
        <v/>
      </c>
      <c r="E10" s="57" t="str">
        <f>IF('quiz 2'!E6="","",'quiz 2'!E6)</f>
        <v/>
      </c>
      <c r="F10" s="57" t="str">
        <f>IF('quiz 2'!F6="","",'quiz 2'!F6)</f>
        <v/>
      </c>
      <c r="G10" s="57" t="str">
        <f>IF('quiz 2'!G6="","",'quiz 2'!G6)</f>
        <v/>
      </c>
      <c r="H10" s="57" t="str">
        <f>IF('quiz 2'!H6="","",'quiz 2'!H6)</f>
        <v/>
      </c>
      <c r="I10" s="57" t="str">
        <f>IF('quiz 2'!I6="","",'quiz 2'!I6)</f>
        <v/>
      </c>
      <c r="J10" s="57" t="str">
        <f>IF('quiz 2'!J6="","",'quiz 2'!J6)</f>
        <v/>
      </c>
      <c r="K10" s="57"/>
      <c r="L10" s="57" t="str">
        <f>IF('quiz 2'!L6="","",'quiz 2'!L6)</f>
        <v/>
      </c>
      <c r="M10" s="57" t="str">
        <f>IF('quiz 2'!M6="","",'quiz 2'!M6)</f>
        <v/>
      </c>
      <c r="N10" s="69">
        <f t="shared" si="0"/>
        <v>0</v>
      </c>
      <c r="O10" s="9" t="str">
        <f>'quiz 2'!N7</f>
        <v/>
      </c>
    </row>
    <row r="11" spans="1:15" ht="26.25" customHeight="1" x14ac:dyDescent="0.25">
      <c r="A11" s="68" t="str">
        <f>Config!A45</f>
        <v>quiz 1</v>
      </c>
      <c r="B11" s="57" t="str">
        <f>IF('quiz 1'!B6="","",'quiz 1'!B6)</f>
        <v/>
      </c>
      <c r="C11" s="57">
        <f>IF('quiz 1'!C6="","",'quiz 1'!C6)</f>
        <v>45</v>
      </c>
      <c r="D11" s="57" t="str">
        <f>IF('quiz 1'!D6="","",'quiz 1'!D6)</f>
        <v/>
      </c>
      <c r="E11" s="57" t="str">
        <f>IF('quiz 1'!E6="","",'quiz 1'!E6)</f>
        <v/>
      </c>
      <c r="F11" s="57" t="str">
        <f>IF('quiz 1'!F6="","",'quiz 1'!F6)</f>
        <v/>
      </c>
      <c r="G11" s="57" t="str">
        <f>IF('quiz 1'!G6="","",'quiz 1'!G6)</f>
        <v/>
      </c>
      <c r="H11" s="57" t="str">
        <f>IF('quiz 1'!H6="","",'quiz 1'!H6)</f>
        <v/>
      </c>
      <c r="I11" s="57" t="str">
        <f>IF('quiz 1'!I6="","",'quiz 1'!I6)</f>
        <v/>
      </c>
      <c r="J11" s="57" t="str">
        <f>IF('quiz 1'!J6="","",'quiz 1'!J6)</f>
        <v/>
      </c>
      <c r="K11" s="57" t="str">
        <f>IF('quiz 1'!K6="","",'quiz 1'!K6)</f>
        <v/>
      </c>
      <c r="L11" s="57" t="str">
        <f>IF('quiz 1'!L6="","",'quiz 1'!L6)</f>
        <v/>
      </c>
      <c r="M11" s="57" t="str">
        <f>IF('quiz 1'!M6="","",'quiz 1'!M6)</f>
        <v/>
      </c>
      <c r="N11" s="69">
        <f t="shared" si="0"/>
        <v>45</v>
      </c>
      <c r="O11" s="9"/>
    </row>
    <row r="12" spans="1:15" ht="26.25" customHeight="1" x14ac:dyDescent="0.25">
      <c r="A12" s="68" t="str">
        <f>Config!A46</f>
        <v>quiz 2</v>
      </c>
      <c r="B12" s="57" t="str">
        <f>IF('quiz 2'!B6="","",'quiz 2'!B6)</f>
        <v/>
      </c>
      <c r="C12" s="57" t="str">
        <f>IF('quiz 2'!C6="","",'quiz 2'!C6)</f>
        <v/>
      </c>
      <c r="D12" s="57" t="str">
        <f>IF('quiz 2'!D6="","",'quiz 2'!D6)</f>
        <v/>
      </c>
      <c r="E12" s="57" t="str">
        <f>IF('quiz 2'!E6="","",'quiz 2'!E6)</f>
        <v/>
      </c>
      <c r="F12" s="57" t="str">
        <f>IF('quiz 2'!F6="","",'quiz 2'!F6)</f>
        <v/>
      </c>
      <c r="G12" s="57" t="str">
        <f>IF('quiz 2'!G6="","",'quiz 2'!G6)</f>
        <v/>
      </c>
      <c r="H12" s="57" t="str">
        <f>IF('quiz 2'!H6="","",'quiz 2'!H6)</f>
        <v/>
      </c>
      <c r="I12" s="57" t="str">
        <f>IF('quiz 2'!I6="","",'quiz 2'!I6)</f>
        <v/>
      </c>
      <c r="J12" s="57" t="str">
        <f>IF('quiz 2'!J6="","",'quiz 2'!J6)</f>
        <v/>
      </c>
      <c r="K12" s="57" t="str">
        <f>IF('quiz 2'!K6="","",'quiz 2'!K6)</f>
        <v/>
      </c>
      <c r="L12" s="57" t="str">
        <f>IF('quiz 2'!L6="","",'quiz 2'!L6)</f>
        <v/>
      </c>
      <c r="M12" s="57" t="str">
        <f>IF('quiz 2'!M6="","",'quiz 2'!M6)</f>
        <v/>
      </c>
      <c r="N12" s="69">
        <f t="shared" si="0"/>
        <v>0</v>
      </c>
      <c r="O12" s="9"/>
    </row>
    <row r="13" spans="1:15" ht="31.5" x14ac:dyDescent="0.25">
      <c r="A13" s="146" t="str">
        <f>Config!A47</f>
        <v>Assignment/Proposal</v>
      </c>
      <c r="B13" s="57" t="str">
        <f>IF('Assignment or Proposal'!B6="","",'Assignment or Proposal'!B6)</f>
        <v/>
      </c>
      <c r="C13" s="57">
        <f>IF('Assignment or Proposal'!C6="","",'Assignment or Proposal'!C6)</f>
        <v>45</v>
      </c>
      <c r="D13" s="57" t="str">
        <f>IF('Assignment or Proposal'!D6="","",'Assignment or Proposal'!D6)</f>
        <v/>
      </c>
      <c r="E13" s="57" t="str">
        <f>IF('Assignment or Proposal'!E6="","",'Assignment or Proposal'!E6)</f>
        <v/>
      </c>
      <c r="F13" s="57" t="str">
        <f>IF('Assignment or Proposal'!F6="","",'Assignment or Proposal'!F6)</f>
        <v/>
      </c>
      <c r="G13" s="57" t="str">
        <f>IF('Assignment or Proposal'!G6="","",'Assignment or Proposal'!G6)</f>
        <v/>
      </c>
      <c r="H13" s="57" t="str">
        <f>IF('Assignment or Proposal'!H6="","",'Assignment or Proposal'!H6)</f>
        <v/>
      </c>
      <c r="I13" s="57" t="str">
        <f>IF('Assignment or Proposal'!I6="","",'Assignment or Proposal'!I6)</f>
        <v/>
      </c>
      <c r="J13" s="57" t="str">
        <f>IF('Assignment or Proposal'!J6="","",'Assignment or Proposal'!J6)</f>
        <v/>
      </c>
      <c r="K13" s="57" t="str">
        <f>IF('Assignment or Proposal'!K6="","",'Assignment or Proposal'!K6)</f>
        <v/>
      </c>
      <c r="L13" s="57" t="str">
        <f>IF('Assignment or Proposal'!L6="","",'Assignment or Proposal'!L6)</f>
        <v/>
      </c>
      <c r="M13" s="57" t="str">
        <f>IF('Assignment or Proposal'!M6="","",'Assignment or Proposal'!M6)</f>
        <v/>
      </c>
      <c r="N13" s="69">
        <f t="shared" si="0"/>
        <v>45</v>
      </c>
      <c r="O13" s="9"/>
    </row>
    <row r="14" spans="1:15" ht="26.25" customHeight="1" x14ac:dyDescent="0.25">
      <c r="A14" s="68" t="str">
        <f>Config!A49</f>
        <v>practical exam/OSCE</v>
      </c>
      <c r="B14" s="57" t="str">
        <f>IF('practical exam or OSCE'!B6="","",'practical exam or OSCE'!B6)</f>
        <v/>
      </c>
      <c r="C14" s="57" t="str">
        <f>IF('practical exam or OSCE'!C6="","",'practical exam or OSCE'!C6)</f>
        <v/>
      </c>
      <c r="D14" s="57" t="str">
        <f>IF('practical exam or OSCE'!D6="","",'practical exam or OSCE'!D6)</f>
        <v/>
      </c>
      <c r="E14" s="57" t="str">
        <f>IF('practical exam or OSCE'!E6="","",'practical exam or OSCE'!E6)</f>
        <v/>
      </c>
      <c r="F14" s="57">
        <f>IF('practical exam or OSCE'!F6="","",'practical exam or OSCE'!F6)</f>
        <v>90</v>
      </c>
      <c r="G14" s="57">
        <f>IF('practical exam or OSCE'!G6="","",'practical exam or OSCE'!G6)</f>
        <v>90</v>
      </c>
      <c r="H14" s="57" t="str">
        <f>IF('practical exam or OSCE'!H6="","",'practical exam or OSCE'!H6)</f>
        <v/>
      </c>
      <c r="I14" s="57" t="str">
        <f>IF('practical exam or OSCE'!I6="","",'practical exam or OSCE'!I6)</f>
        <v/>
      </c>
      <c r="J14" s="57" t="str">
        <f>IF('practical exam or OSCE'!J6="","",'practical exam or OSCE'!J6)</f>
        <v/>
      </c>
      <c r="K14" s="57" t="str">
        <f>IF('practical exam or OSCE'!K6="","",'practical exam or OSCE'!K6)</f>
        <v/>
      </c>
      <c r="L14" s="57" t="str">
        <f>IF('practical exam or OSCE'!L6="","",'practical exam or OSCE'!L6)</f>
        <v/>
      </c>
      <c r="M14" s="57" t="str">
        <f>IF('practical exam or OSCE'!M6="","",'practical exam or OSCE'!M6)</f>
        <v/>
      </c>
      <c r="N14" s="69">
        <f t="shared" si="0"/>
        <v>180</v>
      </c>
      <c r="O14" s="9">
        <f>'Assignment or Proposal'!N7</f>
        <v>9</v>
      </c>
    </row>
    <row r="15" spans="1:15" ht="26.25" hidden="1" customHeight="1" x14ac:dyDescent="0.25">
      <c r="A15" s="68" t="s">
        <v>79</v>
      </c>
      <c r="B15" s="57" t="str">
        <f>IF('Poster or Presentation'!B6="","",'Poster or Presentation'!B6)</f>
        <v/>
      </c>
      <c r="C15" s="57" t="str">
        <f>IF('Poster or Presentation'!C6="","",'Poster or Presentation'!C6)</f>
        <v/>
      </c>
      <c r="D15" s="57" t="str">
        <f>IF('Poster or Presentation'!D6="","",'Poster or Presentation'!D6)</f>
        <v/>
      </c>
      <c r="E15" s="57" t="str">
        <f>IF('Poster or Presentation'!E6="","",'Poster or Presentation'!E6)</f>
        <v/>
      </c>
      <c r="F15" s="57" t="str">
        <f>IF('Poster or Presentation'!F6="","",'Poster or Presentation'!F6)</f>
        <v/>
      </c>
      <c r="G15" s="57" t="str">
        <f>IF('Poster or Presentation'!G6="","",'Poster or Presentation'!G6)</f>
        <v/>
      </c>
      <c r="H15" s="57" t="str">
        <f>IF('Poster or Presentation'!H6="","",'Poster or Presentation'!H6)</f>
        <v/>
      </c>
      <c r="I15" s="57" t="str">
        <f>IF('Poster or Presentation'!I6="","",'Poster or Presentation'!I6)</f>
        <v/>
      </c>
      <c r="J15" s="57" t="str">
        <f>IF('Poster or Presentation'!J6="","",'Poster or Presentation'!J6)</f>
        <v/>
      </c>
      <c r="K15" s="57"/>
      <c r="L15" s="57" t="str">
        <f>IF('Poster or Presentation'!L6="","",'Poster or Presentation'!L6)</f>
        <v/>
      </c>
      <c r="M15" s="57" t="str">
        <f>IF('Poster or Presentation'!M6="","",'Poster or Presentation'!M6)</f>
        <v/>
      </c>
      <c r="N15" s="69">
        <f t="shared" si="0"/>
        <v>0</v>
      </c>
      <c r="O15" s="9" t="str">
        <f>'Poster or Presentation'!N7</f>
        <v/>
      </c>
    </row>
    <row r="16" spans="1:15" ht="26.25" hidden="1" customHeight="1" x14ac:dyDescent="0.25">
      <c r="A16" s="68" t="s">
        <v>80</v>
      </c>
      <c r="B16" s="57" t="str">
        <f>IF('practical exam or OSCE'!B6="","",'practical exam or OSCE'!B6)</f>
        <v/>
      </c>
      <c r="C16" s="57" t="str">
        <f>IF('practical exam or OSCE'!C6="","",'practical exam or OSCE'!C6)</f>
        <v/>
      </c>
      <c r="D16" s="57" t="str">
        <f>IF('practical exam or OSCE'!D6="","",'practical exam or OSCE'!D6)</f>
        <v/>
      </c>
      <c r="E16" s="57" t="str">
        <f>IF('practical exam or OSCE'!E6="","",'practical exam or OSCE'!E6)</f>
        <v/>
      </c>
      <c r="F16" s="57">
        <f>IF('practical exam or OSCE'!F6="","",'practical exam or OSCE'!F6)</f>
        <v>90</v>
      </c>
      <c r="G16" s="57">
        <f>IF('practical exam or OSCE'!G6="","",'practical exam or OSCE'!G6)</f>
        <v>90</v>
      </c>
      <c r="H16" s="57" t="str">
        <f>IF('practical exam or OSCE'!H6="","",'practical exam or OSCE'!H6)</f>
        <v/>
      </c>
      <c r="I16" s="57" t="str">
        <f>IF('practical exam or OSCE'!I6="","",'practical exam or OSCE'!I6)</f>
        <v/>
      </c>
      <c r="J16" s="57" t="str">
        <f>IF('practical exam or OSCE'!J6="","",'practical exam or OSCE'!J6)</f>
        <v/>
      </c>
      <c r="K16" s="57"/>
      <c r="L16" s="57" t="str">
        <f>IF('practical exam or OSCE'!L6="","",'practical exam or OSCE'!L6)</f>
        <v/>
      </c>
      <c r="M16" s="57" t="str">
        <f>IF('practical exam or OSCE'!M6="","",'practical exam or OSCE'!M6)</f>
        <v/>
      </c>
      <c r="N16" s="69">
        <f t="shared" si="0"/>
        <v>180</v>
      </c>
      <c r="O16" s="9">
        <f>'practical exam or OSCE'!N7</f>
        <v>9</v>
      </c>
    </row>
    <row r="17" spans="1:15" ht="26.25" customHeight="1" x14ac:dyDescent="0.25">
      <c r="A17" s="70" t="str">
        <f>Config!A48</f>
        <v>Poster/Presentation</v>
      </c>
      <c r="B17" s="64" t="str">
        <f>IF('Poster or Presentation'!B6="","",'Poster or Presentation'!B6)</f>
        <v/>
      </c>
      <c r="C17" s="64" t="str">
        <f>IF('Poster or Presentation'!C6="","",'Poster or Presentation'!C6)</f>
        <v/>
      </c>
      <c r="D17" s="64" t="str">
        <f>IF('Poster or Presentation'!D6="","",'Poster or Presentation'!D6)</f>
        <v/>
      </c>
      <c r="E17" s="64" t="str">
        <f>IF('Poster or Presentation'!E6="","",'Poster or Presentation'!E6)</f>
        <v/>
      </c>
      <c r="F17" s="64" t="str">
        <f>IF('Poster or Presentation'!F6="","",'Poster or Presentation'!F6)</f>
        <v/>
      </c>
      <c r="G17" s="64" t="str">
        <f>IF('Poster or Presentation'!G6="","",'Poster or Presentation'!G6)</f>
        <v/>
      </c>
      <c r="H17" s="64" t="str">
        <f>IF('Poster or Presentation'!H6="","",'Poster or Presentation'!H6)</f>
        <v/>
      </c>
      <c r="I17" s="64" t="str">
        <f>IF('Poster or Presentation'!I6="","",'Poster or Presentation'!I6)</f>
        <v/>
      </c>
      <c r="J17" s="64" t="str">
        <f>IF('Poster or Presentation'!J6="","",'Poster or Presentation'!J6)</f>
        <v/>
      </c>
      <c r="K17" s="64" t="str">
        <f>IF('Poster or Presentation'!K6="","",'Poster or Presentation'!K6)</f>
        <v/>
      </c>
      <c r="L17" s="64" t="str">
        <f>IF('Poster or Presentation'!L6="","",'Poster or Presentation'!L6)</f>
        <v/>
      </c>
      <c r="M17" s="64" t="str">
        <f>IF('Poster or Presentation'!M6="","",'Poster or Presentation'!M6)</f>
        <v/>
      </c>
      <c r="N17" s="69">
        <f t="shared" si="0"/>
        <v>0</v>
      </c>
      <c r="O17" s="9"/>
    </row>
    <row r="18" spans="1:15" ht="26.25" customHeight="1" thickBot="1" x14ac:dyDescent="0.3">
      <c r="A18" s="70" t="str">
        <f>Config!A50</f>
        <v>final exam</v>
      </c>
      <c r="B18" s="64">
        <f>IF('Final exam'!B6="","",'Final exam'!B6)</f>
        <v>27</v>
      </c>
      <c r="C18" s="64">
        <f>IF('Final exam'!C6="","",'Final exam'!C6)</f>
        <v>288</v>
      </c>
      <c r="D18" s="64">
        <f>IF('Final exam'!D6="","",'Final exam'!D6)</f>
        <v>90</v>
      </c>
      <c r="E18" s="64">
        <f>IF('Final exam'!E6="","",'Final exam'!E6)</f>
        <v>45</v>
      </c>
      <c r="F18" s="64" t="str">
        <f>IF('Final exam'!F6="","",'Final exam'!F6)</f>
        <v/>
      </c>
      <c r="G18" s="64" t="str">
        <f>IF('Final exam'!G6="","",'Final exam'!G6)</f>
        <v/>
      </c>
      <c r="H18" s="64" t="str">
        <f>IF('Final exam'!H6="","",'Final exam'!H6)</f>
        <v/>
      </c>
      <c r="I18" s="64" t="str">
        <f>IF('Final exam'!I6="","",'Final exam'!I6)</f>
        <v/>
      </c>
      <c r="J18" s="64" t="str">
        <f>IF('Final exam'!J6="","",'Final exam'!J6)</f>
        <v/>
      </c>
      <c r="K18" s="64"/>
      <c r="L18" s="64" t="str">
        <f>IF('Final exam'!L6="","",'Final exam'!L6)</f>
        <v/>
      </c>
      <c r="M18" s="64" t="str">
        <f>IF('Final exam'!M6="","",'Final exam'!M6)</f>
        <v/>
      </c>
      <c r="N18" s="69">
        <f t="shared" si="0"/>
        <v>450</v>
      </c>
      <c r="O18" s="9">
        <f>'Final exam'!N7</f>
        <v>9</v>
      </c>
    </row>
    <row r="19" spans="1:15" ht="26.25" hidden="1" customHeight="1" thickBot="1" x14ac:dyDescent="0.3">
      <c r="A19" s="124" t="s">
        <v>92</v>
      </c>
      <c r="B19" s="125">
        <f t="shared" ref="B19:J19" si="1">IF(IF(B7="",0,B7/$O$7)+IF(B8="",0,B8/$O$8)+IF(B9="",0,B9/$O$9)+IF(B10="",0,B10/$O$10)+IF(B14="",0,B14/$O$14)+IF(B15="",0,B15/$O$15)+IF(B16="",0,B16/$O$16)+IF(B18="",0,B18/$O$18)&lt;&gt;0,IF(B7="",0,B7/$O$7)+IF(B8="",0,B8/$O$8)+IF(B9="",0,B9/$O$9)+IF(B10="",0,B10/$O$10)+IF(B14="",0,B14/$O$14)+IF(B15="",0,B15/$O$15)+IF(B16="",0,B16/$O$16)+IF(B18="",0,B18/$O$18),"")</f>
        <v>10</v>
      </c>
      <c r="C19" s="125">
        <f t="shared" si="1"/>
        <v>45</v>
      </c>
      <c r="D19" s="125">
        <f t="shared" si="1"/>
        <v>15</v>
      </c>
      <c r="E19" s="125">
        <f t="shared" si="1"/>
        <v>5</v>
      </c>
      <c r="F19" s="125">
        <f t="shared" si="1"/>
        <v>20</v>
      </c>
      <c r="G19" s="125">
        <f t="shared" si="1"/>
        <v>20</v>
      </c>
      <c r="H19" s="125" t="str">
        <f t="shared" si="1"/>
        <v/>
      </c>
      <c r="I19" s="125" t="str">
        <f t="shared" si="1"/>
        <v/>
      </c>
      <c r="J19" s="125" t="str">
        <f t="shared" si="1"/>
        <v/>
      </c>
      <c r="K19" s="125"/>
      <c r="L19" s="125" t="str">
        <f>IF(IF(L7="",0,L7/$O$7)+IF(L8="",0,L8/$O$8)+IF(L9="",0,L9/$O$9)+IF(L10="",0,L10/$O$10)+IF(L14="",0,L14/$O$14)+IF(L15="",0,L15/$O$15)+IF(L16="",0,L16/$O$16)+IF(L18="",0,L18/$O$18)&lt;&gt;0,IF(L7="",0,L7/$O$7)+IF(L8="",0,L8/$O$8)+IF(L9="",0,L9/$O$9)+IF(L10="",0,L10/$O$10)+IF(L14="",0,L14/$O$14)+IF(L15="",0,L15/$O$15)+IF(L16="",0,L16/$O$16)+IF(L18="",0,L18/$O$18),"")</f>
        <v/>
      </c>
      <c r="M19" s="125" t="str">
        <f>IF(IF(M7="",0,M7/$O$7)+IF(M8="",0,M8/$O$8)+IF(M9="",0,M9/$O$9)+IF(M10="",0,M10/$O$10)+IF(M14="",0,M14/$O$14)+IF(M15="",0,M15/$O$15)+IF(M16="",0,M16/$O$16)+IF(M18="",0,M18/$O$18)&lt;&gt;0,IF(M7="",0,M7/$O$7)+IF(M8="",0,M8/$O$8)+IF(M9="",0,M9/$O$9)+IF(M10="",0,M10/$O$10)+IF(M14="",0,M14/$O$14)+IF(M15="",0,M15/$O$15)+IF(M16="",0,M16/$O$16)+IF(M18="",0,M18/$O$18),"")</f>
        <v/>
      </c>
      <c r="N19" s="126">
        <f>IF(SUM(B19:M19),SUM(B19:M19),"")</f>
        <v>115</v>
      </c>
    </row>
    <row r="20" spans="1:15" ht="26.25" hidden="1" customHeight="1" thickBot="1" x14ac:dyDescent="0.3">
      <c r="A20" s="110" t="s">
        <v>81</v>
      </c>
      <c r="B20" s="111">
        <f t="shared" ref="B20:N20" si="2">IF(SUM(B7:B18),SUM(B7:B18),"")</f>
        <v>90</v>
      </c>
      <c r="C20" s="111">
        <f t="shared" si="2"/>
        <v>495</v>
      </c>
      <c r="D20" s="111">
        <f t="shared" si="2"/>
        <v>135</v>
      </c>
      <c r="E20" s="111">
        <f t="shared" si="2"/>
        <v>45</v>
      </c>
      <c r="F20" s="111">
        <f t="shared" si="2"/>
        <v>180</v>
      </c>
      <c r="G20" s="111">
        <f t="shared" si="2"/>
        <v>180</v>
      </c>
      <c r="H20" s="111" t="str">
        <f t="shared" si="2"/>
        <v/>
      </c>
      <c r="I20" s="111" t="str">
        <f t="shared" si="2"/>
        <v/>
      </c>
      <c r="J20" s="111" t="str">
        <f t="shared" si="2"/>
        <v/>
      </c>
      <c r="K20" s="111"/>
      <c r="L20" s="111" t="str">
        <f t="shared" si="2"/>
        <v/>
      </c>
      <c r="M20" s="111" t="str">
        <f t="shared" si="2"/>
        <v/>
      </c>
      <c r="N20" s="112">
        <f t="shared" si="2"/>
        <v>1125</v>
      </c>
    </row>
    <row r="21" spans="1:15" ht="26.25" customHeight="1" x14ac:dyDescent="0.25">
      <c r="A21" s="66" t="s">
        <v>82</v>
      </c>
      <c r="B21" s="95" t="str">
        <f>Config!E42</f>
        <v>K.1.1</v>
      </c>
      <c r="C21" s="95" t="str">
        <f>Config!F42</f>
        <v>K.1.2</v>
      </c>
      <c r="D21" s="95" t="str">
        <f>Config!G42</f>
        <v>K.2.1</v>
      </c>
      <c r="E21" s="95" t="str">
        <f>Config!H42</f>
        <v>K2.2</v>
      </c>
      <c r="F21" s="95" t="str">
        <f>Config!I42</f>
        <v>S.3.1</v>
      </c>
      <c r="G21" s="95" t="str">
        <f>Config!J42</f>
        <v>S.7.1</v>
      </c>
      <c r="H21" s="95">
        <f>Config!K42</f>
        <v>0</v>
      </c>
      <c r="I21" s="95">
        <f>Config!L42</f>
        <v>0</v>
      </c>
      <c r="J21" s="95">
        <f>Config!M42</f>
        <v>0</v>
      </c>
      <c r="K21" s="95">
        <f>Config!N42</f>
        <v>0</v>
      </c>
      <c r="L21" s="95">
        <f>Config!O42</f>
        <v>0</v>
      </c>
      <c r="M21" s="95" t="str">
        <f>Config!P42</f>
        <v>v2</v>
      </c>
      <c r="N21" s="67" t="s">
        <v>15</v>
      </c>
    </row>
    <row r="22" spans="1:15" ht="26.25" customHeight="1" x14ac:dyDescent="0.25">
      <c r="A22" s="68" t="str">
        <f>Config!A43</f>
        <v>midterm exam 1</v>
      </c>
      <c r="B22" s="57">
        <f>'Mid1'!B5</f>
        <v>44</v>
      </c>
      <c r="C22" s="57">
        <f>'Mid1'!C5</f>
        <v>61</v>
      </c>
      <c r="D22" s="57">
        <f>'Mid1'!D5</f>
        <v>43</v>
      </c>
      <c r="E22" s="57" t="str">
        <f>'Mid1'!E5</f>
        <v/>
      </c>
      <c r="F22" s="57" t="str">
        <f>'Mid1'!F5</f>
        <v/>
      </c>
      <c r="G22" s="57" t="str">
        <f>'Mid1'!G5</f>
        <v/>
      </c>
      <c r="H22" s="57" t="str">
        <f>'Mid1'!H5</f>
        <v/>
      </c>
      <c r="I22" s="57" t="str">
        <f>'Mid1'!I5</f>
        <v/>
      </c>
      <c r="J22" s="57" t="str">
        <f>'Mid1'!J5</f>
        <v/>
      </c>
      <c r="K22" s="57"/>
      <c r="L22" s="57" t="str">
        <f>'Mid1'!L5</f>
        <v/>
      </c>
      <c r="M22" s="57" t="str">
        <f>'Mid1'!M5</f>
        <v/>
      </c>
      <c r="N22" s="69">
        <f>SUM(B22:M22)</f>
        <v>148</v>
      </c>
    </row>
    <row r="23" spans="1:15" ht="26.25" customHeight="1" x14ac:dyDescent="0.25">
      <c r="A23" s="68" t="str">
        <f>Config!A44</f>
        <v>midterm exam 2</v>
      </c>
      <c r="B23" s="57" t="str">
        <f>'Mid2'!B5</f>
        <v/>
      </c>
      <c r="C23" s="57" t="str">
        <f>'Mid2'!C5</f>
        <v/>
      </c>
      <c r="D23" s="57" t="str">
        <f>'Mid2'!D5</f>
        <v/>
      </c>
      <c r="E23" s="57" t="str">
        <f>'Mid2'!E5</f>
        <v/>
      </c>
      <c r="F23" s="57" t="str">
        <f>'Mid2'!F5</f>
        <v/>
      </c>
      <c r="G23" s="57" t="str">
        <f>'Mid2'!G5</f>
        <v/>
      </c>
      <c r="H23" s="57" t="str">
        <f>'Mid2'!H5</f>
        <v/>
      </c>
      <c r="I23" s="57" t="str">
        <f>'Mid2'!I5</f>
        <v/>
      </c>
      <c r="J23" s="57" t="str">
        <f>'Mid2'!J5</f>
        <v/>
      </c>
      <c r="K23" s="57"/>
      <c r="L23" s="57" t="str">
        <f>'Mid2'!L5</f>
        <v/>
      </c>
      <c r="M23" s="57" t="str">
        <f>'Mid2'!M5</f>
        <v/>
      </c>
      <c r="N23" s="69">
        <f t="shared" ref="N23:N33" si="3">SUM(B23:M23)</f>
        <v>0</v>
      </c>
    </row>
    <row r="24" spans="1:15" ht="26.25" hidden="1" customHeight="1" x14ac:dyDescent="0.25">
      <c r="A24" s="68" t="s">
        <v>71</v>
      </c>
      <c r="B24" s="57" t="str">
        <f>'quiz 1'!B5</f>
        <v/>
      </c>
      <c r="C24" s="57">
        <f>'quiz 1'!C5</f>
        <v>30</v>
      </c>
      <c r="D24" s="57" t="str">
        <f>'quiz 1'!D5</f>
        <v/>
      </c>
      <c r="E24" s="57" t="str">
        <f>'quiz 1'!E5</f>
        <v/>
      </c>
      <c r="F24" s="57" t="str">
        <f>'quiz 1'!F5</f>
        <v/>
      </c>
      <c r="G24" s="57" t="str">
        <f>'quiz 1'!G5</f>
        <v/>
      </c>
      <c r="H24" s="57" t="str">
        <f>'quiz 1'!H5</f>
        <v/>
      </c>
      <c r="I24" s="57" t="str">
        <f>'quiz 1'!I5</f>
        <v/>
      </c>
      <c r="J24" s="57" t="str">
        <f>'quiz 1'!J5</f>
        <v/>
      </c>
      <c r="K24" s="57"/>
      <c r="L24" s="57" t="str">
        <f>'quiz 1'!L5</f>
        <v/>
      </c>
      <c r="M24" s="57" t="str">
        <f>'quiz 1'!M5</f>
        <v/>
      </c>
      <c r="N24" s="69">
        <f t="shared" si="3"/>
        <v>30</v>
      </c>
    </row>
    <row r="25" spans="1:15" ht="26.25" hidden="1" customHeight="1" x14ac:dyDescent="0.25">
      <c r="A25" s="68" t="s">
        <v>64</v>
      </c>
      <c r="B25" s="57" t="str">
        <f>'quiz 2'!B5</f>
        <v/>
      </c>
      <c r="C25" s="57" t="str">
        <f>'quiz 2'!C5</f>
        <v/>
      </c>
      <c r="D25" s="57" t="str">
        <f>'quiz 2'!D5</f>
        <v/>
      </c>
      <c r="E25" s="57" t="str">
        <f>'quiz 2'!E5</f>
        <v/>
      </c>
      <c r="F25" s="57" t="str">
        <f>'quiz 2'!F5</f>
        <v/>
      </c>
      <c r="G25" s="57" t="str">
        <f>'quiz 2'!G5</f>
        <v/>
      </c>
      <c r="H25" s="57" t="str">
        <f>'quiz 2'!H5</f>
        <v/>
      </c>
      <c r="I25" s="57" t="str">
        <f>'quiz 2'!I5</f>
        <v/>
      </c>
      <c r="J25" s="57" t="str">
        <f>'quiz 2'!J5</f>
        <v/>
      </c>
      <c r="K25" s="57"/>
      <c r="L25" s="57" t="str">
        <f>'quiz 2'!L5</f>
        <v/>
      </c>
      <c r="M25" s="57" t="str">
        <f>'quiz 2'!M5</f>
        <v/>
      </c>
      <c r="N25" s="69">
        <f t="shared" si="3"/>
        <v>0</v>
      </c>
    </row>
    <row r="26" spans="1:15" ht="26.25" customHeight="1" x14ac:dyDescent="0.25">
      <c r="A26" s="68" t="str">
        <f>Config!A45</f>
        <v>quiz 1</v>
      </c>
      <c r="B26" s="57" t="str">
        <f>'quiz 1'!B5</f>
        <v/>
      </c>
      <c r="C26" s="57">
        <f>'quiz 1'!C5</f>
        <v>30</v>
      </c>
      <c r="D26" s="57" t="str">
        <f>'quiz 1'!D5</f>
        <v/>
      </c>
      <c r="E26" s="57" t="str">
        <f>'quiz 1'!E5</f>
        <v/>
      </c>
      <c r="F26" s="57" t="str">
        <f>'quiz 1'!F5</f>
        <v/>
      </c>
      <c r="G26" s="57" t="str">
        <f>'quiz 1'!G5</f>
        <v/>
      </c>
      <c r="H26" s="57" t="str">
        <f>'quiz 1'!H5</f>
        <v/>
      </c>
      <c r="I26" s="57" t="str">
        <f>'quiz 1'!I5</f>
        <v/>
      </c>
      <c r="J26" s="57" t="str">
        <f>'quiz 1'!J5</f>
        <v/>
      </c>
      <c r="K26" s="57" t="str">
        <f>'quiz 1'!K5</f>
        <v/>
      </c>
      <c r="L26" s="57" t="str">
        <f>'quiz 1'!L5</f>
        <v/>
      </c>
      <c r="M26" s="57" t="str">
        <f>'quiz 1'!M5</f>
        <v/>
      </c>
      <c r="N26" s="69">
        <f t="shared" si="3"/>
        <v>30</v>
      </c>
    </row>
    <row r="27" spans="1:15" ht="26.25" customHeight="1" x14ac:dyDescent="0.25">
      <c r="A27" s="68" t="str">
        <f>Config!A46</f>
        <v>quiz 2</v>
      </c>
      <c r="B27" s="57" t="str">
        <f>'quiz 2'!B5</f>
        <v/>
      </c>
      <c r="C27" s="57" t="str">
        <f>'quiz 2'!C5</f>
        <v/>
      </c>
      <c r="D27" s="57" t="str">
        <f>'quiz 2'!D5</f>
        <v/>
      </c>
      <c r="E27" s="57" t="str">
        <f>'quiz 2'!E5</f>
        <v/>
      </c>
      <c r="F27" s="57" t="str">
        <f>'quiz 2'!F5</f>
        <v/>
      </c>
      <c r="G27" s="57" t="str">
        <f>'quiz 2'!G5</f>
        <v/>
      </c>
      <c r="H27" s="57" t="str">
        <f>'quiz 2'!H5</f>
        <v/>
      </c>
      <c r="I27" s="57" t="str">
        <f>'quiz 2'!I5</f>
        <v/>
      </c>
      <c r="J27" s="57" t="str">
        <f>'quiz 2'!J5</f>
        <v/>
      </c>
      <c r="K27" s="57" t="str">
        <f>'quiz 2'!K5</f>
        <v/>
      </c>
      <c r="L27" s="57" t="str">
        <f>'quiz 2'!L5</f>
        <v/>
      </c>
      <c r="M27" s="57" t="str">
        <f>'quiz 2'!M5</f>
        <v/>
      </c>
      <c r="N27" s="69">
        <f t="shared" si="3"/>
        <v>0</v>
      </c>
    </row>
    <row r="28" spans="1:15" ht="26.25" customHeight="1" x14ac:dyDescent="0.25">
      <c r="A28" s="68" t="str">
        <f>Config!A47</f>
        <v>Assignment/Proposal</v>
      </c>
      <c r="B28" s="57" t="str">
        <f>'Assignment or Proposal'!B5</f>
        <v/>
      </c>
      <c r="C28" s="57">
        <f>'Assignment or Proposal'!C5</f>
        <v>45</v>
      </c>
      <c r="D28" s="57" t="str">
        <f>'Assignment or Proposal'!D5</f>
        <v/>
      </c>
      <c r="E28" s="57" t="str">
        <f>'Assignment or Proposal'!E5</f>
        <v/>
      </c>
      <c r="F28" s="57" t="str">
        <f>'Assignment or Proposal'!F5</f>
        <v/>
      </c>
      <c r="G28" s="57" t="str">
        <f>'Assignment or Proposal'!G5</f>
        <v/>
      </c>
      <c r="H28" s="57" t="str">
        <f>'Assignment or Proposal'!H5</f>
        <v/>
      </c>
      <c r="I28" s="57" t="str">
        <f>'Assignment or Proposal'!I5</f>
        <v/>
      </c>
      <c r="J28" s="57" t="str">
        <f>'Assignment or Proposal'!J5</f>
        <v/>
      </c>
      <c r="K28" s="57" t="str">
        <f>'Assignment or Proposal'!K5</f>
        <v/>
      </c>
      <c r="L28" s="57" t="str">
        <f>'Assignment or Proposal'!L5</f>
        <v/>
      </c>
      <c r="M28" s="57" t="str">
        <f>'Assignment or Proposal'!M5</f>
        <v/>
      </c>
      <c r="N28" s="69">
        <f t="shared" si="3"/>
        <v>45</v>
      </c>
    </row>
    <row r="29" spans="1:15" ht="26.25" customHeight="1" x14ac:dyDescent="0.25">
      <c r="A29" s="68" t="str">
        <f>Config!A49</f>
        <v>practical exam/OSCE</v>
      </c>
      <c r="B29" s="57" t="str">
        <f>'practical exam or OSCE'!B5</f>
        <v/>
      </c>
      <c r="C29" s="57" t="str">
        <f>'practical exam or OSCE'!C5</f>
        <v/>
      </c>
      <c r="D29" s="57" t="str">
        <f>'practical exam or OSCE'!D5</f>
        <v/>
      </c>
      <c r="E29" s="57" t="str">
        <f>'practical exam or OSCE'!E5</f>
        <v/>
      </c>
      <c r="F29" s="57">
        <f>'practical exam or OSCE'!F5</f>
        <v>82</v>
      </c>
      <c r="G29" s="57">
        <f>'practical exam or OSCE'!G5</f>
        <v>90</v>
      </c>
      <c r="H29" s="57" t="str">
        <f>'practical exam or OSCE'!H5</f>
        <v/>
      </c>
      <c r="I29" s="57" t="str">
        <f>'practical exam or OSCE'!I5</f>
        <v/>
      </c>
      <c r="J29" s="57" t="str">
        <f>'practical exam or OSCE'!J5</f>
        <v/>
      </c>
      <c r="K29" s="57" t="str">
        <f>'practical exam or OSCE'!K5</f>
        <v/>
      </c>
      <c r="L29" s="57" t="str">
        <f>'practical exam or OSCE'!L5</f>
        <v/>
      </c>
      <c r="M29" s="57" t="str">
        <f>'practical exam or OSCE'!M5</f>
        <v/>
      </c>
      <c r="N29" s="69">
        <f t="shared" si="3"/>
        <v>172</v>
      </c>
    </row>
    <row r="30" spans="1:15" ht="26.25" customHeight="1" x14ac:dyDescent="0.25">
      <c r="A30" s="68" t="str">
        <f>Config!A48</f>
        <v>Poster/Presentation</v>
      </c>
      <c r="B30" s="57" t="str">
        <f>'Poster or Presentation'!B5</f>
        <v/>
      </c>
      <c r="C30" s="57" t="str">
        <f>'Poster or Presentation'!C5</f>
        <v/>
      </c>
      <c r="D30" s="57" t="str">
        <f>'Poster or Presentation'!D5</f>
        <v/>
      </c>
      <c r="E30" s="57" t="str">
        <f>'Poster or Presentation'!E5</f>
        <v/>
      </c>
      <c r="F30" s="57" t="str">
        <f>'Poster or Presentation'!F5</f>
        <v/>
      </c>
      <c r="G30" s="57" t="str">
        <f>'Poster or Presentation'!G5</f>
        <v/>
      </c>
      <c r="H30" s="57" t="str">
        <f>'Poster or Presentation'!H5</f>
        <v/>
      </c>
      <c r="I30" s="57" t="str">
        <f>'Poster or Presentation'!I5</f>
        <v/>
      </c>
      <c r="J30" s="57" t="str">
        <f>'Poster or Presentation'!J5</f>
        <v/>
      </c>
      <c r="K30" s="57" t="str">
        <f>'Poster or Presentation'!K5</f>
        <v/>
      </c>
      <c r="L30" s="57" t="str">
        <f>'Poster or Presentation'!L5</f>
        <v/>
      </c>
      <c r="M30" s="57" t="str">
        <f>'Poster or Presentation'!M5</f>
        <v/>
      </c>
      <c r="N30" s="69">
        <f t="shared" si="3"/>
        <v>0</v>
      </c>
    </row>
    <row r="31" spans="1:15" ht="26.25" hidden="1" customHeight="1" x14ac:dyDescent="0.25">
      <c r="A31" s="68" t="s">
        <v>65</v>
      </c>
      <c r="B31" s="57" t="str">
        <f>'Poster or Presentation'!B5</f>
        <v/>
      </c>
      <c r="C31" s="57" t="str">
        <f>'Poster or Presentation'!C5</f>
        <v/>
      </c>
      <c r="D31" s="57" t="str">
        <f>'Poster or Presentation'!D5</f>
        <v/>
      </c>
      <c r="E31" s="57" t="str">
        <f>'Poster or Presentation'!E5</f>
        <v/>
      </c>
      <c r="F31" s="57" t="str">
        <f>'Poster or Presentation'!F5</f>
        <v/>
      </c>
      <c r="G31" s="57" t="str">
        <f>'Poster or Presentation'!G5</f>
        <v/>
      </c>
      <c r="H31" s="57" t="str">
        <f>'Poster or Presentation'!H5</f>
        <v/>
      </c>
      <c r="I31" s="57" t="str">
        <f>'Poster or Presentation'!I5</f>
        <v/>
      </c>
      <c r="J31" s="57" t="str">
        <f>'Poster or Presentation'!J5</f>
        <v/>
      </c>
      <c r="K31" s="57"/>
      <c r="L31" s="57" t="str">
        <f>'Poster or Presentation'!L5</f>
        <v/>
      </c>
      <c r="M31" s="57" t="str">
        <f>'Poster or Presentation'!M5</f>
        <v/>
      </c>
      <c r="N31" s="69">
        <f t="shared" si="3"/>
        <v>0</v>
      </c>
    </row>
    <row r="32" spans="1:15" ht="26.25" hidden="1" customHeight="1" x14ac:dyDescent="0.25">
      <c r="A32" s="68" t="s">
        <v>66</v>
      </c>
      <c r="B32" s="57" t="str">
        <f>'practical exam or OSCE'!B5</f>
        <v/>
      </c>
      <c r="C32" s="57" t="str">
        <f>'practical exam or OSCE'!C5</f>
        <v/>
      </c>
      <c r="D32" s="57" t="str">
        <f>'practical exam or OSCE'!D5</f>
        <v/>
      </c>
      <c r="E32" s="57" t="str">
        <f>'practical exam or OSCE'!E5</f>
        <v/>
      </c>
      <c r="F32" s="57">
        <f>'practical exam or OSCE'!F5</f>
        <v>82</v>
      </c>
      <c r="G32" s="57">
        <f>'practical exam or OSCE'!G5</f>
        <v>90</v>
      </c>
      <c r="H32" s="57" t="str">
        <f>'practical exam or OSCE'!H5</f>
        <v/>
      </c>
      <c r="I32" s="57" t="str">
        <f>'practical exam or OSCE'!I5</f>
        <v/>
      </c>
      <c r="J32" s="57" t="str">
        <f>'practical exam or OSCE'!J5</f>
        <v/>
      </c>
      <c r="K32" s="57"/>
      <c r="L32" s="57" t="str">
        <f>'practical exam or OSCE'!L5</f>
        <v/>
      </c>
      <c r="M32" s="57" t="str">
        <f>'practical exam or OSCE'!M5</f>
        <v/>
      </c>
      <c r="N32" s="69">
        <f t="shared" si="3"/>
        <v>172</v>
      </c>
    </row>
    <row r="33" spans="1:14" ht="26.25" customHeight="1" thickBot="1" x14ac:dyDescent="0.3">
      <c r="A33" s="76" t="str">
        <f>Config!A50</f>
        <v>final exam</v>
      </c>
      <c r="B33" s="96">
        <f>'Final exam'!B5</f>
        <v>12</v>
      </c>
      <c r="C33" s="96">
        <f>'Final exam'!C5</f>
        <v>202</v>
      </c>
      <c r="D33" s="96">
        <f>'Final exam'!D5</f>
        <v>60</v>
      </c>
      <c r="E33" s="96">
        <f>'Final exam'!E5</f>
        <v>40</v>
      </c>
      <c r="F33" s="96" t="str">
        <f>'Final exam'!F5</f>
        <v/>
      </c>
      <c r="G33" s="96" t="str">
        <f>'Final exam'!G5</f>
        <v/>
      </c>
      <c r="H33" s="96" t="str">
        <f>'Final exam'!H5</f>
        <v/>
      </c>
      <c r="I33" s="96" t="str">
        <f>'Final exam'!I5</f>
        <v/>
      </c>
      <c r="J33" s="96" t="str">
        <f>'Final exam'!J5</f>
        <v/>
      </c>
      <c r="K33" s="96"/>
      <c r="L33" s="96" t="str">
        <f>'Final exam'!L5</f>
        <v/>
      </c>
      <c r="M33" s="96" t="str">
        <f>'Final exam'!M5</f>
        <v/>
      </c>
      <c r="N33" s="69">
        <f t="shared" si="3"/>
        <v>314</v>
      </c>
    </row>
    <row r="34" spans="1:14" ht="26.25" hidden="1" customHeight="1" thickBot="1" x14ac:dyDescent="0.3">
      <c r="A34" s="107" t="s">
        <v>15</v>
      </c>
      <c r="B34" s="108">
        <f t="shared" ref="B34:M34" si="4">IF(SUM(B22:B33),SUM(B22:B33),"")</f>
        <v>56</v>
      </c>
      <c r="C34" s="108">
        <f t="shared" si="4"/>
        <v>368</v>
      </c>
      <c r="D34" s="108">
        <f t="shared" si="4"/>
        <v>103</v>
      </c>
      <c r="E34" s="108">
        <f t="shared" si="4"/>
        <v>40</v>
      </c>
      <c r="F34" s="108">
        <f t="shared" si="4"/>
        <v>164</v>
      </c>
      <c r="G34" s="108">
        <f t="shared" si="4"/>
        <v>180</v>
      </c>
      <c r="H34" s="108" t="str">
        <f t="shared" si="4"/>
        <v/>
      </c>
      <c r="I34" s="108" t="str">
        <f t="shared" si="4"/>
        <v/>
      </c>
      <c r="J34" s="108" t="str">
        <f t="shared" si="4"/>
        <v/>
      </c>
      <c r="K34" s="108"/>
      <c r="L34" s="108" t="str">
        <f t="shared" si="4"/>
        <v/>
      </c>
      <c r="M34" s="108" t="str">
        <f t="shared" si="4"/>
        <v/>
      </c>
      <c r="N34" s="109">
        <f>IF(SUM(B34:M34),SUM(B34:M34),"")</f>
        <v>911</v>
      </c>
    </row>
    <row r="35" spans="1:14" ht="26.25" customHeight="1" thickBot="1" x14ac:dyDescent="0.3">
      <c r="A35" s="107" t="s">
        <v>83</v>
      </c>
      <c r="B35" s="113">
        <f>StSoMarks!E10</f>
        <v>0.62222222222222223</v>
      </c>
      <c r="C35" s="113">
        <f>StSoMarks!F10</f>
        <v>0.75111111111111106</v>
      </c>
      <c r="D35" s="113">
        <f>StSoMarks!G10</f>
        <v>0.76296296296296295</v>
      </c>
      <c r="E35" s="113">
        <f>StSoMarks!H10</f>
        <v>0.88888888888888884</v>
      </c>
      <c r="F35" s="113">
        <f>StSoMarks!I10</f>
        <v>0.91111111111111109</v>
      </c>
      <c r="G35" s="113">
        <f>StSoMarks!J10</f>
        <v>1</v>
      </c>
      <c r="H35" s="113" t="e">
        <f>StSoMarks!K10</f>
        <v>#VALUE!</v>
      </c>
      <c r="I35" s="113" t="e">
        <f>StSoMarks!L10</f>
        <v>#VALUE!</v>
      </c>
      <c r="J35" s="113" t="e">
        <f>StSoMarks!M10</f>
        <v>#VALUE!</v>
      </c>
      <c r="K35" s="113" t="e">
        <f>StSoMarks!N10</f>
        <v>#VALUE!</v>
      </c>
      <c r="L35" s="113" t="e">
        <f>StSoMarks!O10</f>
        <v>#DIV/0!</v>
      </c>
      <c r="M35" s="113" t="e">
        <f>StSoMarks!P10</f>
        <v>#VALUE!</v>
      </c>
      <c r="N35" s="113">
        <f>StSoMarks!Q10</f>
        <v>0.7877777777777778</v>
      </c>
    </row>
    <row r="37" spans="1:14" ht="26.25" hidden="1" customHeight="1" thickBot="1" x14ac:dyDescent="0.3">
      <c r="A37" s="256" t="s">
        <v>84</v>
      </c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8"/>
    </row>
    <row r="38" spans="1:14" ht="26.25" hidden="1" customHeight="1" x14ac:dyDescent="0.25">
      <c r="A38" s="127">
        <v>1</v>
      </c>
      <c r="B38" s="272" t="s">
        <v>208</v>
      </c>
      <c r="C38" s="272"/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3"/>
    </row>
    <row r="39" spans="1:14" ht="26.25" hidden="1" customHeight="1" x14ac:dyDescent="0.25">
      <c r="A39" s="128">
        <v>2</v>
      </c>
      <c r="B39" s="259"/>
      <c r="C39" s="259"/>
      <c r="D39" s="259"/>
      <c r="E39" s="259"/>
      <c r="F39" s="259"/>
      <c r="G39" s="259"/>
      <c r="H39" s="259"/>
      <c r="I39" s="259"/>
      <c r="J39" s="259"/>
      <c r="K39" s="259"/>
      <c r="L39" s="259"/>
      <c r="M39" s="259"/>
      <c r="N39" s="260"/>
    </row>
    <row r="40" spans="1:14" ht="26.25" hidden="1" customHeight="1" x14ac:dyDescent="0.25">
      <c r="A40" s="128">
        <v>3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60"/>
    </row>
    <row r="41" spans="1:14" ht="26.25" hidden="1" customHeight="1" thickBot="1" x14ac:dyDescent="0.3">
      <c r="A41" s="129">
        <v>4</v>
      </c>
      <c r="B41" s="270"/>
      <c r="C41" s="270"/>
      <c r="D41" s="270"/>
      <c r="E41" s="270"/>
      <c r="F41" s="270"/>
      <c r="G41" s="270"/>
      <c r="H41" s="270"/>
      <c r="I41" s="270"/>
      <c r="J41" s="270"/>
      <c r="K41" s="270"/>
      <c r="L41" s="270"/>
      <c r="M41" s="270"/>
      <c r="N41" s="271"/>
    </row>
    <row r="42" spans="1:14" ht="26.25" hidden="1" customHeight="1" thickBot="1" x14ac:dyDescent="0.3">
      <c r="A42" s="256" t="s">
        <v>85</v>
      </c>
      <c r="B42" s="257"/>
      <c r="C42" s="257"/>
      <c r="D42" s="257"/>
      <c r="E42" s="257"/>
      <c r="F42" s="257"/>
      <c r="G42" s="257"/>
      <c r="H42" s="257"/>
      <c r="I42" s="257"/>
      <c r="J42" s="257"/>
      <c r="K42" s="257"/>
      <c r="L42" s="257"/>
      <c r="M42" s="257"/>
      <c r="N42" s="258"/>
    </row>
    <row r="43" spans="1:14" ht="26.25" hidden="1" customHeight="1" x14ac:dyDescent="0.25">
      <c r="A43" s="127">
        <v>1</v>
      </c>
      <c r="B43" s="272"/>
      <c r="C43" s="272"/>
      <c r="D43" s="272"/>
      <c r="E43" s="272"/>
      <c r="F43" s="272"/>
      <c r="G43" s="272"/>
      <c r="H43" s="272"/>
      <c r="I43" s="272"/>
      <c r="J43" s="272"/>
      <c r="K43" s="272"/>
      <c r="L43" s="272"/>
      <c r="M43" s="272"/>
      <c r="N43" s="273"/>
    </row>
    <row r="44" spans="1:14" ht="26.25" hidden="1" customHeight="1" x14ac:dyDescent="0.25">
      <c r="A44" s="128">
        <v>2</v>
      </c>
      <c r="B44" s="259"/>
      <c r="C44" s="259"/>
      <c r="D44" s="259"/>
      <c r="E44" s="259"/>
      <c r="F44" s="259"/>
      <c r="G44" s="259"/>
      <c r="H44" s="259"/>
      <c r="I44" s="259"/>
      <c r="J44" s="259"/>
      <c r="K44" s="259"/>
      <c r="L44" s="259"/>
      <c r="M44" s="259"/>
      <c r="N44" s="260"/>
    </row>
    <row r="45" spans="1:14" ht="26.25" hidden="1" customHeight="1" x14ac:dyDescent="0.25">
      <c r="A45" s="128">
        <v>3</v>
      </c>
      <c r="B45" s="259"/>
      <c r="C45" s="259"/>
      <c r="D45" s="259"/>
      <c r="E45" s="259"/>
      <c r="F45" s="259"/>
      <c r="G45" s="259"/>
      <c r="H45" s="259"/>
      <c r="I45" s="259"/>
      <c r="J45" s="259"/>
      <c r="K45" s="259"/>
      <c r="L45" s="259"/>
      <c r="M45" s="259"/>
      <c r="N45" s="260"/>
    </row>
    <row r="46" spans="1:14" ht="26.25" hidden="1" customHeight="1" thickBot="1" x14ac:dyDescent="0.3">
      <c r="A46" s="129">
        <v>4</v>
      </c>
      <c r="B46" s="270"/>
      <c r="C46" s="270"/>
      <c r="D46" s="270"/>
      <c r="E46" s="270"/>
      <c r="F46" s="270"/>
      <c r="G46" s="270"/>
      <c r="H46" s="270"/>
      <c r="I46" s="270"/>
      <c r="J46" s="270"/>
      <c r="K46" s="270"/>
      <c r="L46" s="270"/>
      <c r="M46" s="270"/>
      <c r="N46" s="271"/>
    </row>
    <row r="47" spans="1:14" ht="26.25" hidden="1" customHeight="1" x14ac:dyDescent="0.25"/>
    <row r="48" spans="1:14" ht="27.75" customHeight="1" x14ac:dyDescent="0.25">
      <c r="A48" s="274" t="s">
        <v>133</v>
      </c>
      <c r="B48" s="274"/>
      <c r="C48" s="274"/>
      <c r="D48" s="274"/>
      <c r="E48" s="274"/>
      <c r="F48" s="274"/>
      <c r="G48" s="274" t="s">
        <v>114</v>
      </c>
      <c r="H48" s="274"/>
      <c r="I48" s="274"/>
      <c r="J48" s="274" t="s">
        <v>134</v>
      </c>
      <c r="K48" s="274"/>
      <c r="L48" s="274"/>
      <c r="M48" s="274"/>
      <c r="N48" s="274"/>
    </row>
    <row r="49" spans="1:14" ht="33" customHeight="1" x14ac:dyDescent="0.25">
      <c r="A49" s="150" t="s">
        <v>8</v>
      </c>
      <c r="B49" s="275" t="str">
        <f>Config!B2</f>
        <v>Dr Md Tanwir Athar</v>
      </c>
      <c r="C49" s="275"/>
      <c r="D49" s="275"/>
      <c r="E49" s="275"/>
      <c r="F49" s="275"/>
      <c r="G49" s="276"/>
      <c r="H49" s="277"/>
      <c r="I49" s="278"/>
      <c r="J49" s="259" t="s">
        <v>91</v>
      </c>
      <c r="K49" s="259"/>
      <c r="L49" s="259"/>
      <c r="M49" s="259"/>
      <c r="N49" s="210"/>
    </row>
    <row r="50" spans="1:14" ht="33" customHeight="1" x14ac:dyDescent="0.25">
      <c r="A50" s="73" t="s">
        <v>86</v>
      </c>
      <c r="B50" s="275"/>
      <c r="C50" s="275"/>
      <c r="D50" s="275"/>
      <c r="E50" s="275"/>
      <c r="F50" s="275"/>
      <c r="G50" s="279"/>
      <c r="H50" s="280"/>
      <c r="I50" s="281"/>
      <c r="J50" s="259" t="s">
        <v>86</v>
      </c>
      <c r="K50" s="259"/>
      <c r="L50" s="259"/>
      <c r="M50" s="259"/>
      <c r="N50" s="210"/>
    </row>
  </sheetData>
  <mergeCells count="28">
    <mergeCell ref="J48:N48"/>
    <mergeCell ref="A48:F48"/>
    <mergeCell ref="G48:I48"/>
    <mergeCell ref="B43:N43"/>
    <mergeCell ref="B44:N44"/>
    <mergeCell ref="B45:N45"/>
    <mergeCell ref="B46:N46"/>
    <mergeCell ref="J49:M49"/>
    <mergeCell ref="B50:F50"/>
    <mergeCell ref="J50:M50"/>
    <mergeCell ref="B49:F49"/>
    <mergeCell ref="G49:I50"/>
    <mergeCell ref="B39:N39"/>
    <mergeCell ref="B40:N40"/>
    <mergeCell ref="A42:N42"/>
    <mergeCell ref="B38:N38"/>
    <mergeCell ref="B1:F1"/>
    <mergeCell ref="B2:F2"/>
    <mergeCell ref="B3:F3"/>
    <mergeCell ref="B4:F4"/>
    <mergeCell ref="G4:H4"/>
    <mergeCell ref="A37:N37"/>
    <mergeCell ref="A5:N5"/>
    <mergeCell ref="K1:N1"/>
    <mergeCell ref="K2:N2"/>
    <mergeCell ref="K3:N3"/>
    <mergeCell ref="J4:N4"/>
    <mergeCell ref="B41:N41"/>
  </mergeCells>
  <conditionalFormatting sqref="O6:O18 B6:N35">
    <cfRule type="cellIs" dxfId="14" priority="2" operator="equal">
      <formula>0</formula>
    </cfRule>
  </conditionalFormatting>
  <conditionalFormatting sqref="O6:O18 B7:N20 B22:N35">
    <cfRule type="containsBlanks" dxfId="13" priority="1">
      <formula>LEN(TRIM(B6))=0</formula>
    </cfRule>
  </conditionalFormatting>
  <printOptions horizontalCentered="1"/>
  <pageMargins left="0.25" right="0.25" top="0.75" bottom="0.75" header="0.3" footer="0.3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rintSheet">
                <anchor moveWithCells="1" sizeWithCells="1">
                  <from>
                    <xdr:col>15</xdr:col>
                    <xdr:colOff>238125</xdr:colOff>
                    <xdr:row>0</xdr:row>
                    <xdr:rowOff>276225</xdr:rowOff>
                  </from>
                  <to>
                    <xdr:col>17</xdr:col>
                    <xdr:colOff>295275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3" tint="-0.249977111117893"/>
    <pageSetUpPr fitToPage="1"/>
  </sheetPr>
  <dimension ref="A1:R137"/>
  <sheetViews>
    <sheetView showGridLines="0" zoomScale="70" zoomScaleNormal="70" workbookViewId="0">
      <pane ySplit="11" topLeftCell="A12" activePane="bottomLeft" state="frozen"/>
      <selection pane="bottomLeft" activeCell="U15" sqref="U15"/>
    </sheetView>
  </sheetViews>
  <sheetFormatPr defaultColWidth="9.140625" defaultRowHeight="20.25" customHeight="1" x14ac:dyDescent="0.25"/>
  <cols>
    <col min="1" max="1" width="5.7109375" style="23" customWidth="1"/>
    <col min="2" max="2" width="9.140625" style="23"/>
    <col min="3" max="3" width="12.7109375" style="23" customWidth="1"/>
    <col min="4" max="4" width="32.5703125" style="23" customWidth="1"/>
    <col min="5" max="7" width="10.140625" style="26" customWidth="1"/>
    <col min="8" max="13" width="10.140625" style="23" customWidth="1"/>
    <col min="14" max="16" width="10.140625" style="26" customWidth="1"/>
    <col min="17" max="17" width="8.85546875" style="23" customWidth="1"/>
    <col min="18" max="16384" width="9.140625" style="23"/>
  </cols>
  <sheetData>
    <row r="1" spans="1:18" s="26" customFormat="1" ht="39.75" customHeight="1" x14ac:dyDescent="0.25">
      <c r="A1" s="134" t="s">
        <v>89</v>
      </c>
      <c r="B1" s="133">
        <f>Config!B3</f>
        <v>462</v>
      </c>
      <c r="C1" s="133" t="s">
        <v>88</v>
      </c>
      <c r="D1" s="133" t="str">
        <f>Config!B1</f>
        <v>pharmacy</v>
      </c>
      <c r="E1" s="133" t="s">
        <v>0</v>
      </c>
      <c r="F1" s="418" t="str">
        <f>Config!B4</f>
        <v>Pharmacognosy-I</v>
      </c>
      <c r="G1" s="418"/>
      <c r="H1" s="418"/>
      <c r="I1" s="133" t="str">
        <f>Config!A10</f>
        <v>PHG301</v>
      </c>
      <c r="J1" s="419" t="s">
        <v>90</v>
      </c>
      <c r="K1" s="419"/>
      <c r="L1" s="419" t="str">
        <f>Config!B2</f>
        <v>Dr Md Tanwir Athar</v>
      </c>
      <c r="M1" s="419"/>
      <c r="N1" s="419"/>
      <c r="O1" s="419"/>
      <c r="P1" s="419"/>
      <c r="Q1" s="49"/>
      <c r="R1" s="132"/>
    </row>
    <row r="2" spans="1:18" ht="28.5" hidden="1" customHeight="1" x14ac:dyDescent="0.25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25"/>
    </row>
    <row r="3" spans="1:18" ht="20.25" hidden="1" customHeight="1" x14ac:dyDescent="0.25">
      <c r="A3" s="25"/>
      <c r="B3" s="25"/>
      <c r="C3" s="25"/>
      <c r="D3" s="25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5"/>
    </row>
    <row r="4" spans="1:18" ht="15" hidden="1" customHeight="1" x14ac:dyDescent="0.25">
      <c r="A4" s="25"/>
      <c r="B4" s="25"/>
      <c r="C4" s="25"/>
      <c r="D4" s="25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57"/>
      <c r="Q4" s="25"/>
    </row>
    <row r="5" spans="1:18" ht="12" hidden="1" customHeight="1" x14ac:dyDescent="0.25">
      <c r="A5" s="25"/>
      <c r="B5" s="25"/>
      <c r="C5" s="25"/>
      <c r="D5" s="25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25"/>
    </row>
    <row r="6" spans="1:18" ht="32.25" customHeight="1" x14ac:dyDescent="0.25">
      <c r="A6" s="25"/>
      <c r="B6" s="25"/>
      <c r="C6" s="25"/>
      <c r="D6" s="24" t="s">
        <v>138</v>
      </c>
      <c r="E6" s="57">
        <f t="shared" ref="E6:N6" si="0">IF(SUBTOTAL(102,E12:E121),SUBTOTAL(109,E12:E121),"")</f>
        <v>56</v>
      </c>
      <c r="F6" s="57">
        <f t="shared" si="0"/>
        <v>338</v>
      </c>
      <c r="G6" s="57">
        <f t="shared" si="0"/>
        <v>103</v>
      </c>
      <c r="H6" s="57">
        <f t="shared" si="0"/>
        <v>40</v>
      </c>
      <c r="I6" s="57">
        <f t="shared" si="0"/>
        <v>82</v>
      </c>
      <c r="J6" s="57">
        <f t="shared" si="0"/>
        <v>90</v>
      </c>
      <c r="K6" s="57" t="str">
        <f t="shared" si="0"/>
        <v/>
      </c>
      <c r="L6" s="57" t="str">
        <f t="shared" si="0"/>
        <v/>
      </c>
      <c r="M6" s="57" t="str">
        <f t="shared" si="0"/>
        <v/>
      </c>
      <c r="N6" s="57" t="str">
        <f t="shared" si="0"/>
        <v/>
      </c>
      <c r="O6" s="57"/>
      <c r="P6" s="57" t="str">
        <f>IF(SUBTOTAL(102,P12:P121),SUBTOTAL(109,P12:P121),"")</f>
        <v/>
      </c>
      <c r="Q6" s="57">
        <f>SUM(E6:P6)</f>
        <v>709</v>
      </c>
    </row>
    <row r="7" spans="1:18" ht="20.25" customHeight="1" x14ac:dyDescent="0.25">
      <c r="A7" s="25"/>
      <c r="B7" s="25"/>
      <c r="C7" s="25"/>
      <c r="D7" s="24" t="s">
        <v>113</v>
      </c>
      <c r="E7" s="57">
        <f t="shared" ref="E7:N7" si="1">IF(E8&lt;&gt;"",SUBTOTAL(102,E12:E121)*E8,"")</f>
        <v>90</v>
      </c>
      <c r="F7" s="57">
        <f t="shared" si="1"/>
        <v>450</v>
      </c>
      <c r="G7" s="57">
        <f t="shared" si="1"/>
        <v>135</v>
      </c>
      <c r="H7" s="57">
        <f t="shared" si="1"/>
        <v>45</v>
      </c>
      <c r="I7" s="57">
        <f t="shared" si="1"/>
        <v>90</v>
      </c>
      <c r="J7" s="57">
        <f t="shared" si="1"/>
        <v>90</v>
      </c>
      <c r="K7" s="57">
        <f t="shared" si="1"/>
        <v>0</v>
      </c>
      <c r="L7" s="57">
        <f t="shared" si="1"/>
        <v>0</v>
      </c>
      <c r="M7" s="57">
        <f t="shared" si="1"/>
        <v>0</v>
      </c>
      <c r="N7" s="57">
        <f t="shared" si="1"/>
        <v>0</v>
      </c>
      <c r="O7" s="57"/>
      <c r="P7" s="57">
        <f>IF(P8&lt;&gt;"",SUBTOTAL(102,P12:P121)*P8,"")</f>
        <v>0</v>
      </c>
      <c r="Q7" s="57">
        <f>SUM(E7:P7)</f>
        <v>900</v>
      </c>
    </row>
    <row r="8" spans="1:18" ht="19.5" customHeight="1" x14ac:dyDescent="0.25">
      <c r="A8" s="135"/>
      <c r="B8" s="135"/>
      <c r="C8" s="135"/>
      <c r="D8" s="24" t="s">
        <v>112</v>
      </c>
      <c r="E8" s="57">
        <f>Config!E51</f>
        <v>10</v>
      </c>
      <c r="F8" s="57">
        <f>Config!F51</f>
        <v>50</v>
      </c>
      <c r="G8" s="57">
        <f>Config!G51</f>
        <v>15</v>
      </c>
      <c r="H8" s="57">
        <f>Config!H51</f>
        <v>5</v>
      </c>
      <c r="I8" s="57">
        <f>Config!I51</f>
        <v>10</v>
      </c>
      <c r="J8" s="57">
        <f>Config!J51</f>
        <v>10</v>
      </c>
      <c r="K8" s="57">
        <f>Config!K51</f>
        <v>0</v>
      </c>
      <c r="L8" s="57">
        <f>Config!L51</f>
        <v>0</v>
      </c>
      <c r="M8" s="57">
        <f>Config!M51</f>
        <v>0</v>
      </c>
      <c r="N8" s="57">
        <f>Config!N51</f>
        <v>0</v>
      </c>
      <c r="O8" s="57">
        <f>Config!O51</f>
        <v>0</v>
      </c>
      <c r="P8" s="57">
        <f>Config!P51</f>
        <v>0</v>
      </c>
      <c r="Q8" s="57">
        <f>SUM(E8:P8)</f>
        <v>100</v>
      </c>
    </row>
    <row r="9" spans="1:18" s="26" customFormat="1" ht="29.25" customHeight="1" x14ac:dyDescent="0.25">
      <c r="A9" s="420"/>
      <c r="B9" s="420"/>
      <c r="C9" s="24"/>
      <c r="D9" s="24" t="s">
        <v>139</v>
      </c>
      <c r="E9" s="57">
        <f>IF('Mid1'!B3&lt;&gt;"",'Mid1'!B3,0)+IF('Mid2'!B3&lt;&gt;"",'Mid2'!B3,0)+IF('quiz 1'!B3&lt;&gt;"",'quiz 1'!B3,0)+IF('Assignment or Proposal'!B3&lt;&gt;"",'Assignment or Proposal'!B3,0)+IF('Final exam'!B3&lt;&gt;"",'Final exam'!B3,0)+IF('quiz 2'!B3&lt;&gt;"",'quiz 2'!B3,0)+IF('Poster or Presentation'!B3&lt;&gt;"",'Poster or Presentation'!B3,0)+IF('practical exam or OSCE'!B3&lt;&gt;"",'practical exam or OSCE'!B3,0)</f>
        <v>10</v>
      </c>
      <c r="F9" s="57">
        <f>IF('Mid1'!C3&lt;&gt;"",'Mid1'!C3,0)+IF('Mid2'!C3&lt;&gt;"",'Mid2'!C3,0)+IF('quiz 1'!C3&lt;&gt;"",'quiz 1'!C3,0)+IF('Assignment or Proposal'!C3&lt;&gt;"",'Assignment or Proposal'!C3,0)+IF('Final exam'!C3&lt;&gt;"",'Final exam'!C3,0)+IF('quiz 2'!C3&lt;&gt;"",'quiz 2'!C3,0)+IF('Poster or Presentation'!C3&lt;&gt;"",'Poster or Presentation'!C3,0)+IF('practical exam or OSCE'!C3&lt;&gt;"",'practical exam or OSCE'!C3,0)</f>
        <v>50</v>
      </c>
      <c r="G9" s="57">
        <f>IF('Mid1'!D3&lt;&gt;"",'Mid1'!D3,0)+IF('Mid2'!D3&lt;&gt;"",'Mid2'!D3,0)+IF('quiz 1'!D3&lt;&gt;"",'quiz 1'!D3,0)+IF('Assignment or Proposal'!D3&lt;&gt;"",'Assignment or Proposal'!D3,0)+IF('Final exam'!D3&lt;&gt;"",'Final exam'!D3,0)+IF('quiz 2'!D3&lt;&gt;"",'quiz 2'!D3,0)+IF('Poster or Presentation'!D3&lt;&gt;"",'Poster or Presentation'!D3,0)+IF('practical exam or OSCE'!D3&lt;&gt;"",'practical exam or OSCE'!D3,0)</f>
        <v>15</v>
      </c>
      <c r="H9" s="57">
        <f>IF('Mid1'!E3&lt;&gt;"",'Mid1'!E3,0)+IF('Mid2'!E3&lt;&gt;"",'Mid2'!E3,0)+IF('quiz 1'!E3&lt;&gt;"",'quiz 1'!E3,0)+IF('Assignment or Proposal'!E3&lt;&gt;"",'Assignment or Proposal'!E3,0)+IF('Final exam'!E3&lt;&gt;"",'Final exam'!E3,0)+IF('quiz 2'!E3&lt;&gt;"",'quiz 2'!E3,0)+IF('Poster or Presentation'!E3&lt;&gt;"",'Poster or Presentation'!E3,0)+IF('practical exam or OSCE'!E3&lt;&gt;"",'practical exam or OSCE'!E3,0)</f>
        <v>5</v>
      </c>
      <c r="I9" s="57">
        <f>IF('Mid1'!F3&lt;&gt;"",'Mid1'!F3,0)+IF('Mid2'!F3&lt;&gt;"",'Mid2'!F3,0)+IF('quiz 1'!F3&lt;&gt;"",'quiz 1'!F3,0)+IF('Assignment or Proposal'!F3&lt;&gt;"",'Assignment or Proposal'!F3,0)+IF('Final exam'!F3&lt;&gt;"",'Final exam'!F3,0)+IF('quiz 2'!F3&lt;&gt;"",'quiz 2'!F3,0)+IF('Poster or Presentation'!F3&lt;&gt;"",'Poster or Presentation'!F3,0)+IF('practical exam or OSCE'!F3&lt;&gt;"",'practical exam or OSCE'!F3,0)</f>
        <v>10</v>
      </c>
      <c r="J9" s="57">
        <f>IF('Mid1'!G3&lt;&gt;"",'Mid1'!G3,0)+IF('Mid2'!G3&lt;&gt;"",'Mid2'!G3,0)+IF('quiz 1'!G3&lt;&gt;"",'quiz 1'!G3,0)+IF('Assignment or Proposal'!G3&lt;&gt;"",'Assignment or Proposal'!G3,0)+IF('Final exam'!G3&lt;&gt;"",'Final exam'!G3,0)+IF('quiz 2'!G3&lt;&gt;"",'quiz 2'!G3,0)+IF('Poster or Presentation'!G3&lt;&gt;"",'Poster or Presentation'!G3,0)+IF('practical exam or OSCE'!G3&lt;&gt;"",'practical exam or OSCE'!G3,0)</f>
        <v>10</v>
      </c>
      <c r="K9" s="57">
        <f>IF('Mid1'!H3&lt;&gt;"",'Mid1'!H3,0)+IF('Mid2'!H3&lt;&gt;"",'Mid2'!H3,0)+IF('quiz 1'!H3&lt;&gt;"",'quiz 1'!H3,0)+IF('Assignment or Proposal'!H3&lt;&gt;"",'Assignment or Proposal'!H3,0)+IF('Final exam'!H3&lt;&gt;"",'Final exam'!H3,0)+IF('quiz 2'!H3&lt;&gt;"",'quiz 2'!H3,0)+IF('Poster or Presentation'!H3&lt;&gt;"",'Poster or Presentation'!H3,0)+IF('practical exam or OSCE'!H3&lt;&gt;"",'practical exam or OSCE'!H3,0)</f>
        <v>0</v>
      </c>
      <c r="L9" s="57">
        <f>IF('Mid1'!I3&lt;&gt;"",'Mid1'!I3,0)+IF('Mid2'!I3&lt;&gt;"",'Mid2'!I3,0)+IF('quiz 1'!I3&lt;&gt;"",'quiz 1'!I3,0)+IF('Assignment or Proposal'!I3&lt;&gt;"",'Assignment or Proposal'!I3,0)+IF('Final exam'!I3&lt;&gt;"",'Final exam'!I3,0)+IF('quiz 2'!I3&lt;&gt;"",'quiz 2'!I3,0)+IF('Poster or Presentation'!I3&lt;&gt;"",'Poster or Presentation'!I3,0)+IF('practical exam or OSCE'!I3&lt;&gt;"",'practical exam or OSCE'!I3,0)</f>
        <v>0</v>
      </c>
      <c r="M9" s="57">
        <f>IF('Mid1'!J3&lt;&gt;"",'Mid1'!J3,0)+IF('Mid2'!J3&lt;&gt;"",'Mid2'!J3,0)+IF('quiz 1'!J3&lt;&gt;"",'quiz 1'!J3,0)+IF('Assignment or Proposal'!J3&lt;&gt;"",'Assignment or Proposal'!J3,0)+IF('Final exam'!J3&lt;&gt;"",'Final exam'!J3,0)+IF('quiz 2'!J3&lt;&gt;"",'quiz 2'!J3,0)+IF('Poster or Presentation'!J3&lt;&gt;"",'Poster or Presentation'!J3,0)+IF('practical exam or OSCE'!J3&lt;&gt;"",'practical exam or OSCE'!J3,0)</f>
        <v>0</v>
      </c>
      <c r="N9" s="57">
        <f>IF('Mid1'!K3&lt;&gt;"",'Mid1'!K3,0)+IF('Mid2'!K3&lt;&gt;"",'Mid2'!K3,0)+IF('quiz 1'!K3&lt;&gt;"",'quiz 1'!K3,0)+IF('Assignment or Proposal'!K3&lt;&gt;"",'Assignment or Proposal'!K3,0)+IF('Final exam'!K3&lt;&gt;"",'Final exam'!K3,0)+IF('quiz 2'!K3&lt;&gt;"",'quiz 2'!K3,0)+IF('Poster or Presentation'!K3&lt;&gt;"",'Poster or Presentation'!K3,0)+IF('practical exam or OSCE'!K3&lt;&gt;"",'practical exam or OSCE'!K3,0)</f>
        <v>0</v>
      </c>
      <c r="O9" s="57">
        <f>IF('Mid1'!L3&lt;&gt;"",'Mid1'!L3,0)+IF('Mid2'!L3&lt;&gt;"",'Mid2'!L3,0)+IF('quiz 1'!L3&lt;&gt;"",'quiz 1'!L3,0)+IF('Assignment or Proposal'!L3&lt;&gt;"",'Assignment or Proposal'!L3,0)+IF('Final exam'!L3&lt;&gt;"",'Final exam'!L3,0)+IF('quiz 2'!L3&lt;&gt;"",'quiz 2'!L3,0)+IF('Poster or Presentation'!L3&lt;&gt;"",'Poster or Presentation'!L3,0)+IF('practical exam or OSCE'!L3&lt;&gt;"",'practical exam or OSCE'!L3,0)</f>
        <v>0</v>
      </c>
      <c r="P9" s="57">
        <f>IF('Mid1'!M3&lt;&gt;"",'Mid1'!M3,0)+IF('Mid2'!M3&lt;&gt;"",'Mid2'!M3,0)+IF('quiz 1'!M3&lt;&gt;"",'quiz 1'!M3,0)+IF('Assignment or Proposal'!M3&lt;&gt;"",'Assignment or Proposal'!M3,0)+IF('Final exam'!M3&lt;&gt;"",'Final exam'!M3,0)+IF('quiz 2'!M3&lt;&gt;"",'quiz 2'!M3,0)+IF('Poster or Presentation'!M3&lt;&gt;"",'Poster or Presentation'!M3,0)+IF('practical exam or OSCE'!M3&lt;&gt;"",'practical exam or OSCE'!M3,0)</f>
        <v>0</v>
      </c>
      <c r="Q9" s="57">
        <f>SUM(E9:P9)</f>
        <v>100</v>
      </c>
    </row>
    <row r="10" spans="1:18" ht="32.25" customHeight="1" x14ac:dyDescent="0.25">
      <c r="A10" s="135"/>
      <c r="B10" s="135"/>
      <c r="C10" s="135"/>
      <c r="D10" s="148" t="s">
        <v>33</v>
      </c>
      <c r="E10" s="149">
        <f>IF(E8&lt;&gt;"",E6/E7,"")</f>
        <v>0.62222222222222223</v>
      </c>
      <c r="F10" s="149">
        <f t="shared" ref="F10:P10" si="2">IF(F8&lt;&gt;"",F6/F7,"")</f>
        <v>0.75111111111111106</v>
      </c>
      <c r="G10" s="149">
        <f t="shared" si="2"/>
        <v>0.76296296296296295</v>
      </c>
      <c r="H10" s="149">
        <f t="shared" si="2"/>
        <v>0.88888888888888884</v>
      </c>
      <c r="I10" s="149">
        <f t="shared" si="2"/>
        <v>0.91111111111111109</v>
      </c>
      <c r="J10" s="149">
        <f t="shared" si="2"/>
        <v>1</v>
      </c>
      <c r="K10" s="149" t="e">
        <f t="shared" si="2"/>
        <v>#VALUE!</v>
      </c>
      <c r="L10" s="149" t="e">
        <f t="shared" si="2"/>
        <v>#VALUE!</v>
      </c>
      <c r="M10" s="149" t="e">
        <f t="shared" si="2"/>
        <v>#VALUE!</v>
      </c>
      <c r="N10" s="149" t="e">
        <f t="shared" si="2"/>
        <v>#VALUE!</v>
      </c>
      <c r="O10" s="149" t="e">
        <f t="shared" si="2"/>
        <v>#DIV/0!</v>
      </c>
      <c r="P10" s="149" t="e">
        <f t="shared" si="2"/>
        <v>#VALUE!</v>
      </c>
      <c r="Q10" s="149">
        <f>IF(Q8&lt;&gt;"",Q6/Q7,"")</f>
        <v>0.7877777777777778</v>
      </c>
    </row>
    <row r="11" spans="1:18" s="26" customFormat="1" ht="28.5" customHeight="1" x14ac:dyDescent="0.25">
      <c r="A11" s="24" t="s">
        <v>3</v>
      </c>
      <c r="B11" s="24" t="s">
        <v>4</v>
      </c>
      <c r="C11" s="24" t="s">
        <v>7</v>
      </c>
      <c r="D11" s="24" t="s">
        <v>8</v>
      </c>
      <c r="E11" s="24" t="str">
        <f>Config!E42</f>
        <v>K.1.1</v>
      </c>
      <c r="F11" s="24" t="str">
        <f>Config!F42</f>
        <v>K.1.2</v>
      </c>
      <c r="G11" s="24" t="str">
        <f>Config!G42</f>
        <v>K.2.1</v>
      </c>
      <c r="H11" s="24" t="str">
        <f>Config!H42</f>
        <v>K2.2</v>
      </c>
      <c r="I11" s="24" t="str">
        <f>Config!I42</f>
        <v>S.3.1</v>
      </c>
      <c r="J11" s="24" t="str">
        <f>Config!J42</f>
        <v>S.7.1</v>
      </c>
      <c r="K11" s="24">
        <f>Config!K42</f>
        <v>0</v>
      </c>
      <c r="L11" s="24">
        <f>Config!L42</f>
        <v>0</v>
      </c>
      <c r="M11" s="24">
        <f>Config!M42</f>
        <v>0</v>
      </c>
      <c r="N11" s="24">
        <f>Config!N42</f>
        <v>0</v>
      </c>
      <c r="O11" s="24">
        <f>Config!O42</f>
        <v>0</v>
      </c>
      <c r="P11" s="24" t="str">
        <f>Config!P42</f>
        <v>v2</v>
      </c>
      <c r="Q11" s="24" t="s">
        <v>34</v>
      </c>
    </row>
    <row r="12" spans="1:18" ht="20.25" customHeight="1" x14ac:dyDescent="0.25">
      <c r="A12" s="24">
        <v>1</v>
      </c>
      <c r="B12" s="24" t="str">
        <f>IF(StList!B3&lt;&gt;"",StList!B3,"")</f>
        <v>Pharmaceutical sciences</v>
      </c>
      <c r="C12" s="24">
        <f>IF(StList!E3&lt;&gt;"",StList!E3,"")</f>
        <v>431003107</v>
      </c>
      <c r="D12" s="24" t="str">
        <f>IF(StList!F3&lt;&gt;"",StList!F3,"")</f>
        <v> SADEEM FAHAD S ALSEDRANI</v>
      </c>
      <c r="E12" s="57">
        <f>IF(('Mid1'!B11+'Mid2'!B11+'quiz 1'!B11+'Assignment or Proposal'!B11+'Final exam'!B11+'quiz 2'!B11+'Poster or Presentation'!B11+'practical exam or OSCE'!B11)&lt;&gt;0,'Mid1'!B11+'Mid2'!B11+'quiz 1'!B11+'Assignment or Proposal'!B11+'Final exam'!B11+'quiz 2'!B11+'Poster or Presentation'!B11+'practical exam or OSCE'!B11,"")</f>
        <v>3</v>
      </c>
      <c r="F12" s="57">
        <f>IF(('Mid1'!C11+'Mid2'!C11+'quiz 1'!C11+'Assignment or Proposal'!C11+'Final exam'!C11+'quiz 2'!C11+'Poster or Presentation'!C11+'practical exam or OSCE'!C11)&lt;&gt;0,'Mid1'!C11+'Mid2'!C11+'quiz 1'!C11+'Assignment or Proposal'!C11+'Final exam'!C11+'quiz 2'!C11+'Poster or Presentation'!C11+'practical exam or OSCE'!C11,"")</f>
        <v>33</v>
      </c>
      <c r="G12" s="57">
        <f>IF(('Mid1'!D11+'Mid2'!D11+'quiz 1'!D11+'Assignment or Proposal'!D11+'Final exam'!D11+'quiz 2'!D11+'Poster or Presentation'!D11+'practical exam or OSCE'!D11)&lt;&gt;0,'Mid1'!D11+'Mid2'!D11+'quiz 1'!D11+'Assignment or Proposal'!D11+'Final exam'!D11+'quiz 2'!D11+'Poster or Presentation'!D11+'practical exam or OSCE'!D11,"")</f>
        <v>10</v>
      </c>
      <c r="H12" s="57">
        <f>IF(('Mid1'!E11+'Mid2'!E11+'quiz 1'!E11+'Assignment or Proposal'!E11+'Final exam'!E11+'quiz 2'!E11+'Poster or Presentation'!E11+'practical exam or OSCE'!E11)&lt;&gt;0,'Mid1'!E11+'Mid2'!E11+'quiz 1'!E11+'Assignment or Proposal'!E11+'Final exam'!E11+'quiz 2'!E11+'Poster or Presentation'!E11+'practical exam or OSCE'!E11,"")</f>
        <v>5</v>
      </c>
      <c r="I12" s="57">
        <f>IF(('Mid1'!F11+'Mid2'!F11+'quiz 1'!F11+'Assignment or Proposal'!F11+'Final exam'!F11+'quiz 2'!F11+'Poster or Presentation'!F11+'practical exam or OSCE'!F11)&lt;&gt;0,'Mid1'!F11+'Mid2'!F11+'quiz 1'!F11+'Assignment or Proposal'!F11+'Final exam'!F11+'quiz 2'!F11+'Poster or Presentation'!F11+'practical exam or OSCE'!F11,"")</f>
        <v>9</v>
      </c>
      <c r="J12" s="57">
        <f>IF(('Mid1'!G11+'Mid2'!G11+'quiz 1'!G11+'Assignment or Proposal'!G11+'Final exam'!G11+'quiz 2'!G11+'Poster or Presentation'!G11+'practical exam or OSCE'!G11)&lt;&gt;0,'Mid1'!G11+'Mid2'!G11+'quiz 1'!G11+'Assignment or Proposal'!G11+'Final exam'!G11+'quiz 2'!G11+'Poster or Presentation'!G11+'practical exam or OSCE'!G11,"")</f>
        <v>10</v>
      </c>
      <c r="K12" s="57" t="str">
        <f>IF(('Mid1'!H11+'Mid2'!H11+'quiz 1'!H11+'Assignment or Proposal'!H11+'Final exam'!H11+'quiz 2'!H11+'Poster or Presentation'!H11+'practical exam or OSCE'!H11)&lt;&gt;0,'Mid1'!H11+'Mid2'!H11+'quiz 1'!H11+'Assignment or Proposal'!H11+'Final exam'!H11+'quiz 2'!H11+'Poster or Presentation'!H11+'practical exam or OSCE'!H11,"")</f>
        <v/>
      </c>
      <c r="L12" s="57" t="str">
        <f>IF(('Mid1'!I11+'Mid2'!I11+'quiz 1'!I11+'Assignment or Proposal'!I11+'Final exam'!I11+'quiz 2'!I11+'Poster or Presentation'!I11+'practical exam or OSCE'!I11)&lt;&gt;0,'Mid1'!I11+'Mid2'!I11+'quiz 1'!I11+'Assignment or Proposal'!I11+'Final exam'!I11+'quiz 2'!I11+'Poster or Presentation'!I11+'practical exam or OSCE'!I11,"")</f>
        <v/>
      </c>
      <c r="M12" s="57" t="str">
        <f>IF(('Mid1'!J11+'Mid2'!J11+'quiz 1'!J11+'Assignment or Proposal'!J11+'Final exam'!J11+'quiz 2'!J11+'Poster or Presentation'!J11+'practical exam or OSCE'!J11)&lt;&gt;0,'Mid1'!J11+'Mid2'!J11+'quiz 1'!J11+'Assignment or Proposal'!J11+'Final exam'!J11+'quiz 2'!J11+'Poster or Presentation'!J11+'practical exam or OSCE'!J11,"")</f>
        <v/>
      </c>
      <c r="N12" s="57" t="str">
        <f>IF(('Mid1'!K11+'Mid2'!K11+'quiz 1'!K11+'Assignment or Proposal'!K11+'Final exam'!K11+'quiz 2'!K11+'Poster or Presentation'!K11+'practical exam or OSCE'!K11)&lt;&gt;0,'Mid1'!K11+'Mid2'!K11+'quiz 1'!K11+'Assignment or Proposal'!K11+'Final exam'!K11+'quiz 2'!K11+'Poster or Presentation'!K11+'practical exam or OSCE'!K11,"")</f>
        <v/>
      </c>
      <c r="O12" s="57" t="str">
        <f>IF(('Mid1'!L11+'Mid2'!L11+'quiz 1'!L11+'Assignment or Proposal'!L11+'Final exam'!L11+'quiz 2'!L11+'Poster or Presentation'!L11+'practical exam or OSCE'!L11)&lt;&gt;0,'Mid1'!L11+'Mid2'!L11+'quiz 1'!L11+'Assignment or Proposal'!L11+'Final exam'!L11+'quiz 2'!L11+'Poster or Presentation'!L11+'practical exam or OSCE'!L11,"")</f>
        <v/>
      </c>
      <c r="P12" s="57" t="str">
        <f>IF(('Mid1'!M11+'Mid2'!M11+'quiz 1'!M11+'Assignment or Proposal'!M11+'Final exam'!M11+'quiz 2'!M11+'Poster or Presentation'!M11+'practical exam or OSCE'!M11)&lt;&gt;0,'Mid1'!M11+'Mid2'!M11+'quiz 1'!M11+'Assignment or Proposal'!M11+'Final exam'!M11+'quiz 2'!M11+'Poster or Presentation'!M11+'practical exam or OSCE'!M11,"")</f>
        <v/>
      </c>
      <c r="Q12" s="136">
        <f t="shared" ref="Q12:Q20" si="3">IF(SUM(E12:P12)&lt;&gt;0,SUM(E12:P12),"")</f>
        <v>70</v>
      </c>
    </row>
    <row r="13" spans="1:18" ht="20.25" customHeight="1" x14ac:dyDescent="0.25">
      <c r="A13" s="24">
        <v>2</v>
      </c>
      <c r="B13" s="24" t="str">
        <f>IF(StList!B4&lt;&gt;"",StList!B4,"")</f>
        <v>Pharmaceutical sciences</v>
      </c>
      <c r="C13" s="24">
        <f>IF(StList!E4&lt;&gt;"",StList!E4,"")</f>
        <v>431003423</v>
      </c>
      <c r="D13" s="24" t="str">
        <f>IF(StList!F4&lt;&gt;"",StList!F4,"")</f>
        <v> ROBA RABAH H ALHARBI</v>
      </c>
      <c r="E13" s="57">
        <f>IF(('Mid1'!B12+'Mid2'!B12+'quiz 1'!B12+'Assignment or Proposal'!B12+'Final exam'!B12+'quiz 2'!B12+'Poster or Presentation'!B12+'practical exam or OSCE'!B12)&lt;&gt;0,'Mid1'!B12+'Mid2'!B12+'quiz 1'!B12+'Assignment or Proposal'!B12+'Final exam'!B12+'quiz 2'!B12+'Poster or Presentation'!B12+'practical exam or OSCE'!B12,"")</f>
        <v>6</v>
      </c>
      <c r="F13" s="57">
        <f>IF(('Mid1'!C12+'Mid2'!C12+'quiz 1'!C12+'Assignment or Proposal'!C12+'Final exam'!C12+'quiz 2'!C12+'Poster or Presentation'!C12+'practical exam or OSCE'!C12)&lt;&gt;0,'Mid1'!C12+'Mid2'!C12+'quiz 1'!C12+'Assignment or Proposal'!C12+'Final exam'!C12+'quiz 2'!C12+'Poster or Presentation'!C12+'practical exam or OSCE'!C12,"")</f>
        <v>32</v>
      </c>
      <c r="G13" s="57">
        <f>IF(('Mid1'!D12+'Mid2'!D12+'quiz 1'!D12+'Assignment or Proposal'!D12+'Final exam'!D12+'quiz 2'!D12+'Poster or Presentation'!D12+'practical exam or OSCE'!D12)&lt;&gt;0,'Mid1'!D12+'Mid2'!D12+'quiz 1'!D12+'Assignment or Proposal'!D12+'Final exam'!D12+'quiz 2'!D12+'Poster or Presentation'!D12+'practical exam or OSCE'!D12,"")</f>
        <v>13</v>
      </c>
      <c r="H13" s="57">
        <f>IF(('Mid1'!E12+'Mid2'!E12+'quiz 1'!E12+'Assignment or Proposal'!E12+'Final exam'!E12+'quiz 2'!E12+'Poster or Presentation'!E12+'practical exam or OSCE'!E12)&lt;&gt;0,'Mid1'!E12+'Mid2'!E12+'quiz 1'!E12+'Assignment or Proposal'!E12+'Final exam'!E12+'quiz 2'!E12+'Poster or Presentation'!E12+'practical exam or OSCE'!E12,"")</f>
        <v>5</v>
      </c>
      <c r="I13" s="57">
        <f>IF(('Mid1'!F12+'Mid2'!F12+'quiz 1'!F12+'Assignment or Proposal'!F12+'Final exam'!F12+'quiz 2'!F12+'Poster or Presentation'!F12+'practical exam or OSCE'!F12)&lt;&gt;0,'Mid1'!F12+'Mid2'!F12+'quiz 1'!F12+'Assignment or Proposal'!F12+'Final exam'!F12+'quiz 2'!F12+'Poster or Presentation'!F12+'practical exam or OSCE'!F12,"")</f>
        <v>9</v>
      </c>
      <c r="J13" s="57">
        <f>IF(('Mid1'!G12+'Mid2'!G12+'quiz 1'!G12+'Assignment or Proposal'!G12+'Final exam'!G12+'quiz 2'!G12+'Poster or Presentation'!G12+'practical exam or OSCE'!G12)&lt;&gt;0,'Mid1'!G12+'Mid2'!G12+'quiz 1'!G12+'Assignment or Proposal'!G12+'Final exam'!G12+'quiz 2'!G12+'Poster or Presentation'!G12+'practical exam or OSCE'!G12,"")</f>
        <v>10</v>
      </c>
      <c r="K13" s="57" t="str">
        <f>IF(('Mid1'!H12+'Mid2'!H12+'quiz 1'!H12+'Assignment or Proposal'!H12+'Final exam'!H12+'quiz 2'!H12+'Poster or Presentation'!H12+'practical exam or OSCE'!H12)&lt;&gt;0,'Mid1'!H12+'Mid2'!H12+'quiz 1'!H12+'Assignment or Proposal'!H12+'Final exam'!H12+'quiz 2'!H12+'Poster or Presentation'!H12+'practical exam or OSCE'!H12,"")</f>
        <v/>
      </c>
      <c r="L13" s="57" t="str">
        <f>IF(('Mid1'!I12+'Mid2'!I12+'quiz 1'!I12+'Assignment or Proposal'!I12+'Final exam'!I12+'quiz 2'!I12+'Poster or Presentation'!I12+'practical exam or OSCE'!I12)&lt;&gt;0,'Mid1'!I12+'Mid2'!I12+'quiz 1'!I12+'Assignment or Proposal'!I12+'Final exam'!I12+'quiz 2'!I12+'Poster or Presentation'!I12+'practical exam or OSCE'!I12,"")</f>
        <v/>
      </c>
      <c r="M13" s="57" t="str">
        <f>IF(('Mid1'!J12+'Mid2'!J12+'quiz 1'!J12+'Assignment or Proposal'!J12+'Final exam'!J12+'quiz 2'!J12+'Poster or Presentation'!J12+'practical exam or OSCE'!J12)&lt;&gt;0,'Mid1'!J12+'Mid2'!J12+'quiz 1'!J12+'Assignment or Proposal'!J12+'Final exam'!J12+'quiz 2'!J12+'Poster or Presentation'!J12+'practical exam or OSCE'!J12,"")</f>
        <v/>
      </c>
      <c r="N13" s="57" t="str">
        <f>IF(('Mid1'!K12+'Mid2'!K12+'quiz 1'!K12+'Assignment or Proposal'!K12+'Final exam'!K12+'quiz 2'!K12+'Poster or Presentation'!K12+'practical exam or OSCE'!K12)&lt;&gt;0,'Mid1'!K12+'Mid2'!K12+'quiz 1'!K12+'Assignment or Proposal'!K12+'Final exam'!K12+'quiz 2'!K12+'Poster or Presentation'!K12+'practical exam or OSCE'!K12,"")</f>
        <v/>
      </c>
      <c r="O13" s="57" t="str">
        <f>IF(('Mid1'!L12+'Mid2'!L12+'quiz 1'!L12+'Assignment or Proposal'!L12+'Final exam'!L12+'quiz 2'!L12+'Poster or Presentation'!L12+'practical exam or OSCE'!L12)&lt;&gt;0,'Mid1'!L12+'Mid2'!L12+'quiz 1'!L12+'Assignment or Proposal'!L12+'Final exam'!L12+'quiz 2'!L12+'Poster or Presentation'!L12+'practical exam or OSCE'!L12,"")</f>
        <v/>
      </c>
      <c r="P13" s="57" t="str">
        <f>IF(('Mid1'!M12+'Mid2'!M12+'quiz 1'!M12+'Assignment or Proposal'!M12+'Final exam'!M12+'quiz 2'!M12+'Poster or Presentation'!M12+'practical exam or OSCE'!M12)&lt;&gt;0,'Mid1'!M12+'Mid2'!M12+'quiz 1'!M12+'Assignment or Proposal'!M12+'Final exam'!M12+'quiz 2'!M12+'Poster or Presentation'!M12+'practical exam or OSCE'!M12,"")</f>
        <v/>
      </c>
      <c r="Q13" s="136">
        <f t="shared" si="3"/>
        <v>75</v>
      </c>
    </row>
    <row r="14" spans="1:18" ht="20.25" customHeight="1" x14ac:dyDescent="0.25">
      <c r="A14" s="24">
        <v>3</v>
      </c>
      <c r="B14" s="24" t="str">
        <f>IF(StList!B5&lt;&gt;"",StList!B5,"")</f>
        <v>Pharmaceutical sciences</v>
      </c>
      <c r="C14" s="24">
        <f>IF(StList!E5&lt;&gt;"",StList!E5,"")</f>
        <v>431003483</v>
      </c>
      <c r="D14" s="24" t="str">
        <f>IF(StList!F5&lt;&gt;"",StList!F5,"")</f>
        <v> NUJUD KHAIFAH A ALAMMAR</v>
      </c>
      <c r="E14" s="57">
        <f>IF(('Mid1'!B13+'Mid2'!B13+'quiz 1'!B13+'Assignment or Proposal'!B13+'Final exam'!B13+'quiz 2'!B13+'Poster or Presentation'!B13+'practical exam or OSCE'!B13)&lt;&gt;0,'Mid1'!B13+'Mid2'!B13+'quiz 1'!B13+'Assignment or Proposal'!B13+'Final exam'!B13+'quiz 2'!B13+'Poster or Presentation'!B13+'practical exam or OSCE'!B13,"")</f>
        <v>8</v>
      </c>
      <c r="F14" s="57">
        <f>IF(('Mid1'!C13+'Mid2'!C13+'quiz 1'!C13+'Assignment or Proposal'!C13+'Final exam'!C13+'quiz 2'!C13+'Poster or Presentation'!C13+'practical exam or OSCE'!C13)&lt;&gt;0,'Mid1'!C13+'Mid2'!C13+'quiz 1'!C13+'Assignment or Proposal'!C13+'Final exam'!C13+'quiz 2'!C13+'Poster or Presentation'!C13+'practical exam or OSCE'!C13,"")</f>
        <v>37</v>
      </c>
      <c r="G14" s="57">
        <f>IF(('Mid1'!D13+'Mid2'!D13+'quiz 1'!D13+'Assignment or Proposal'!D13+'Final exam'!D13+'quiz 2'!D13+'Poster or Presentation'!D13+'practical exam or OSCE'!D13)&lt;&gt;0,'Mid1'!D13+'Mid2'!D13+'quiz 1'!D13+'Assignment or Proposal'!D13+'Final exam'!D13+'quiz 2'!D13+'Poster or Presentation'!D13+'practical exam or OSCE'!D13,"")</f>
        <v>11</v>
      </c>
      <c r="H14" s="57">
        <f>IF(('Mid1'!E13+'Mid2'!E13+'quiz 1'!E13+'Assignment or Proposal'!E13+'Final exam'!E13+'quiz 2'!E13+'Poster or Presentation'!E13+'practical exam or OSCE'!E13)&lt;&gt;0,'Mid1'!E13+'Mid2'!E13+'quiz 1'!E13+'Assignment or Proposal'!E13+'Final exam'!E13+'quiz 2'!E13+'Poster or Presentation'!E13+'practical exam or OSCE'!E13,"")</f>
        <v>5</v>
      </c>
      <c r="I14" s="57">
        <f>IF(('Mid1'!F13+'Mid2'!F13+'quiz 1'!F13+'Assignment or Proposal'!F13+'Final exam'!F13+'quiz 2'!F13+'Poster or Presentation'!F13+'practical exam or OSCE'!F13)&lt;&gt;0,'Mid1'!F13+'Mid2'!F13+'quiz 1'!F13+'Assignment or Proposal'!F13+'Final exam'!F13+'quiz 2'!F13+'Poster or Presentation'!F13+'practical exam or OSCE'!F13,"")</f>
        <v>9</v>
      </c>
      <c r="J14" s="57">
        <f>IF(('Mid1'!G13+'Mid2'!G13+'quiz 1'!G13+'Assignment or Proposal'!G13+'Final exam'!G13+'quiz 2'!G13+'Poster or Presentation'!G13+'practical exam or OSCE'!G13)&lt;&gt;0,'Mid1'!G13+'Mid2'!G13+'quiz 1'!G13+'Assignment or Proposal'!G13+'Final exam'!G13+'quiz 2'!G13+'Poster or Presentation'!G13+'practical exam or OSCE'!G13,"")</f>
        <v>10</v>
      </c>
      <c r="K14" s="57" t="str">
        <f>IF(('Mid1'!H13+'Mid2'!H13+'quiz 1'!H13+'Assignment or Proposal'!H13+'Final exam'!H13+'quiz 2'!H13+'Poster or Presentation'!H13+'practical exam or OSCE'!H13)&lt;&gt;0,'Mid1'!H13+'Mid2'!H13+'quiz 1'!H13+'Assignment or Proposal'!H13+'Final exam'!H13+'quiz 2'!H13+'Poster or Presentation'!H13+'practical exam or OSCE'!H13,"")</f>
        <v/>
      </c>
      <c r="L14" s="57" t="str">
        <f>IF(('Mid1'!I13+'Mid2'!I13+'quiz 1'!I13+'Assignment or Proposal'!I13+'Final exam'!I13+'quiz 2'!I13+'Poster or Presentation'!I13+'practical exam or OSCE'!I13)&lt;&gt;0,'Mid1'!I13+'Mid2'!I13+'quiz 1'!I13+'Assignment or Proposal'!I13+'Final exam'!I13+'quiz 2'!I13+'Poster or Presentation'!I13+'practical exam or OSCE'!I13,"")</f>
        <v/>
      </c>
      <c r="M14" s="57" t="str">
        <f>IF(('Mid1'!J13+'Mid2'!J13+'quiz 1'!J13+'Assignment or Proposal'!J13+'Final exam'!J13+'quiz 2'!J13+'Poster or Presentation'!J13+'practical exam or OSCE'!J13)&lt;&gt;0,'Mid1'!J13+'Mid2'!J13+'quiz 1'!J13+'Assignment or Proposal'!J13+'Final exam'!J13+'quiz 2'!J13+'Poster or Presentation'!J13+'practical exam or OSCE'!J13,"")</f>
        <v/>
      </c>
      <c r="N14" s="57" t="str">
        <f>IF(('Mid1'!K13+'Mid2'!K13+'quiz 1'!K13+'Assignment or Proposal'!K13+'Final exam'!K13+'quiz 2'!K13+'Poster or Presentation'!K13+'practical exam or OSCE'!K13)&lt;&gt;0,'Mid1'!K13+'Mid2'!K13+'quiz 1'!K13+'Assignment or Proposal'!K13+'Final exam'!K13+'quiz 2'!K13+'Poster or Presentation'!K13+'practical exam or OSCE'!K13,"")</f>
        <v/>
      </c>
      <c r="O14" s="57" t="str">
        <f>IF(('Mid1'!L13+'Mid2'!L13+'quiz 1'!L13+'Assignment or Proposal'!L13+'Final exam'!L13+'quiz 2'!L13+'Poster or Presentation'!L13+'practical exam or OSCE'!L13)&lt;&gt;0,'Mid1'!L13+'Mid2'!L13+'quiz 1'!L13+'Assignment or Proposal'!L13+'Final exam'!L13+'quiz 2'!L13+'Poster or Presentation'!L13+'practical exam or OSCE'!L13,"")</f>
        <v/>
      </c>
      <c r="P14" s="57" t="str">
        <f>IF(('Mid1'!M13+'Mid2'!M13+'quiz 1'!M13+'Assignment or Proposal'!M13+'Final exam'!M13+'quiz 2'!M13+'Poster or Presentation'!M13+'practical exam or OSCE'!M13)&lt;&gt;0,'Mid1'!M13+'Mid2'!M13+'quiz 1'!M13+'Assignment or Proposal'!M13+'Final exam'!M13+'quiz 2'!M13+'Poster or Presentation'!M13+'practical exam or OSCE'!M13,"")</f>
        <v/>
      </c>
      <c r="Q14" s="136">
        <f t="shared" si="3"/>
        <v>80</v>
      </c>
    </row>
    <row r="15" spans="1:18" ht="20.25" customHeight="1" x14ac:dyDescent="0.25">
      <c r="A15" s="24">
        <v>4</v>
      </c>
      <c r="B15" s="24" t="str">
        <f>IF(StList!B6&lt;&gt;"",StList!B6,"")</f>
        <v>Pharmaceutical sciences</v>
      </c>
      <c r="C15" s="24">
        <f>IF(StList!E6&lt;&gt;"",StList!E6,"")</f>
        <v>432003601</v>
      </c>
      <c r="D15" s="24" t="str">
        <f>IF(StList!F6&lt;&gt;"",StList!F6,"")</f>
        <v> RINA KHALID S ALABDULRAHIM</v>
      </c>
      <c r="E15" s="57">
        <f>IF(('Mid1'!B14+'Mid2'!B14+'quiz 1'!B14+'Assignment or Proposal'!B14+'Final exam'!B14+'quiz 2'!B14+'Poster or Presentation'!B14+'practical exam or OSCE'!B14)&lt;&gt;0,'Mid1'!B14+'Mid2'!B14+'quiz 1'!B14+'Assignment or Proposal'!B14+'Final exam'!B14+'quiz 2'!B14+'Poster or Presentation'!B14+'practical exam or OSCE'!B14,"")</f>
        <v>9</v>
      </c>
      <c r="F15" s="57">
        <f>IF(('Mid1'!C14+'Mid2'!C14+'quiz 1'!C14+'Assignment or Proposal'!C14+'Final exam'!C14+'quiz 2'!C14+'Poster or Presentation'!C14+'practical exam or OSCE'!C14)&lt;&gt;0,'Mid1'!C14+'Mid2'!C14+'quiz 1'!C14+'Assignment or Proposal'!C14+'Final exam'!C14+'quiz 2'!C14+'Poster or Presentation'!C14+'practical exam or OSCE'!C14,"")</f>
        <v>43</v>
      </c>
      <c r="G15" s="57">
        <f>IF(('Mid1'!D14+'Mid2'!D14+'quiz 1'!D14+'Assignment or Proposal'!D14+'Final exam'!D14+'quiz 2'!D14+'Poster or Presentation'!D14+'practical exam or OSCE'!D14)&lt;&gt;0,'Mid1'!D14+'Mid2'!D14+'quiz 1'!D14+'Assignment or Proposal'!D14+'Final exam'!D14+'quiz 2'!D14+'Poster or Presentation'!D14+'practical exam or OSCE'!D14,"")</f>
        <v>13</v>
      </c>
      <c r="H15" s="57">
        <f>IF(('Mid1'!E14+'Mid2'!E14+'quiz 1'!E14+'Assignment or Proposal'!E14+'Final exam'!E14+'quiz 2'!E14+'Poster or Presentation'!E14+'practical exam or OSCE'!E14)&lt;&gt;0,'Mid1'!E14+'Mid2'!E14+'quiz 1'!E14+'Assignment or Proposal'!E14+'Final exam'!E14+'quiz 2'!E14+'Poster or Presentation'!E14+'practical exam or OSCE'!E14,"")</f>
        <v>5</v>
      </c>
      <c r="I15" s="57">
        <f>IF(('Mid1'!F14+'Mid2'!F14+'quiz 1'!F14+'Assignment or Proposal'!F14+'Final exam'!F14+'quiz 2'!F14+'Poster or Presentation'!F14+'practical exam or OSCE'!F14)&lt;&gt;0,'Mid1'!F14+'Mid2'!F14+'quiz 1'!F14+'Assignment or Proposal'!F14+'Final exam'!F14+'quiz 2'!F14+'Poster or Presentation'!F14+'practical exam or OSCE'!F14,"")</f>
        <v>10</v>
      </c>
      <c r="J15" s="57">
        <f>IF(('Mid1'!G14+'Mid2'!G14+'quiz 1'!G14+'Assignment or Proposal'!G14+'Final exam'!G14+'quiz 2'!G14+'Poster or Presentation'!G14+'practical exam or OSCE'!G14)&lt;&gt;0,'Mid1'!G14+'Mid2'!G14+'quiz 1'!G14+'Assignment or Proposal'!G14+'Final exam'!G14+'quiz 2'!G14+'Poster or Presentation'!G14+'practical exam or OSCE'!G14,"")</f>
        <v>10</v>
      </c>
      <c r="K15" s="57" t="str">
        <f>IF(('Mid1'!H14+'Mid2'!H14+'quiz 1'!H14+'Assignment or Proposal'!H14+'Final exam'!H14+'quiz 2'!H14+'Poster or Presentation'!H14+'practical exam or OSCE'!H14)&lt;&gt;0,'Mid1'!H14+'Mid2'!H14+'quiz 1'!H14+'Assignment or Proposal'!H14+'Final exam'!H14+'quiz 2'!H14+'Poster or Presentation'!H14+'practical exam or OSCE'!H14,"")</f>
        <v/>
      </c>
      <c r="L15" s="57" t="str">
        <f>IF(('Mid1'!I14+'Mid2'!I14+'quiz 1'!I14+'Assignment or Proposal'!I14+'Final exam'!I14+'quiz 2'!I14+'Poster or Presentation'!I14+'practical exam or OSCE'!I14)&lt;&gt;0,'Mid1'!I14+'Mid2'!I14+'quiz 1'!I14+'Assignment or Proposal'!I14+'Final exam'!I14+'quiz 2'!I14+'Poster or Presentation'!I14+'practical exam or OSCE'!I14,"")</f>
        <v/>
      </c>
      <c r="M15" s="57" t="str">
        <f>IF(('Mid1'!J14+'Mid2'!J14+'quiz 1'!J14+'Assignment or Proposal'!J14+'Final exam'!J14+'quiz 2'!J14+'Poster or Presentation'!J14+'practical exam or OSCE'!J14)&lt;&gt;0,'Mid1'!J14+'Mid2'!J14+'quiz 1'!J14+'Assignment or Proposal'!J14+'Final exam'!J14+'quiz 2'!J14+'Poster or Presentation'!J14+'practical exam or OSCE'!J14,"")</f>
        <v/>
      </c>
      <c r="N15" s="57" t="str">
        <f>IF(('Mid1'!K14+'Mid2'!K14+'quiz 1'!K14+'Assignment or Proposal'!K14+'Final exam'!K14+'quiz 2'!K14+'Poster or Presentation'!K14+'practical exam or OSCE'!K14)&lt;&gt;0,'Mid1'!K14+'Mid2'!K14+'quiz 1'!K14+'Assignment or Proposal'!K14+'Final exam'!K14+'quiz 2'!K14+'Poster or Presentation'!K14+'practical exam or OSCE'!K14,"")</f>
        <v/>
      </c>
      <c r="O15" s="57" t="str">
        <f>IF(('Mid1'!L14+'Mid2'!L14+'quiz 1'!L14+'Assignment or Proposal'!L14+'Final exam'!L14+'quiz 2'!L14+'Poster or Presentation'!L14+'practical exam or OSCE'!L14)&lt;&gt;0,'Mid1'!L14+'Mid2'!L14+'quiz 1'!L14+'Assignment or Proposal'!L14+'Final exam'!L14+'quiz 2'!L14+'Poster or Presentation'!L14+'practical exam or OSCE'!L14,"")</f>
        <v/>
      </c>
      <c r="P15" s="57" t="str">
        <f>IF(('Mid1'!M14+'Mid2'!M14+'quiz 1'!M14+'Assignment or Proposal'!M14+'Final exam'!M14+'quiz 2'!M14+'Poster or Presentation'!M14+'practical exam or OSCE'!M14)&lt;&gt;0,'Mid1'!M14+'Mid2'!M14+'quiz 1'!M14+'Assignment or Proposal'!M14+'Final exam'!M14+'quiz 2'!M14+'Poster or Presentation'!M14+'practical exam or OSCE'!M14,"")</f>
        <v/>
      </c>
      <c r="Q15" s="136">
        <f t="shared" si="3"/>
        <v>90</v>
      </c>
    </row>
    <row r="16" spans="1:18" ht="20.25" customHeight="1" x14ac:dyDescent="0.25">
      <c r="A16" s="24">
        <v>5</v>
      </c>
      <c r="B16" s="24" t="str">
        <f>IF(StList!B7&lt;&gt;"",StList!B7,"")</f>
        <v>Pharmaceutical sciences</v>
      </c>
      <c r="C16" s="24">
        <f>IF(StList!E7&lt;&gt;"",StList!E7,"")</f>
        <v>432003648</v>
      </c>
      <c r="D16" s="24" t="str">
        <f>IF(StList!F7&lt;&gt;"",StList!F7,"")</f>
        <v> HANEEN HAJJI E ALHARBI</v>
      </c>
      <c r="E16" s="57">
        <f>IF(('Mid1'!B15+'Mid2'!B15+'quiz 1'!B15+'Assignment or Proposal'!B15+'Final exam'!B15+'quiz 2'!B15+'Poster or Presentation'!B15+'practical exam or OSCE'!B15)&lt;&gt;0,'Mid1'!B15+'Mid2'!B15+'quiz 1'!B15+'Assignment or Proposal'!B15+'Final exam'!B15+'quiz 2'!B15+'Poster or Presentation'!B15+'practical exam or OSCE'!B15,"")</f>
        <v>7</v>
      </c>
      <c r="F16" s="57">
        <f>IF(('Mid1'!C15+'Mid2'!C15+'quiz 1'!C15+'Assignment or Proposal'!C15+'Final exam'!C15+'quiz 2'!C15+'Poster or Presentation'!C15+'practical exam or OSCE'!C15)&lt;&gt;0,'Mid1'!C15+'Mid2'!C15+'quiz 1'!C15+'Assignment or Proposal'!C15+'Final exam'!C15+'quiz 2'!C15+'Poster or Presentation'!C15+'practical exam or OSCE'!C15,"")</f>
        <v>38</v>
      </c>
      <c r="G16" s="57">
        <f>IF(('Mid1'!D15+'Mid2'!D15+'quiz 1'!D15+'Assignment or Proposal'!D15+'Final exam'!D15+'quiz 2'!D15+'Poster or Presentation'!D15+'practical exam or OSCE'!D15)&lt;&gt;0,'Mid1'!D15+'Mid2'!D15+'quiz 1'!D15+'Assignment or Proposal'!D15+'Final exam'!D15+'quiz 2'!D15+'Poster or Presentation'!D15+'practical exam or OSCE'!D15,"")</f>
        <v>11</v>
      </c>
      <c r="H16" s="57">
        <f>IF(('Mid1'!E15+'Mid2'!E15+'quiz 1'!E15+'Assignment or Proposal'!E15+'Final exam'!E15+'quiz 2'!E15+'Poster or Presentation'!E15+'practical exam or OSCE'!E15)&lt;&gt;0,'Mid1'!E15+'Mid2'!E15+'quiz 1'!E15+'Assignment or Proposal'!E15+'Final exam'!E15+'quiz 2'!E15+'Poster or Presentation'!E15+'practical exam or OSCE'!E15,"")</f>
        <v>5</v>
      </c>
      <c r="I16" s="57">
        <f>IF(('Mid1'!F15+'Mid2'!F15+'quiz 1'!F15+'Assignment or Proposal'!F15+'Final exam'!F15+'quiz 2'!F15+'Poster or Presentation'!F15+'practical exam or OSCE'!F15)&lt;&gt;0,'Mid1'!F15+'Mid2'!F15+'quiz 1'!F15+'Assignment or Proposal'!F15+'Final exam'!F15+'quiz 2'!F15+'Poster or Presentation'!F15+'practical exam or OSCE'!F15,"")</f>
        <v>9</v>
      </c>
      <c r="J16" s="57">
        <f>IF(('Mid1'!G15+'Mid2'!G15+'quiz 1'!G15+'Assignment or Proposal'!G15+'Final exam'!G15+'quiz 2'!G15+'Poster or Presentation'!G15+'practical exam or OSCE'!G15)&lt;&gt;0,'Mid1'!G15+'Mid2'!G15+'quiz 1'!G15+'Assignment or Proposal'!G15+'Final exam'!G15+'quiz 2'!G15+'Poster or Presentation'!G15+'practical exam or OSCE'!G15,"")</f>
        <v>10</v>
      </c>
      <c r="K16" s="57" t="str">
        <f>IF(('Mid1'!H15+'Mid2'!H15+'quiz 1'!H15+'Assignment or Proposal'!H15+'Final exam'!H15+'quiz 2'!H15+'Poster or Presentation'!H15+'practical exam or OSCE'!H15)&lt;&gt;0,'Mid1'!H15+'Mid2'!H15+'quiz 1'!H15+'Assignment or Proposal'!H15+'Final exam'!H15+'quiz 2'!H15+'Poster or Presentation'!H15+'practical exam or OSCE'!H15,"")</f>
        <v/>
      </c>
      <c r="L16" s="57" t="str">
        <f>IF(('Mid1'!I15+'Mid2'!I15+'quiz 1'!I15+'Assignment or Proposal'!I15+'Final exam'!I15+'quiz 2'!I15+'Poster or Presentation'!I15+'practical exam or OSCE'!I15)&lt;&gt;0,'Mid1'!I15+'Mid2'!I15+'quiz 1'!I15+'Assignment or Proposal'!I15+'Final exam'!I15+'quiz 2'!I15+'Poster or Presentation'!I15+'practical exam or OSCE'!I15,"")</f>
        <v/>
      </c>
      <c r="M16" s="57" t="str">
        <f>IF(('Mid1'!J15+'Mid2'!J15+'quiz 1'!J15+'Assignment or Proposal'!J15+'Final exam'!J15+'quiz 2'!J15+'Poster or Presentation'!J15+'practical exam or OSCE'!J15)&lt;&gt;0,'Mid1'!J15+'Mid2'!J15+'quiz 1'!J15+'Assignment or Proposal'!J15+'Final exam'!J15+'quiz 2'!J15+'Poster or Presentation'!J15+'practical exam or OSCE'!J15,"")</f>
        <v/>
      </c>
      <c r="N16" s="57" t="str">
        <f>IF(('Mid1'!K15+'Mid2'!K15+'quiz 1'!K15+'Assignment or Proposal'!K15+'Final exam'!K15+'quiz 2'!K15+'Poster or Presentation'!K15+'practical exam or OSCE'!K15)&lt;&gt;0,'Mid1'!K15+'Mid2'!K15+'quiz 1'!K15+'Assignment or Proposal'!K15+'Final exam'!K15+'quiz 2'!K15+'Poster or Presentation'!K15+'practical exam or OSCE'!K15,"")</f>
        <v/>
      </c>
      <c r="O16" s="57" t="str">
        <f>IF(('Mid1'!L15+'Mid2'!L15+'quiz 1'!L15+'Assignment or Proposal'!L15+'Final exam'!L15+'quiz 2'!L15+'Poster or Presentation'!L15+'practical exam or OSCE'!L15)&lt;&gt;0,'Mid1'!L15+'Mid2'!L15+'quiz 1'!L15+'Assignment or Proposal'!L15+'Final exam'!L15+'quiz 2'!L15+'Poster or Presentation'!L15+'practical exam or OSCE'!L15,"")</f>
        <v/>
      </c>
      <c r="P16" s="57" t="str">
        <f>IF(('Mid1'!M15+'Mid2'!M15+'quiz 1'!M15+'Assignment or Proposal'!M15+'Final exam'!M15+'quiz 2'!M15+'Poster or Presentation'!M15+'practical exam or OSCE'!M15)&lt;&gt;0,'Mid1'!M15+'Mid2'!M15+'quiz 1'!M15+'Assignment or Proposal'!M15+'Final exam'!M15+'quiz 2'!M15+'Poster or Presentation'!M15+'practical exam or OSCE'!M15,"")</f>
        <v/>
      </c>
      <c r="Q16" s="136">
        <f t="shared" si="3"/>
        <v>80</v>
      </c>
    </row>
    <row r="17" spans="1:17" ht="20.25" customHeight="1" x14ac:dyDescent="0.25">
      <c r="A17" s="24">
        <v>6</v>
      </c>
      <c r="B17" s="24" t="str">
        <f>IF(StList!B8&lt;&gt;"",StList!B8,"")</f>
        <v>Pharmaceutical sciences</v>
      </c>
      <c r="C17" s="24">
        <f>IF(StList!E8&lt;&gt;"",StList!E8,"")</f>
        <v>432003748</v>
      </c>
      <c r="D17" s="24" t="str">
        <f>IF(StList!F8&lt;&gt;"",StList!F8,"")</f>
        <v> REEM MANSWER A AJEB</v>
      </c>
      <c r="E17" s="57">
        <f>IF(('Mid1'!B16+'Mid2'!B16+'quiz 1'!B16+'Assignment or Proposal'!B16+'Final exam'!B16+'quiz 2'!B16+'Poster or Presentation'!B16+'practical exam or OSCE'!B16)&lt;&gt;0,'Mid1'!B16+'Mid2'!B16+'quiz 1'!B16+'Assignment or Proposal'!B16+'Final exam'!B16+'quiz 2'!B16+'Poster or Presentation'!B16+'practical exam or OSCE'!B16,"")</f>
        <v>6</v>
      </c>
      <c r="F17" s="57">
        <f>IF(('Mid1'!C16+'Mid2'!C16+'quiz 1'!C16+'Assignment or Proposal'!C16+'Final exam'!C16+'quiz 2'!C16+'Poster or Presentation'!C16+'practical exam or OSCE'!C16)&lt;&gt;0,'Mid1'!C16+'Mid2'!C16+'quiz 1'!C16+'Assignment or Proposal'!C16+'Final exam'!C16+'quiz 2'!C16+'Poster or Presentation'!C16+'practical exam or OSCE'!C16,"")</f>
        <v>38</v>
      </c>
      <c r="G17" s="57">
        <f>IF(('Mid1'!D16+'Mid2'!D16+'quiz 1'!D16+'Assignment or Proposal'!D16+'Final exam'!D16+'quiz 2'!D16+'Poster or Presentation'!D16+'practical exam or OSCE'!D16)&lt;&gt;0,'Mid1'!D16+'Mid2'!D16+'quiz 1'!D16+'Assignment or Proposal'!D16+'Final exam'!D16+'quiz 2'!D16+'Poster or Presentation'!D16+'practical exam or OSCE'!D16,"")</f>
        <v>12</v>
      </c>
      <c r="H17" s="57">
        <f>IF(('Mid1'!E16+'Mid2'!E16+'quiz 1'!E16+'Assignment or Proposal'!E16+'Final exam'!E16+'quiz 2'!E16+'Poster or Presentation'!E16+'practical exam or OSCE'!E16)&lt;&gt;0,'Mid1'!E16+'Mid2'!E16+'quiz 1'!E16+'Assignment or Proposal'!E16+'Final exam'!E16+'quiz 2'!E16+'Poster or Presentation'!E16+'practical exam or OSCE'!E16,"")</f>
        <v>5</v>
      </c>
      <c r="I17" s="57">
        <f>IF(('Mid1'!F16+'Mid2'!F16+'quiz 1'!F16+'Assignment or Proposal'!F16+'Final exam'!F16+'quiz 2'!F16+'Poster or Presentation'!F16+'practical exam or OSCE'!F16)&lt;&gt;0,'Mid1'!F16+'Mid2'!F16+'quiz 1'!F16+'Assignment or Proposal'!F16+'Final exam'!F16+'quiz 2'!F16+'Poster or Presentation'!F16+'practical exam or OSCE'!F16,"")</f>
        <v>9</v>
      </c>
      <c r="J17" s="57">
        <f>IF(('Mid1'!G16+'Mid2'!G16+'quiz 1'!G16+'Assignment or Proposal'!G16+'Final exam'!G16+'quiz 2'!G16+'Poster or Presentation'!G16+'practical exam or OSCE'!G16)&lt;&gt;0,'Mid1'!G16+'Mid2'!G16+'quiz 1'!G16+'Assignment or Proposal'!G16+'Final exam'!G16+'quiz 2'!G16+'Poster or Presentation'!G16+'practical exam or OSCE'!G16,"")</f>
        <v>10</v>
      </c>
      <c r="K17" s="57" t="str">
        <f>IF(('Mid1'!H16+'Mid2'!H16+'quiz 1'!H16+'Assignment or Proposal'!H16+'Final exam'!H16+'quiz 2'!H16+'Poster or Presentation'!H16+'practical exam or OSCE'!H16)&lt;&gt;0,'Mid1'!H16+'Mid2'!H16+'quiz 1'!H16+'Assignment or Proposal'!H16+'Final exam'!H16+'quiz 2'!H16+'Poster or Presentation'!H16+'practical exam or OSCE'!H16,"")</f>
        <v/>
      </c>
      <c r="L17" s="57" t="str">
        <f>IF(('Mid1'!I16+'Mid2'!I16+'quiz 1'!I16+'Assignment or Proposal'!I16+'Final exam'!I16+'quiz 2'!I16+'Poster or Presentation'!I16+'practical exam or OSCE'!I16)&lt;&gt;0,'Mid1'!I16+'Mid2'!I16+'quiz 1'!I16+'Assignment or Proposal'!I16+'Final exam'!I16+'quiz 2'!I16+'Poster or Presentation'!I16+'practical exam or OSCE'!I16,"")</f>
        <v/>
      </c>
      <c r="M17" s="57" t="str">
        <f>IF(('Mid1'!J16+'Mid2'!J16+'quiz 1'!J16+'Assignment or Proposal'!J16+'Final exam'!J16+'quiz 2'!J16+'Poster or Presentation'!J16+'practical exam or OSCE'!J16)&lt;&gt;0,'Mid1'!J16+'Mid2'!J16+'quiz 1'!J16+'Assignment or Proposal'!J16+'Final exam'!J16+'quiz 2'!J16+'Poster or Presentation'!J16+'practical exam or OSCE'!J16,"")</f>
        <v/>
      </c>
      <c r="N17" s="57" t="str">
        <f>IF(('Mid1'!K16+'Mid2'!K16+'quiz 1'!K16+'Assignment or Proposal'!K16+'Final exam'!K16+'quiz 2'!K16+'Poster or Presentation'!K16+'practical exam or OSCE'!K16)&lt;&gt;0,'Mid1'!K16+'Mid2'!K16+'quiz 1'!K16+'Assignment or Proposal'!K16+'Final exam'!K16+'quiz 2'!K16+'Poster or Presentation'!K16+'practical exam or OSCE'!K16,"")</f>
        <v/>
      </c>
      <c r="O17" s="57" t="str">
        <f>IF(('Mid1'!L16+'Mid2'!L16+'quiz 1'!L16+'Assignment or Proposal'!L16+'Final exam'!L16+'quiz 2'!L16+'Poster or Presentation'!L16+'practical exam or OSCE'!L16)&lt;&gt;0,'Mid1'!L16+'Mid2'!L16+'quiz 1'!L16+'Assignment or Proposal'!L16+'Final exam'!L16+'quiz 2'!L16+'Poster or Presentation'!L16+'practical exam or OSCE'!L16,"")</f>
        <v/>
      </c>
      <c r="P17" s="57" t="str">
        <f>IF(('Mid1'!M16+'Mid2'!M16+'quiz 1'!M16+'Assignment or Proposal'!M16+'Final exam'!M16+'quiz 2'!M16+'Poster or Presentation'!M16+'practical exam or OSCE'!M16)&lt;&gt;0,'Mid1'!M16+'Mid2'!M16+'quiz 1'!M16+'Assignment or Proposal'!M16+'Final exam'!M16+'quiz 2'!M16+'Poster or Presentation'!M16+'practical exam or OSCE'!M16,"")</f>
        <v/>
      </c>
      <c r="Q17" s="136">
        <f t="shared" si="3"/>
        <v>80</v>
      </c>
    </row>
    <row r="18" spans="1:17" ht="20.25" customHeight="1" x14ac:dyDescent="0.25">
      <c r="A18" s="24">
        <v>7</v>
      </c>
      <c r="B18" s="24" t="str">
        <f>IF(StList!B9&lt;&gt;"",StList!B9,"")</f>
        <v>Pharmaceutical sciences</v>
      </c>
      <c r="C18" s="24">
        <f>IF(StList!E9&lt;&gt;"",StList!E9,"")</f>
        <v>452003804</v>
      </c>
      <c r="D18" s="24" t="str">
        <f>IF(StList!F9&lt;&gt;"",StList!F9,"")</f>
        <v> JULIEN KHALID M ALKHALDI</v>
      </c>
      <c r="E18" s="57">
        <f>IF(('Mid1'!B17+'Mid2'!B17+'quiz 1'!B17+'Assignment or Proposal'!B17+'Final exam'!B17+'quiz 2'!B17+'Poster or Presentation'!B17+'practical exam or OSCE'!B17)&lt;&gt;0,'Mid1'!B17+'Mid2'!B17+'quiz 1'!B17+'Assignment or Proposal'!B17+'Final exam'!B17+'quiz 2'!B17+'Poster or Presentation'!B17+'practical exam or OSCE'!B17,"")</f>
        <v>8</v>
      </c>
      <c r="F18" s="57">
        <f>IF(('Mid1'!C17+'Mid2'!C17+'quiz 1'!C17+'Assignment or Proposal'!C17+'Final exam'!C17+'quiz 2'!C17+'Poster or Presentation'!C17+'practical exam or OSCE'!C17)&lt;&gt;0,'Mid1'!C17+'Mid2'!C17+'quiz 1'!C17+'Assignment or Proposal'!C17+'Final exam'!C17+'quiz 2'!C17+'Poster or Presentation'!C17+'practical exam or OSCE'!C17,"")</f>
        <v>41</v>
      </c>
      <c r="G18" s="57">
        <f>IF(('Mid1'!D17+'Mid2'!D17+'quiz 1'!D17+'Assignment or Proposal'!D17+'Final exam'!D17+'quiz 2'!D17+'Poster or Presentation'!D17+'practical exam or OSCE'!D17)&lt;&gt;0,'Mid1'!D17+'Mid2'!D17+'quiz 1'!D17+'Assignment or Proposal'!D17+'Final exam'!D17+'quiz 2'!D17+'Poster or Presentation'!D17+'practical exam or OSCE'!D17,"")</f>
        <v>15</v>
      </c>
      <c r="H18" s="57">
        <f>IF(('Mid1'!E17+'Mid2'!E17+'quiz 1'!E17+'Assignment or Proposal'!E17+'Final exam'!E17+'quiz 2'!E17+'Poster or Presentation'!E17+'practical exam or OSCE'!E17)&lt;&gt;0,'Mid1'!E17+'Mid2'!E17+'quiz 1'!E17+'Assignment or Proposal'!E17+'Final exam'!E17+'quiz 2'!E17+'Poster or Presentation'!E17+'practical exam or OSCE'!E17,"")</f>
        <v>5</v>
      </c>
      <c r="I18" s="57">
        <f>IF(('Mid1'!F17+'Mid2'!F17+'quiz 1'!F17+'Assignment or Proposal'!F17+'Final exam'!F17+'quiz 2'!F17+'Poster or Presentation'!F17+'practical exam or OSCE'!F17)&lt;&gt;0,'Mid1'!F17+'Mid2'!F17+'quiz 1'!F17+'Assignment or Proposal'!F17+'Final exam'!F17+'quiz 2'!F17+'Poster or Presentation'!F17+'practical exam or OSCE'!F17,"")</f>
        <v>10</v>
      </c>
      <c r="J18" s="57">
        <f>IF(('Mid1'!G17+'Mid2'!G17+'quiz 1'!G17+'Assignment or Proposal'!G17+'Final exam'!G17+'quiz 2'!G17+'Poster or Presentation'!G17+'practical exam or OSCE'!G17)&lt;&gt;0,'Mid1'!G17+'Mid2'!G17+'quiz 1'!G17+'Assignment or Proposal'!G17+'Final exam'!G17+'quiz 2'!G17+'Poster or Presentation'!G17+'practical exam or OSCE'!G17,"")</f>
        <v>10</v>
      </c>
      <c r="K18" s="57" t="str">
        <f>IF(('Mid1'!H17+'Mid2'!H17+'quiz 1'!H17+'Assignment or Proposal'!H17+'Final exam'!H17+'quiz 2'!H17+'Poster or Presentation'!H17+'practical exam or OSCE'!H17)&lt;&gt;0,'Mid1'!H17+'Mid2'!H17+'quiz 1'!H17+'Assignment or Proposal'!H17+'Final exam'!H17+'quiz 2'!H17+'Poster or Presentation'!H17+'practical exam or OSCE'!H17,"")</f>
        <v/>
      </c>
      <c r="L18" s="57" t="str">
        <f>IF(('Mid1'!I17+'Mid2'!I17+'quiz 1'!I17+'Assignment or Proposal'!I17+'Final exam'!I17+'quiz 2'!I17+'Poster or Presentation'!I17+'practical exam or OSCE'!I17)&lt;&gt;0,'Mid1'!I17+'Mid2'!I17+'quiz 1'!I17+'Assignment or Proposal'!I17+'Final exam'!I17+'quiz 2'!I17+'Poster or Presentation'!I17+'practical exam or OSCE'!I17,"")</f>
        <v/>
      </c>
      <c r="M18" s="57" t="str">
        <f>IF(('Mid1'!J17+'Mid2'!J17+'quiz 1'!J17+'Assignment or Proposal'!J17+'Final exam'!J17+'quiz 2'!J17+'Poster or Presentation'!J17+'practical exam or OSCE'!J17)&lt;&gt;0,'Mid1'!J17+'Mid2'!J17+'quiz 1'!J17+'Assignment or Proposal'!J17+'Final exam'!J17+'quiz 2'!J17+'Poster or Presentation'!J17+'practical exam or OSCE'!J17,"")</f>
        <v/>
      </c>
      <c r="N18" s="57" t="str">
        <f>IF(('Mid1'!K17+'Mid2'!K17+'quiz 1'!K17+'Assignment or Proposal'!K17+'Final exam'!K17+'quiz 2'!K17+'Poster or Presentation'!K17+'practical exam or OSCE'!K17)&lt;&gt;0,'Mid1'!K17+'Mid2'!K17+'quiz 1'!K17+'Assignment or Proposal'!K17+'Final exam'!K17+'quiz 2'!K17+'Poster or Presentation'!K17+'practical exam or OSCE'!K17,"")</f>
        <v/>
      </c>
      <c r="O18" s="57" t="str">
        <f>IF(('Mid1'!L17+'Mid2'!L17+'quiz 1'!L17+'Assignment or Proposal'!L17+'Final exam'!L17+'quiz 2'!L17+'Poster or Presentation'!L17+'practical exam or OSCE'!L17)&lt;&gt;0,'Mid1'!L17+'Mid2'!L17+'quiz 1'!L17+'Assignment or Proposal'!L17+'Final exam'!L17+'quiz 2'!L17+'Poster or Presentation'!L17+'practical exam or OSCE'!L17,"")</f>
        <v/>
      </c>
      <c r="P18" s="57" t="str">
        <f>IF(('Mid1'!M17+'Mid2'!M17+'quiz 1'!M17+'Assignment or Proposal'!M17+'Final exam'!M17+'quiz 2'!M17+'Poster or Presentation'!M17+'practical exam or OSCE'!M17)&lt;&gt;0,'Mid1'!M17+'Mid2'!M17+'quiz 1'!M17+'Assignment or Proposal'!M17+'Final exam'!M17+'quiz 2'!M17+'Poster or Presentation'!M17+'practical exam or OSCE'!M17,"")</f>
        <v/>
      </c>
      <c r="Q18" s="136">
        <f t="shared" si="3"/>
        <v>89</v>
      </c>
    </row>
    <row r="19" spans="1:17" ht="20.25" customHeight="1" x14ac:dyDescent="0.25">
      <c r="A19" s="24">
        <v>8</v>
      </c>
      <c r="B19" s="24" t="str">
        <f>IF(StList!B10&lt;&gt;"",StList!B10,"")</f>
        <v>Pharmaceutical sciences</v>
      </c>
      <c r="C19" s="24">
        <f>IF(StList!E10&lt;&gt;"",StList!E10,"")</f>
        <v>452003886</v>
      </c>
      <c r="D19" s="24" t="str">
        <f>IF(StList!F10&lt;&gt;"",StList!F10,"")</f>
        <v> SAFFANAH ABDULAZIZ A ALZAYDI</v>
      </c>
      <c r="E19" s="57">
        <f>IF(('Mid1'!B18+'Mid2'!B18+'quiz 1'!B18+'Assignment or Proposal'!B18+'Final exam'!B18+'quiz 2'!B18+'Poster or Presentation'!B18+'practical exam or OSCE'!B18)&lt;&gt;0,'Mid1'!B18+'Mid2'!B18+'quiz 1'!B18+'Assignment or Proposal'!B18+'Final exam'!B18+'quiz 2'!B18+'Poster or Presentation'!B18+'practical exam or OSCE'!B18,"")</f>
        <v>7</v>
      </c>
      <c r="F19" s="57">
        <f>IF(('Mid1'!C18+'Mid2'!C18+'quiz 1'!C18+'Assignment or Proposal'!C18+'Final exam'!C18+'quiz 2'!C18+'Poster or Presentation'!C18+'practical exam or OSCE'!C18)&lt;&gt;0,'Mid1'!C18+'Mid2'!C18+'quiz 1'!C18+'Assignment or Proposal'!C18+'Final exam'!C18+'quiz 2'!C18+'Poster or Presentation'!C18+'practical exam or OSCE'!C18,"")</f>
        <v>42</v>
      </c>
      <c r="G19" s="57">
        <f>IF(('Mid1'!D18+'Mid2'!D18+'quiz 1'!D18+'Assignment or Proposal'!D18+'Final exam'!D18+'quiz 2'!D18+'Poster or Presentation'!D18+'practical exam or OSCE'!D18)&lt;&gt;0,'Mid1'!D18+'Mid2'!D18+'quiz 1'!D18+'Assignment or Proposal'!D18+'Final exam'!D18+'quiz 2'!D18+'Poster or Presentation'!D18+'practical exam or OSCE'!D18,"")</f>
        <v>12</v>
      </c>
      <c r="H19" s="57">
        <f>IF(('Mid1'!E18+'Mid2'!E18+'quiz 1'!E18+'Assignment or Proposal'!E18+'Final exam'!E18+'quiz 2'!E18+'Poster or Presentation'!E18+'practical exam or OSCE'!E18)&lt;&gt;0,'Mid1'!E18+'Mid2'!E18+'quiz 1'!E18+'Assignment or Proposal'!E18+'Final exam'!E18+'quiz 2'!E18+'Poster or Presentation'!E18+'practical exam or OSCE'!E18,"")</f>
        <v>4</v>
      </c>
      <c r="I19" s="57">
        <f>IF(('Mid1'!F18+'Mid2'!F18+'quiz 1'!F18+'Assignment or Proposal'!F18+'Final exam'!F18+'quiz 2'!F18+'Poster or Presentation'!F18+'practical exam or OSCE'!F18)&lt;&gt;0,'Mid1'!F18+'Mid2'!F18+'quiz 1'!F18+'Assignment or Proposal'!F18+'Final exam'!F18+'quiz 2'!F18+'Poster or Presentation'!F18+'practical exam or OSCE'!F18,"")</f>
        <v>10</v>
      </c>
      <c r="J19" s="57">
        <f>IF(('Mid1'!G18+'Mid2'!G18+'quiz 1'!G18+'Assignment or Proposal'!G18+'Final exam'!G18+'quiz 2'!G18+'Poster or Presentation'!G18+'practical exam or OSCE'!G18)&lt;&gt;0,'Mid1'!G18+'Mid2'!G18+'quiz 1'!G18+'Assignment or Proposal'!G18+'Final exam'!G18+'quiz 2'!G18+'Poster or Presentation'!G18+'practical exam or OSCE'!G18,"")</f>
        <v>10</v>
      </c>
      <c r="K19" s="57" t="str">
        <f>IF(('Mid1'!H18+'Mid2'!H18+'quiz 1'!H18+'Assignment or Proposal'!H18+'Final exam'!H18+'quiz 2'!H18+'Poster or Presentation'!H18+'practical exam or OSCE'!H18)&lt;&gt;0,'Mid1'!H18+'Mid2'!H18+'quiz 1'!H18+'Assignment or Proposal'!H18+'Final exam'!H18+'quiz 2'!H18+'Poster or Presentation'!H18+'practical exam or OSCE'!H18,"")</f>
        <v/>
      </c>
      <c r="L19" s="57" t="str">
        <f>IF(('Mid1'!I18+'Mid2'!I18+'quiz 1'!I18+'Assignment or Proposal'!I18+'Final exam'!I18+'quiz 2'!I18+'Poster or Presentation'!I18+'practical exam or OSCE'!I18)&lt;&gt;0,'Mid1'!I18+'Mid2'!I18+'quiz 1'!I18+'Assignment or Proposal'!I18+'Final exam'!I18+'quiz 2'!I18+'Poster or Presentation'!I18+'practical exam or OSCE'!I18,"")</f>
        <v/>
      </c>
      <c r="M19" s="57" t="str">
        <f>IF(('Mid1'!J18+'Mid2'!J18+'quiz 1'!J18+'Assignment or Proposal'!J18+'Final exam'!J18+'quiz 2'!J18+'Poster or Presentation'!J18+'practical exam or OSCE'!J18)&lt;&gt;0,'Mid1'!J18+'Mid2'!J18+'quiz 1'!J18+'Assignment or Proposal'!J18+'Final exam'!J18+'quiz 2'!J18+'Poster or Presentation'!J18+'practical exam or OSCE'!J18,"")</f>
        <v/>
      </c>
      <c r="N19" s="57" t="str">
        <f>IF(('Mid1'!K18+'Mid2'!K18+'quiz 1'!K18+'Assignment or Proposal'!K18+'Final exam'!K18+'quiz 2'!K18+'Poster or Presentation'!K18+'practical exam or OSCE'!K18)&lt;&gt;0,'Mid1'!K18+'Mid2'!K18+'quiz 1'!K18+'Assignment or Proposal'!K18+'Final exam'!K18+'quiz 2'!K18+'Poster or Presentation'!K18+'practical exam or OSCE'!K18,"")</f>
        <v/>
      </c>
      <c r="O19" s="57" t="str">
        <f>IF(('Mid1'!L18+'Mid2'!L18+'quiz 1'!L18+'Assignment or Proposal'!L18+'Final exam'!L18+'quiz 2'!L18+'Poster or Presentation'!L18+'practical exam or OSCE'!L18)&lt;&gt;0,'Mid1'!L18+'Mid2'!L18+'quiz 1'!L18+'Assignment or Proposal'!L18+'Final exam'!L18+'quiz 2'!L18+'Poster or Presentation'!L18+'practical exam or OSCE'!L18,"")</f>
        <v/>
      </c>
      <c r="P19" s="57" t="str">
        <f>IF(('Mid1'!M18+'Mid2'!M18+'quiz 1'!M18+'Assignment or Proposal'!M18+'Final exam'!M18+'quiz 2'!M18+'Poster or Presentation'!M18+'practical exam or OSCE'!M18)&lt;&gt;0,'Mid1'!M18+'Mid2'!M18+'quiz 1'!M18+'Assignment or Proposal'!M18+'Final exam'!M18+'quiz 2'!M18+'Poster or Presentation'!M18+'practical exam or OSCE'!M18,"")</f>
        <v/>
      </c>
      <c r="Q19" s="136">
        <f t="shared" si="3"/>
        <v>85</v>
      </c>
    </row>
    <row r="20" spans="1:17" ht="20.25" customHeight="1" x14ac:dyDescent="0.25">
      <c r="A20" s="24">
        <v>9</v>
      </c>
      <c r="B20" s="24" t="str">
        <f>IF(StList!B11&lt;&gt;"",StList!B11,"")</f>
        <v>Pharmaceutical sciences</v>
      </c>
      <c r="C20" s="24">
        <f>IF(StList!E11&lt;&gt;"",StList!E11,"")</f>
        <v>461003576</v>
      </c>
      <c r="D20" s="24" t="str">
        <f>IF(StList!F11&lt;&gt;"",StList!F11,"")</f>
        <v> SHAIMA BASSAM M ALALI</v>
      </c>
      <c r="E20" s="57">
        <f>IF(('Mid1'!B19+'Mid2'!B19+'quiz 1'!B19+'Assignment or Proposal'!B19+'Final exam'!B19+'quiz 2'!B19+'Poster or Presentation'!B19+'practical exam or OSCE'!B19)&lt;&gt;0,'Mid1'!B19+'Mid2'!B19+'quiz 1'!B19+'Assignment or Proposal'!B19+'Final exam'!B19+'quiz 2'!B19+'Poster or Presentation'!B19+'practical exam or OSCE'!B19,"")</f>
        <v>2</v>
      </c>
      <c r="F20" s="57">
        <f>IF(('Mid1'!C19+'Mid2'!C19+'quiz 1'!C19+'Assignment or Proposal'!C19+'Final exam'!C19+'quiz 2'!C19+'Poster or Presentation'!C19+'practical exam or OSCE'!C19)&lt;&gt;0,'Mid1'!C19+'Mid2'!C19+'quiz 1'!C19+'Assignment or Proposal'!C19+'Final exam'!C19+'quiz 2'!C19+'Poster or Presentation'!C19+'practical exam or OSCE'!C19,"")</f>
        <v>34</v>
      </c>
      <c r="G20" s="57">
        <f>IF(('Mid1'!D19+'Mid2'!D19+'quiz 1'!D19+'Assignment or Proposal'!D19+'Final exam'!D19+'quiz 2'!D19+'Poster or Presentation'!D19+'practical exam or OSCE'!D19)&lt;&gt;0,'Mid1'!D19+'Mid2'!D19+'quiz 1'!D19+'Assignment or Proposal'!D19+'Final exam'!D19+'quiz 2'!D19+'Poster or Presentation'!D19+'practical exam or OSCE'!D19,"")</f>
        <v>6</v>
      </c>
      <c r="H20" s="57">
        <f>IF(('Mid1'!E19+'Mid2'!E19+'quiz 1'!E19+'Assignment or Proposal'!E19+'Final exam'!E19+'quiz 2'!E19+'Poster or Presentation'!E19+'practical exam or OSCE'!E19)&lt;&gt;0,'Mid1'!E19+'Mid2'!E19+'quiz 1'!E19+'Assignment or Proposal'!E19+'Final exam'!E19+'quiz 2'!E19+'Poster or Presentation'!E19+'practical exam or OSCE'!E19,"")</f>
        <v>1</v>
      </c>
      <c r="I20" s="57">
        <f>IF(('Mid1'!F19+'Mid2'!F19+'quiz 1'!F19+'Assignment or Proposal'!F19+'Final exam'!F19+'quiz 2'!F19+'Poster or Presentation'!F19+'practical exam or OSCE'!F19)&lt;&gt;0,'Mid1'!F19+'Mid2'!F19+'quiz 1'!F19+'Assignment or Proposal'!F19+'Final exam'!F19+'quiz 2'!F19+'Poster or Presentation'!F19+'practical exam or OSCE'!F19,"")</f>
        <v>7</v>
      </c>
      <c r="J20" s="57">
        <f>IF(('Mid1'!G19+'Mid2'!G19+'quiz 1'!G19+'Assignment or Proposal'!G19+'Final exam'!G19+'quiz 2'!G19+'Poster or Presentation'!G19+'practical exam or OSCE'!G19)&lt;&gt;0,'Mid1'!G19+'Mid2'!G19+'quiz 1'!G19+'Assignment or Proposal'!G19+'Final exam'!G19+'quiz 2'!G19+'Poster or Presentation'!G19+'practical exam or OSCE'!G19,"")</f>
        <v>10</v>
      </c>
      <c r="K20" s="57" t="str">
        <f>IF(('Mid1'!H19+'Mid2'!H19+'quiz 1'!H19+'Assignment or Proposal'!H19+'Final exam'!H19+'quiz 2'!H19+'Poster or Presentation'!H19+'practical exam or OSCE'!H19)&lt;&gt;0,'Mid1'!H19+'Mid2'!H19+'quiz 1'!H19+'Assignment or Proposal'!H19+'Final exam'!H19+'quiz 2'!H19+'Poster or Presentation'!H19+'practical exam or OSCE'!H19,"")</f>
        <v/>
      </c>
      <c r="L20" s="57" t="str">
        <f>IF(('Mid1'!I19+'Mid2'!I19+'quiz 1'!I19+'Assignment or Proposal'!I19+'Final exam'!I19+'quiz 2'!I19+'Poster or Presentation'!I19+'practical exam or OSCE'!I19)&lt;&gt;0,'Mid1'!I19+'Mid2'!I19+'quiz 1'!I19+'Assignment or Proposal'!I19+'Final exam'!I19+'quiz 2'!I19+'Poster or Presentation'!I19+'practical exam or OSCE'!I19,"")</f>
        <v/>
      </c>
      <c r="M20" s="57" t="str">
        <f>IF(('Mid1'!J19+'Mid2'!J19+'quiz 1'!J19+'Assignment or Proposal'!J19+'Final exam'!J19+'quiz 2'!J19+'Poster or Presentation'!J19+'practical exam or OSCE'!J19)&lt;&gt;0,'Mid1'!J19+'Mid2'!J19+'quiz 1'!J19+'Assignment or Proposal'!J19+'Final exam'!J19+'quiz 2'!J19+'Poster or Presentation'!J19+'practical exam or OSCE'!J19,"")</f>
        <v/>
      </c>
      <c r="N20" s="57" t="str">
        <f>IF(('Mid1'!K19+'Mid2'!K19+'quiz 1'!K19+'Assignment or Proposal'!K19+'Final exam'!K19+'quiz 2'!K19+'Poster or Presentation'!K19+'practical exam or OSCE'!K19)&lt;&gt;0,'Mid1'!K19+'Mid2'!K19+'quiz 1'!K19+'Assignment or Proposal'!K19+'Final exam'!K19+'quiz 2'!K19+'Poster or Presentation'!K19+'practical exam or OSCE'!K19,"")</f>
        <v/>
      </c>
      <c r="O20" s="57" t="str">
        <f>IF(('Mid1'!L19+'Mid2'!L19+'quiz 1'!L19+'Assignment or Proposal'!L19+'Final exam'!L19+'quiz 2'!L19+'Poster or Presentation'!L19+'practical exam or OSCE'!L19)&lt;&gt;0,'Mid1'!L19+'Mid2'!L19+'quiz 1'!L19+'Assignment or Proposal'!L19+'Final exam'!L19+'quiz 2'!L19+'Poster or Presentation'!L19+'practical exam or OSCE'!L19,"")</f>
        <v/>
      </c>
      <c r="P20" s="57" t="str">
        <f>IF(('Mid1'!M19+'Mid2'!M19+'quiz 1'!M19+'Assignment or Proposal'!M19+'Final exam'!M19+'quiz 2'!M19+'Poster or Presentation'!M19+'practical exam or OSCE'!M19)&lt;&gt;0,'Mid1'!M19+'Mid2'!M19+'quiz 1'!M19+'Assignment or Proposal'!M19+'Final exam'!M19+'quiz 2'!M19+'Poster or Presentation'!M19+'practical exam or OSCE'!M19,"")</f>
        <v/>
      </c>
      <c r="Q20" s="136">
        <f t="shared" si="3"/>
        <v>60</v>
      </c>
    </row>
    <row r="21" spans="1:17" ht="20.25" hidden="1" customHeight="1" x14ac:dyDescent="0.25">
      <c r="A21" s="24">
        <v>10</v>
      </c>
      <c r="B21" s="24" t="str">
        <f>IF(StList!B12&lt;&gt;"",StList!B12,"")</f>
        <v>Pharmaceutical sciences</v>
      </c>
      <c r="C21" s="24" t="str">
        <f>IF(StList!E12&lt;&gt;"",StList!E12,"")</f>
        <v/>
      </c>
      <c r="D21" s="24" t="str">
        <f>IF(StList!F12&lt;&gt;"",StList!F12,"")</f>
        <v/>
      </c>
      <c r="E21" s="57" t="str">
        <f>IF(('Mid1'!B20+'Mid2'!B20+'quiz 1'!B20+'Assignment or Proposal'!B20+'Final exam'!B20+'quiz 2'!B20+'Poster or Presentation'!B20+'practical exam or OSCE'!B20)&lt;&gt;0,'Mid1'!B20+'Mid2'!B20+'quiz 1'!B20+'Assignment or Proposal'!B20+'Final exam'!B20+'quiz 2'!B20+'Poster or Presentation'!B20+'practical exam or OSCE'!B20,"")</f>
        <v/>
      </c>
      <c r="F21" s="57" t="str">
        <f>IF(('Mid1'!C20+'Mid2'!C20+'quiz 1'!C20+'Assignment or Proposal'!C20+'Final exam'!C20+'quiz 2'!C20+'Poster or Presentation'!C20+'practical exam or OSCE'!C20)&lt;&gt;0,'Mid1'!C20+'Mid2'!C20+'quiz 1'!C20+'Assignment or Proposal'!C20+'Final exam'!C20+'quiz 2'!C20+'Poster or Presentation'!C20+'practical exam or OSCE'!C20,"")</f>
        <v/>
      </c>
      <c r="G21" s="57" t="str">
        <f>IF(('Mid1'!D20+'Mid2'!D20+'quiz 1'!D20+'Assignment or Proposal'!D20+'Final exam'!D20+'quiz 2'!D20+'Poster or Presentation'!D20+'practical exam or OSCE'!D20)&lt;&gt;0,'Mid1'!D20+'Mid2'!D20+'quiz 1'!D20+'Assignment or Proposal'!D20+'Final exam'!D20+'quiz 2'!D20+'Poster or Presentation'!D20+'practical exam or OSCE'!D20,"")</f>
        <v/>
      </c>
      <c r="H21" s="57" t="str">
        <f>IF(('Mid1'!E20+'Mid2'!E20+'quiz 1'!E20+'Assignment or Proposal'!E20+'Final exam'!E20+'quiz 2'!E20+'Poster or Presentation'!E20+'practical exam or OSCE'!E20)&lt;&gt;0,'Mid1'!E20+'Mid2'!E20+'quiz 1'!E20+'Assignment or Proposal'!E20+'Final exam'!E20+'quiz 2'!E20+'Poster or Presentation'!E20+'practical exam or OSCE'!E20,"")</f>
        <v/>
      </c>
      <c r="I21" s="57" t="str">
        <f>IF(('Mid1'!F20+'Mid2'!F20+'quiz 1'!F20+'Assignment or Proposal'!F20+'Final exam'!F20+'quiz 2'!F20+'Poster or Presentation'!F20+'practical exam or OSCE'!F20)&lt;&gt;0,'Mid1'!F20+'Mid2'!F20+'quiz 1'!F20+'Assignment or Proposal'!F20+'Final exam'!F20+'quiz 2'!F20+'Poster or Presentation'!F20+'practical exam or OSCE'!F20,"")</f>
        <v/>
      </c>
      <c r="J21" s="57" t="str">
        <f>IF(('Mid1'!G20+'Mid2'!G20+'quiz 1'!G20+'Assignment or Proposal'!G20+'Final exam'!G20+'quiz 2'!G20+'Poster or Presentation'!G20+'practical exam or OSCE'!G20)&lt;&gt;0,'Mid1'!G20+'Mid2'!G20+'quiz 1'!G20+'Assignment or Proposal'!G20+'Final exam'!G20+'quiz 2'!G20+'Poster or Presentation'!G20+'practical exam or OSCE'!G20,"")</f>
        <v/>
      </c>
      <c r="K21" s="57" t="str">
        <f>IF(('Mid1'!H20+'Mid2'!H20+'quiz 1'!H20+'Assignment or Proposal'!H20+'Final exam'!H20+'quiz 2'!H20+'Poster or Presentation'!H20+'practical exam or OSCE'!H20)&lt;&gt;0,'Mid1'!H20+'Mid2'!H20+'quiz 1'!H20+'Assignment or Proposal'!H20+'Final exam'!H20+'quiz 2'!H20+'Poster or Presentation'!H20+'practical exam or OSCE'!H20,"")</f>
        <v/>
      </c>
      <c r="L21" s="57" t="str">
        <f>IF(('Mid1'!I20+'Mid2'!I20+'quiz 1'!I20+'Assignment or Proposal'!I20+'Final exam'!I20+'quiz 2'!I20+'Poster or Presentation'!I20+'practical exam or OSCE'!I20)&lt;&gt;0,'Mid1'!I20+'Mid2'!I20+'quiz 1'!I20+'Assignment or Proposal'!I20+'Final exam'!I20+'quiz 2'!I20+'Poster or Presentation'!I20+'practical exam or OSCE'!I20,"")</f>
        <v/>
      </c>
      <c r="M21" s="57" t="str">
        <f>IF(('Mid1'!J20+'Mid2'!J20+'quiz 1'!J20+'Assignment or Proposal'!J20+'Final exam'!J20+'quiz 2'!J20+'Poster or Presentation'!J20+'practical exam or OSCE'!J20)&lt;&gt;0,'Mid1'!J20+'Mid2'!J20+'quiz 1'!J20+'Assignment or Proposal'!J20+'Final exam'!J20+'quiz 2'!J20+'Poster or Presentation'!J20+'practical exam or OSCE'!J20,"")</f>
        <v/>
      </c>
      <c r="N21" s="57" t="str">
        <f>IF(('Mid1'!K20+'Mid2'!K20+'quiz 1'!K20+'Assignment or Proposal'!K20+'Final exam'!K20+'quiz 2'!K20+'Poster or Presentation'!K20+'practical exam or OSCE'!K20)&lt;&gt;0,'Mid1'!K20+'Mid2'!K20+'quiz 1'!K20+'Assignment or Proposal'!K20+'Final exam'!K20+'quiz 2'!K20+'Poster or Presentation'!K20+'practical exam or OSCE'!K20,"")</f>
        <v/>
      </c>
      <c r="O21" s="57" t="str">
        <f>IF(('Mid1'!L20+'Mid2'!L20+'quiz 1'!L20+'Assignment or Proposal'!L20+'Final exam'!L20+'quiz 2'!L20+'Poster or Presentation'!L20+'practical exam or OSCE'!L20)&lt;&gt;0,'Mid1'!L20+'Mid2'!L20+'quiz 1'!L20+'Assignment or Proposal'!L20+'Final exam'!L20+'quiz 2'!L20+'Poster or Presentation'!L20+'practical exam or OSCE'!L20,"")</f>
        <v/>
      </c>
      <c r="P21" s="57" t="str">
        <f>IF(('Mid1'!M20+'Mid2'!M20+'quiz 1'!M20+'Assignment or Proposal'!M20+'Final exam'!M20+'quiz 2'!M20+'Poster or Presentation'!M20+'practical exam or OSCE'!M20)&lt;&gt;0,'Mid1'!M20+'Mid2'!M20+'quiz 1'!M20+'Assignment or Proposal'!M20+'Final exam'!M20+'quiz 2'!M20+'Poster or Presentation'!M20+'practical exam or OSCE'!M20,"")</f>
        <v/>
      </c>
      <c r="Q21" s="136" t="str">
        <f t="shared" ref="Q21:Q84" si="4">IF(SUM(E21:P21)&lt;&gt;0,SUM(E21:P21),"")</f>
        <v/>
      </c>
    </row>
    <row r="22" spans="1:17" ht="20.25" hidden="1" customHeight="1" x14ac:dyDescent="0.25">
      <c r="A22" s="24">
        <v>11</v>
      </c>
      <c r="B22" s="24" t="str">
        <f>IF(StList!B13&lt;&gt;"",StList!B13,"")</f>
        <v>Pharmaceutical sciences</v>
      </c>
      <c r="C22" s="24" t="str">
        <f>IF(StList!E13&lt;&gt;"",StList!E13,"")</f>
        <v/>
      </c>
      <c r="D22" s="24" t="str">
        <f>IF(StList!F13&lt;&gt;"",StList!F13,"")</f>
        <v/>
      </c>
      <c r="E22" s="57" t="str">
        <f>IF(('Mid1'!B21+'Mid2'!B21+'quiz 1'!B21+'Assignment or Proposal'!B21+'Final exam'!B21+'quiz 2'!B21+'Poster or Presentation'!B21+'practical exam or OSCE'!B21)&lt;&gt;0,'Mid1'!B21+'Mid2'!B21+'quiz 1'!B21+'Assignment or Proposal'!B21+'Final exam'!B21+'quiz 2'!B21+'Poster or Presentation'!B21+'practical exam or OSCE'!B21,"")</f>
        <v/>
      </c>
      <c r="F22" s="57" t="str">
        <f>IF(('Mid1'!C21+'Mid2'!C21+'quiz 1'!C21+'Assignment or Proposal'!C21+'Final exam'!C21+'quiz 2'!C21+'Poster or Presentation'!C21+'practical exam or OSCE'!C21)&lt;&gt;0,'Mid1'!C21+'Mid2'!C21+'quiz 1'!C21+'Assignment or Proposal'!C21+'Final exam'!C21+'quiz 2'!C21+'Poster or Presentation'!C21+'practical exam or OSCE'!C21,"")</f>
        <v/>
      </c>
      <c r="G22" s="57" t="str">
        <f>IF(('Mid1'!D21+'Mid2'!D21+'quiz 1'!D21+'Assignment or Proposal'!D21+'Final exam'!D21+'quiz 2'!D21+'Poster or Presentation'!D21+'practical exam or OSCE'!D21)&lt;&gt;0,'Mid1'!D21+'Mid2'!D21+'quiz 1'!D21+'Assignment or Proposal'!D21+'Final exam'!D21+'quiz 2'!D21+'Poster or Presentation'!D21+'practical exam or OSCE'!D21,"")</f>
        <v/>
      </c>
      <c r="H22" s="57" t="str">
        <f>IF(('Mid1'!E21+'Mid2'!E21+'quiz 1'!E21+'Assignment or Proposal'!E21+'Final exam'!E21+'quiz 2'!E21+'Poster or Presentation'!E21+'practical exam or OSCE'!E21)&lt;&gt;0,'Mid1'!E21+'Mid2'!E21+'quiz 1'!E21+'Assignment or Proposal'!E21+'Final exam'!E21+'quiz 2'!E21+'Poster or Presentation'!E21+'practical exam or OSCE'!E21,"")</f>
        <v/>
      </c>
      <c r="I22" s="57" t="str">
        <f>IF(('Mid1'!F21+'Mid2'!F21+'quiz 1'!F21+'Assignment or Proposal'!F21+'Final exam'!F21+'quiz 2'!F21+'Poster or Presentation'!F21+'practical exam or OSCE'!F21)&lt;&gt;0,'Mid1'!F21+'Mid2'!F21+'quiz 1'!F21+'Assignment or Proposal'!F21+'Final exam'!F21+'quiz 2'!F21+'Poster or Presentation'!F21+'practical exam or OSCE'!F21,"")</f>
        <v/>
      </c>
      <c r="J22" s="57" t="str">
        <f>IF(('Mid1'!G21+'Mid2'!G21+'quiz 1'!G21+'Assignment or Proposal'!G21+'Final exam'!G21+'quiz 2'!G21+'Poster or Presentation'!G21+'practical exam or OSCE'!G21)&lt;&gt;0,'Mid1'!G21+'Mid2'!G21+'quiz 1'!G21+'Assignment or Proposal'!G21+'Final exam'!G21+'quiz 2'!G21+'Poster or Presentation'!G21+'practical exam or OSCE'!G21,"")</f>
        <v/>
      </c>
      <c r="K22" s="57" t="str">
        <f>IF(('Mid1'!H21+'Mid2'!H21+'quiz 1'!H21+'Assignment or Proposal'!H21+'Final exam'!H21+'quiz 2'!H21+'Poster or Presentation'!H21+'practical exam or OSCE'!H21)&lt;&gt;0,'Mid1'!H21+'Mid2'!H21+'quiz 1'!H21+'Assignment or Proposal'!H21+'Final exam'!H21+'quiz 2'!H21+'Poster or Presentation'!H21+'practical exam or OSCE'!H21,"")</f>
        <v/>
      </c>
      <c r="L22" s="57" t="str">
        <f>IF(('Mid1'!I21+'Mid2'!I21+'quiz 1'!I21+'Assignment or Proposal'!I21+'Final exam'!I21+'quiz 2'!I21+'Poster or Presentation'!I21+'practical exam or OSCE'!I21)&lt;&gt;0,'Mid1'!I21+'Mid2'!I21+'quiz 1'!I21+'Assignment or Proposal'!I21+'Final exam'!I21+'quiz 2'!I21+'Poster or Presentation'!I21+'practical exam or OSCE'!I21,"")</f>
        <v/>
      </c>
      <c r="M22" s="57" t="str">
        <f>IF(('Mid1'!J21+'Mid2'!J21+'quiz 1'!J21+'Assignment or Proposal'!J21+'Final exam'!J21+'quiz 2'!J21+'Poster or Presentation'!J21+'practical exam or OSCE'!J21)&lt;&gt;0,'Mid1'!J21+'Mid2'!J21+'quiz 1'!J21+'Assignment or Proposal'!J21+'Final exam'!J21+'quiz 2'!J21+'Poster or Presentation'!J21+'practical exam or OSCE'!J21,"")</f>
        <v/>
      </c>
      <c r="N22" s="5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O22" s="5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P22" s="57" t="str">
        <f>IF(('Mid1'!M21+'Mid2'!M21+'quiz 1'!M21+'Assignment or Proposal'!M21+'Final exam'!M21+'quiz 2'!M21+'Poster or Presentation'!M21+'practical exam or OSCE'!M21)&lt;&gt;0,'Mid1'!M21+'Mid2'!M21+'quiz 1'!M21+'Assignment or Proposal'!M21+'Final exam'!M21+'quiz 2'!M21+'Poster or Presentation'!M21+'practical exam or OSCE'!M21,"")</f>
        <v/>
      </c>
      <c r="Q22" s="136" t="str">
        <f t="shared" si="4"/>
        <v/>
      </c>
    </row>
    <row r="23" spans="1:17" ht="20.25" hidden="1" customHeight="1" x14ac:dyDescent="0.25">
      <c r="A23" s="24">
        <v>12</v>
      </c>
      <c r="B23" s="24" t="str">
        <f>IF(StList!B14&lt;&gt;"",StList!B14,"")</f>
        <v>Pharmaceutical sciences</v>
      </c>
      <c r="C23" s="24" t="str">
        <f>IF(StList!E14&lt;&gt;"",StList!E14,"")</f>
        <v/>
      </c>
      <c r="D23" s="24" t="str">
        <f>IF(StList!F14&lt;&gt;"",StList!F14,"")</f>
        <v/>
      </c>
      <c r="E23" s="57" t="str">
        <f>IF(('Mid1'!B22+'Mid2'!B22+'quiz 1'!B22+'Assignment or Proposal'!B22+'Final exam'!B22+'quiz 2'!B22+'Poster or Presentation'!B22+'practical exam or OSCE'!B22)&lt;&gt;0,'Mid1'!B22+'Mid2'!B22+'quiz 1'!B22+'Assignment or Proposal'!B22+'Final exam'!B22+'quiz 2'!B22+'Poster or Presentation'!B22+'practical exam or OSCE'!B22,"")</f>
        <v/>
      </c>
      <c r="F23" s="57" t="str">
        <f>IF(('Mid1'!C22+'Mid2'!C22+'quiz 1'!C22+'Assignment or Proposal'!C22+'Final exam'!C22+'quiz 2'!C22+'Poster or Presentation'!C22+'practical exam or OSCE'!C22)&lt;&gt;0,'Mid1'!C22+'Mid2'!C22+'quiz 1'!C22+'Assignment or Proposal'!C22+'Final exam'!C22+'quiz 2'!C22+'Poster or Presentation'!C22+'practical exam or OSCE'!C22,"")</f>
        <v/>
      </c>
      <c r="G23" s="57" t="str">
        <f>IF(('Mid1'!D22+'Mid2'!D22+'quiz 1'!D22+'Assignment or Proposal'!D22+'Final exam'!D22+'quiz 2'!D22+'Poster or Presentation'!D22+'practical exam or OSCE'!D22)&lt;&gt;0,'Mid1'!D22+'Mid2'!D22+'quiz 1'!D22+'Assignment or Proposal'!D22+'Final exam'!D22+'quiz 2'!D22+'Poster or Presentation'!D22+'practical exam or OSCE'!D22,"")</f>
        <v/>
      </c>
      <c r="H23" s="57" t="str">
        <f>IF(('Mid1'!E22+'Mid2'!E22+'quiz 1'!E22+'Assignment or Proposal'!E22+'Final exam'!E22+'quiz 2'!E22+'Poster or Presentation'!E22+'practical exam or OSCE'!E22)&lt;&gt;0,'Mid1'!E22+'Mid2'!E22+'quiz 1'!E22+'Assignment or Proposal'!E22+'Final exam'!E22+'quiz 2'!E22+'Poster or Presentation'!E22+'practical exam or OSCE'!E22,"")</f>
        <v/>
      </c>
      <c r="I23" s="57" t="str">
        <f>IF(('Mid1'!F22+'Mid2'!F22+'quiz 1'!F22+'Assignment or Proposal'!F22+'Final exam'!F22+'quiz 2'!F22+'Poster or Presentation'!F22+'practical exam or OSCE'!F22)&lt;&gt;0,'Mid1'!F22+'Mid2'!F22+'quiz 1'!F22+'Assignment or Proposal'!F22+'Final exam'!F22+'quiz 2'!F22+'Poster or Presentation'!F22+'practical exam or OSCE'!F22,"")</f>
        <v/>
      </c>
      <c r="J23" s="57" t="str">
        <f>IF(('Mid1'!G22+'Mid2'!G22+'quiz 1'!G22+'Assignment or Proposal'!G22+'Final exam'!G22+'quiz 2'!G22+'Poster or Presentation'!G22+'practical exam or OSCE'!G22)&lt;&gt;0,'Mid1'!G22+'Mid2'!G22+'quiz 1'!G22+'Assignment or Proposal'!G22+'Final exam'!G22+'quiz 2'!G22+'Poster or Presentation'!G22+'practical exam or OSCE'!G22,"")</f>
        <v/>
      </c>
      <c r="K23" s="57" t="str">
        <f>IF(('Mid1'!H22+'Mid2'!H22+'quiz 1'!H22+'Assignment or Proposal'!H22+'Final exam'!H22+'quiz 2'!H22+'Poster or Presentation'!H22+'practical exam or OSCE'!H22)&lt;&gt;0,'Mid1'!H22+'Mid2'!H22+'quiz 1'!H22+'Assignment or Proposal'!H22+'Final exam'!H22+'quiz 2'!H22+'Poster or Presentation'!H22+'practical exam or OSCE'!H22,"")</f>
        <v/>
      </c>
      <c r="L23" s="57" t="str">
        <f>IF(('Mid1'!I22+'Mid2'!I22+'quiz 1'!I22+'Assignment or Proposal'!I22+'Final exam'!I22+'quiz 2'!I22+'Poster or Presentation'!I22+'practical exam or OSCE'!I22)&lt;&gt;0,'Mid1'!I22+'Mid2'!I22+'quiz 1'!I22+'Assignment or Proposal'!I22+'Final exam'!I22+'quiz 2'!I22+'Poster or Presentation'!I22+'practical exam or OSCE'!I22,"")</f>
        <v/>
      </c>
      <c r="M23" s="57" t="str">
        <f>IF(('Mid1'!J22+'Mid2'!J22+'quiz 1'!J22+'Assignment or Proposal'!J22+'Final exam'!J22+'quiz 2'!J22+'Poster or Presentation'!J22+'practical exam or OSCE'!J22)&lt;&gt;0,'Mid1'!J22+'Mid2'!J22+'quiz 1'!J22+'Assignment or Proposal'!J22+'Final exam'!J22+'quiz 2'!J22+'Poster or Presentation'!J22+'practical exam or OSCE'!J22,"")</f>
        <v/>
      </c>
      <c r="N23" s="5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O23" s="5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P23" s="57" t="str">
        <f>IF(('Mid1'!M22+'Mid2'!M22+'quiz 1'!M22+'Assignment or Proposal'!M22+'Final exam'!M22+'quiz 2'!M22+'Poster or Presentation'!M22+'practical exam or OSCE'!M22)&lt;&gt;0,'Mid1'!M22+'Mid2'!M22+'quiz 1'!M22+'Assignment or Proposal'!M22+'Final exam'!M22+'quiz 2'!M22+'Poster or Presentation'!M22+'practical exam or OSCE'!M22,"")</f>
        <v/>
      </c>
      <c r="Q23" s="136" t="str">
        <f t="shared" si="4"/>
        <v/>
      </c>
    </row>
    <row r="24" spans="1:17" ht="20.25" hidden="1" customHeight="1" x14ac:dyDescent="0.25">
      <c r="A24" s="24">
        <v>13</v>
      </c>
      <c r="B24" s="24" t="str">
        <f>IF(StList!B15&lt;&gt;"",StList!B15,"")</f>
        <v>Pharmaceutical sciences</v>
      </c>
      <c r="C24" s="24" t="str">
        <f>IF(StList!E15&lt;&gt;"",StList!E15,"")</f>
        <v/>
      </c>
      <c r="D24" s="24" t="str">
        <f>IF(StList!F15&lt;&gt;"",StList!F15,"")</f>
        <v/>
      </c>
      <c r="E24" s="57" t="str">
        <f>IF(('Mid1'!B23+'Mid2'!B23+'quiz 1'!B23+'Assignment or Proposal'!B23+'Final exam'!B23+'quiz 2'!B23+'Poster or Presentation'!B23+'practical exam or OSCE'!B23)&lt;&gt;0,'Mid1'!B23+'Mid2'!B23+'quiz 1'!B23+'Assignment or Proposal'!B23+'Final exam'!B23+'quiz 2'!B23+'Poster or Presentation'!B23+'practical exam or OSCE'!B23,"")</f>
        <v/>
      </c>
      <c r="F24" s="57" t="str">
        <f>IF(('Mid1'!C23+'Mid2'!C23+'quiz 1'!C23+'Assignment or Proposal'!C23+'Final exam'!C23+'quiz 2'!C23+'Poster or Presentation'!C23+'practical exam or OSCE'!C23)&lt;&gt;0,'Mid1'!C23+'Mid2'!C23+'quiz 1'!C23+'Assignment or Proposal'!C23+'Final exam'!C23+'quiz 2'!C23+'Poster or Presentation'!C23+'practical exam or OSCE'!C23,"")</f>
        <v/>
      </c>
      <c r="G24" s="57" t="str">
        <f>IF(('Mid1'!D23+'Mid2'!D23+'quiz 1'!D23+'Assignment or Proposal'!D23+'Final exam'!D23+'quiz 2'!D23+'Poster or Presentation'!D23+'practical exam or OSCE'!D23)&lt;&gt;0,'Mid1'!D23+'Mid2'!D23+'quiz 1'!D23+'Assignment or Proposal'!D23+'Final exam'!D23+'quiz 2'!D23+'Poster or Presentation'!D23+'practical exam or OSCE'!D23,"")</f>
        <v/>
      </c>
      <c r="H24" s="57" t="str">
        <f>IF(('Mid1'!E23+'Mid2'!E23+'quiz 1'!E23+'Assignment or Proposal'!E23+'Final exam'!E23+'quiz 2'!E23+'Poster or Presentation'!E23+'practical exam or OSCE'!E23)&lt;&gt;0,'Mid1'!E23+'Mid2'!E23+'quiz 1'!E23+'Assignment or Proposal'!E23+'Final exam'!E23+'quiz 2'!E23+'Poster or Presentation'!E23+'practical exam or OSCE'!E23,"")</f>
        <v/>
      </c>
      <c r="I24" s="57" t="str">
        <f>IF(('Mid1'!F23+'Mid2'!F23+'quiz 1'!F23+'Assignment or Proposal'!F23+'Final exam'!F23+'quiz 2'!F23+'Poster or Presentation'!F23+'practical exam or OSCE'!F23)&lt;&gt;0,'Mid1'!F23+'Mid2'!F23+'quiz 1'!F23+'Assignment or Proposal'!F23+'Final exam'!F23+'quiz 2'!F23+'Poster or Presentation'!F23+'practical exam or OSCE'!F23,"")</f>
        <v/>
      </c>
      <c r="J24" s="57" t="str">
        <f>IF(('Mid1'!G23+'Mid2'!G23+'quiz 1'!G23+'Assignment or Proposal'!G23+'Final exam'!G23+'quiz 2'!G23+'Poster or Presentation'!G23+'practical exam or OSCE'!G23)&lt;&gt;0,'Mid1'!G23+'Mid2'!G23+'quiz 1'!G23+'Assignment or Proposal'!G23+'Final exam'!G23+'quiz 2'!G23+'Poster or Presentation'!G23+'practical exam or OSCE'!G23,"")</f>
        <v/>
      </c>
      <c r="K24" s="57" t="str">
        <f>IF(('Mid1'!H23+'Mid2'!H23+'quiz 1'!H23+'Assignment or Proposal'!H23+'Final exam'!H23+'quiz 2'!H23+'Poster or Presentation'!H23+'practical exam or OSCE'!H23)&lt;&gt;0,'Mid1'!H23+'Mid2'!H23+'quiz 1'!H23+'Assignment or Proposal'!H23+'Final exam'!H23+'quiz 2'!H23+'Poster or Presentation'!H23+'practical exam or OSCE'!H23,"")</f>
        <v/>
      </c>
      <c r="L24" s="57" t="str">
        <f>IF(('Mid1'!I23+'Mid2'!I23+'quiz 1'!I23+'Assignment or Proposal'!I23+'Final exam'!I23+'quiz 2'!I23+'Poster or Presentation'!I23+'practical exam or OSCE'!I23)&lt;&gt;0,'Mid1'!I23+'Mid2'!I23+'quiz 1'!I23+'Assignment or Proposal'!I23+'Final exam'!I23+'quiz 2'!I23+'Poster or Presentation'!I23+'practical exam or OSCE'!I23,"")</f>
        <v/>
      </c>
      <c r="M24" s="57" t="str">
        <f>IF(('Mid1'!J23+'Mid2'!J23+'quiz 1'!J23+'Assignment or Proposal'!J23+'Final exam'!J23+'quiz 2'!J23+'Poster or Presentation'!J23+'practical exam or OSCE'!J23)&lt;&gt;0,'Mid1'!J23+'Mid2'!J23+'quiz 1'!J23+'Assignment or Proposal'!J23+'Final exam'!J23+'quiz 2'!J23+'Poster or Presentation'!J23+'practical exam or OSCE'!J23,"")</f>
        <v/>
      </c>
      <c r="N24" s="5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O24" s="5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P24" s="57" t="str">
        <f>IF(('Mid1'!M23+'Mid2'!M23+'quiz 1'!M23+'Assignment or Proposal'!M23+'Final exam'!M23+'quiz 2'!M23+'Poster or Presentation'!M23+'practical exam or OSCE'!M23)&lt;&gt;0,'Mid1'!M23+'Mid2'!M23+'quiz 1'!M23+'Assignment or Proposal'!M23+'Final exam'!M23+'quiz 2'!M23+'Poster or Presentation'!M23+'practical exam or OSCE'!M23,"")</f>
        <v/>
      </c>
      <c r="Q24" s="136" t="str">
        <f t="shared" si="4"/>
        <v/>
      </c>
    </row>
    <row r="25" spans="1:17" ht="20.25" hidden="1" customHeight="1" x14ac:dyDescent="0.25">
      <c r="A25" s="24">
        <v>14</v>
      </c>
      <c r="B25" s="24" t="str">
        <f>IF(StList!B16&lt;&gt;"",StList!B16,"")</f>
        <v>Pharmaceutical sciences</v>
      </c>
      <c r="C25" s="24" t="str">
        <f>IF(StList!E16&lt;&gt;"",StList!E16,"")</f>
        <v/>
      </c>
      <c r="D25" s="24" t="str">
        <f>IF(StList!F16&lt;&gt;"",StList!F16,"")</f>
        <v/>
      </c>
      <c r="E25" s="57" t="str">
        <f>IF(('Mid1'!B24+'Mid2'!B24+'quiz 1'!B24+'Assignment or Proposal'!B24+'Final exam'!B24+'quiz 2'!B24+'Poster or Presentation'!B24+'practical exam or OSCE'!B24)&lt;&gt;0,'Mid1'!B24+'Mid2'!B24+'quiz 1'!B24+'Assignment or Proposal'!B24+'Final exam'!B24+'quiz 2'!B24+'Poster or Presentation'!B24+'practical exam or OSCE'!B24,"")</f>
        <v/>
      </c>
      <c r="F25" s="57" t="str">
        <f>IF(('Mid1'!C24+'Mid2'!C24+'quiz 1'!C24+'Assignment or Proposal'!C24+'Final exam'!C24+'quiz 2'!C24+'Poster or Presentation'!C24+'practical exam or OSCE'!C24)&lt;&gt;0,'Mid1'!C24+'Mid2'!C24+'quiz 1'!C24+'Assignment or Proposal'!C24+'Final exam'!C24+'quiz 2'!C24+'Poster or Presentation'!C24+'practical exam or OSCE'!C24,"")</f>
        <v/>
      </c>
      <c r="G25" s="57" t="str">
        <f>IF(('Mid1'!D24+'Mid2'!D24+'quiz 1'!D24+'Assignment or Proposal'!D24+'Final exam'!D24+'quiz 2'!D24+'Poster or Presentation'!D24+'practical exam or OSCE'!D24)&lt;&gt;0,'Mid1'!D24+'Mid2'!D24+'quiz 1'!D24+'Assignment or Proposal'!D24+'Final exam'!D24+'quiz 2'!D24+'Poster or Presentation'!D24+'practical exam or OSCE'!D24,"")</f>
        <v/>
      </c>
      <c r="H25" s="57" t="str">
        <f>IF(('Mid1'!E24+'Mid2'!E24+'quiz 1'!E24+'Assignment or Proposal'!E24+'Final exam'!E24+'quiz 2'!E24+'Poster or Presentation'!E24+'practical exam or OSCE'!E24)&lt;&gt;0,'Mid1'!E24+'Mid2'!E24+'quiz 1'!E24+'Assignment or Proposal'!E24+'Final exam'!E24+'quiz 2'!E24+'Poster or Presentation'!E24+'practical exam or OSCE'!E24,"")</f>
        <v/>
      </c>
      <c r="I25" s="57" t="str">
        <f>IF(('Mid1'!F24+'Mid2'!F24+'quiz 1'!F24+'Assignment or Proposal'!F24+'Final exam'!F24+'quiz 2'!F24+'Poster or Presentation'!F24+'practical exam or OSCE'!F24)&lt;&gt;0,'Mid1'!F24+'Mid2'!F24+'quiz 1'!F24+'Assignment or Proposal'!F24+'Final exam'!F24+'quiz 2'!F24+'Poster or Presentation'!F24+'practical exam or OSCE'!F24,"")</f>
        <v/>
      </c>
      <c r="J25" s="57" t="str">
        <f>IF(('Mid1'!G24+'Mid2'!G24+'quiz 1'!G24+'Assignment or Proposal'!G24+'Final exam'!G24+'quiz 2'!G24+'Poster or Presentation'!G24+'practical exam or OSCE'!G24)&lt;&gt;0,'Mid1'!G24+'Mid2'!G24+'quiz 1'!G24+'Assignment or Proposal'!G24+'Final exam'!G24+'quiz 2'!G24+'Poster or Presentation'!G24+'practical exam or OSCE'!G24,"")</f>
        <v/>
      </c>
      <c r="K25" s="57" t="str">
        <f>IF(('Mid1'!H24+'Mid2'!H24+'quiz 1'!H24+'Assignment or Proposal'!H24+'Final exam'!H24+'quiz 2'!H24+'Poster or Presentation'!H24+'practical exam or OSCE'!H24)&lt;&gt;0,'Mid1'!H24+'Mid2'!H24+'quiz 1'!H24+'Assignment or Proposal'!H24+'Final exam'!H24+'quiz 2'!H24+'Poster or Presentation'!H24+'practical exam or OSCE'!H24,"")</f>
        <v/>
      </c>
      <c r="L25" s="57" t="str">
        <f>IF(('Mid1'!I24+'Mid2'!I24+'quiz 1'!I24+'Assignment or Proposal'!I24+'Final exam'!I24+'quiz 2'!I24+'Poster or Presentation'!I24+'practical exam or OSCE'!I24)&lt;&gt;0,'Mid1'!I24+'Mid2'!I24+'quiz 1'!I24+'Assignment or Proposal'!I24+'Final exam'!I24+'quiz 2'!I24+'Poster or Presentation'!I24+'practical exam or OSCE'!I24,"")</f>
        <v/>
      </c>
      <c r="M25" s="57" t="str">
        <f>IF(('Mid1'!J24+'Mid2'!J24+'quiz 1'!J24+'Assignment or Proposal'!J24+'Final exam'!J24+'quiz 2'!J24+'Poster or Presentation'!J24+'practical exam or OSCE'!J24)&lt;&gt;0,'Mid1'!J24+'Mid2'!J24+'quiz 1'!J24+'Assignment or Proposal'!J24+'Final exam'!J24+'quiz 2'!J24+'Poster or Presentation'!J24+'practical exam or OSCE'!J24,"")</f>
        <v/>
      </c>
      <c r="N25" s="5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O25" s="5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P25" s="57" t="str">
        <f>IF(('Mid1'!M24+'Mid2'!M24+'quiz 1'!M24+'Assignment or Proposal'!M24+'Final exam'!M24+'quiz 2'!M24+'Poster or Presentation'!M24+'practical exam or OSCE'!M24)&lt;&gt;0,'Mid1'!M24+'Mid2'!M24+'quiz 1'!M24+'Assignment or Proposal'!M24+'Final exam'!M24+'quiz 2'!M24+'Poster or Presentation'!M24+'practical exam or OSCE'!M24,"")</f>
        <v/>
      </c>
      <c r="Q25" s="136" t="str">
        <f t="shared" si="4"/>
        <v/>
      </c>
    </row>
    <row r="26" spans="1:17" ht="20.25" hidden="1" customHeight="1" x14ac:dyDescent="0.25">
      <c r="A26" s="24">
        <v>15</v>
      </c>
      <c r="B26" s="24" t="str">
        <f>IF(StList!B17&lt;&gt;"",StList!B17,"")</f>
        <v>Pharmaceutical sciences</v>
      </c>
      <c r="C26" s="24" t="str">
        <f>IF(StList!E17&lt;&gt;"",StList!E17,"")</f>
        <v/>
      </c>
      <c r="D26" s="24" t="str">
        <f>IF(StList!F17&lt;&gt;"",StList!F17,"")</f>
        <v/>
      </c>
      <c r="E26" s="57" t="str">
        <f>IF(('Mid1'!B25+'Mid2'!B25+'quiz 1'!B25+'Assignment or Proposal'!B25+'Final exam'!B25+'quiz 2'!B25+'Poster or Presentation'!B25+'practical exam or OSCE'!B25)&lt;&gt;0,'Mid1'!B25+'Mid2'!B25+'quiz 1'!B25+'Assignment or Proposal'!B25+'Final exam'!B25+'quiz 2'!B25+'Poster or Presentation'!B25+'practical exam or OSCE'!B25,"")</f>
        <v/>
      </c>
      <c r="F26" s="57" t="str">
        <f>IF(('Mid1'!C25+'Mid2'!C25+'quiz 1'!C25+'Assignment or Proposal'!C25+'Final exam'!C25+'quiz 2'!C25+'Poster or Presentation'!C25+'practical exam or OSCE'!C25)&lt;&gt;0,'Mid1'!C25+'Mid2'!C25+'quiz 1'!C25+'Assignment or Proposal'!C25+'Final exam'!C25+'quiz 2'!C25+'Poster or Presentation'!C25+'practical exam or OSCE'!C25,"")</f>
        <v/>
      </c>
      <c r="G26" s="57" t="str">
        <f>IF(('Mid1'!D25+'Mid2'!D25+'quiz 1'!D25+'Assignment or Proposal'!D25+'Final exam'!D25+'quiz 2'!D25+'Poster or Presentation'!D25+'practical exam or OSCE'!D25)&lt;&gt;0,'Mid1'!D25+'Mid2'!D25+'quiz 1'!D25+'Assignment or Proposal'!D25+'Final exam'!D25+'quiz 2'!D25+'Poster or Presentation'!D25+'practical exam or OSCE'!D25,"")</f>
        <v/>
      </c>
      <c r="H26" s="57" t="str">
        <f>IF(('Mid1'!E25+'Mid2'!E25+'quiz 1'!E25+'Assignment or Proposal'!E25+'Final exam'!E25+'quiz 2'!E25+'Poster or Presentation'!E25+'practical exam or OSCE'!E25)&lt;&gt;0,'Mid1'!E25+'Mid2'!E25+'quiz 1'!E25+'Assignment or Proposal'!E25+'Final exam'!E25+'quiz 2'!E25+'Poster or Presentation'!E25+'practical exam or OSCE'!E25,"")</f>
        <v/>
      </c>
      <c r="I26" s="57" t="str">
        <f>IF(('Mid1'!F25+'Mid2'!F25+'quiz 1'!F25+'Assignment or Proposal'!F25+'Final exam'!F25+'quiz 2'!F25+'Poster or Presentation'!F25+'practical exam or OSCE'!F25)&lt;&gt;0,'Mid1'!F25+'Mid2'!F25+'quiz 1'!F25+'Assignment or Proposal'!F25+'Final exam'!F25+'quiz 2'!F25+'Poster or Presentation'!F25+'practical exam or OSCE'!F25,"")</f>
        <v/>
      </c>
      <c r="J26" s="57" t="str">
        <f>IF(('Mid1'!G25+'Mid2'!G25+'quiz 1'!G25+'Assignment or Proposal'!G25+'Final exam'!G25+'quiz 2'!G25+'Poster or Presentation'!G25+'practical exam or OSCE'!G25)&lt;&gt;0,'Mid1'!G25+'Mid2'!G25+'quiz 1'!G25+'Assignment or Proposal'!G25+'Final exam'!G25+'quiz 2'!G25+'Poster or Presentation'!G25+'practical exam or OSCE'!G25,"")</f>
        <v/>
      </c>
      <c r="K26" s="57" t="str">
        <f>IF(('Mid1'!H25+'Mid2'!H25+'quiz 1'!H25+'Assignment or Proposal'!H25+'Final exam'!H25+'quiz 2'!H25+'Poster or Presentation'!H25+'practical exam or OSCE'!H25)&lt;&gt;0,'Mid1'!H25+'Mid2'!H25+'quiz 1'!H25+'Assignment or Proposal'!H25+'Final exam'!H25+'quiz 2'!H25+'Poster or Presentation'!H25+'practical exam or OSCE'!H25,"")</f>
        <v/>
      </c>
      <c r="L26" s="57" t="str">
        <f>IF(('Mid1'!I25+'Mid2'!I25+'quiz 1'!I25+'Assignment or Proposal'!I25+'Final exam'!I25+'quiz 2'!I25+'Poster or Presentation'!I25+'practical exam or OSCE'!I25)&lt;&gt;0,'Mid1'!I25+'Mid2'!I25+'quiz 1'!I25+'Assignment or Proposal'!I25+'Final exam'!I25+'quiz 2'!I25+'Poster or Presentation'!I25+'practical exam or OSCE'!I25,"")</f>
        <v/>
      </c>
      <c r="M26" s="57" t="str">
        <f>IF(('Mid1'!J25+'Mid2'!J25+'quiz 1'!J25+'Assignment or Proposal'!J25+'Final exam'!J25+'quiz 2'!J25+'Poster or Presentation'!J25+'practical exam or OSCE'!J25)&lt;&gt;0,'Mid1'!J25+'Mid2'!J25+'quiz 1'!J25+'Assignment or Proposal'!J25+'Final exam'!J25+'quiz 2'!J25+'Poster or Presentation'!J25+'practical exam or OSCE'!J25,"")</f>
        <v/>
      </c>
      <c r="N26" s="5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O26" s="5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P26" s="57" t="str">
        <f>IF(('Mid1'!M25+'Mid2'!M25+'quiz 1'!M25+'Assignment or Proposal'!M25+'Final exam'!M25+'quiz 2'!M25+'Poster or Presentation'!M25+'practical exam or OSCE'!M25)&lt;&gt;0,'Mid1'!M25+'Mid2'!M25+'quiz 1'!M25+'Assignment or Proposal'!M25+'Final exam'!M25+'quiz 2'!M25+'Poster or Presentation'!M25+'practical exam or OSCE'!M25,"")</f>
        <v/>
      </c>
      <c r="Q26" s="136" t="str">
        <f t="shared" si="4"/>
        <v/>
      </c>
    </row>
    <row r="27" spans="1:17" ht="20.25" hidden="1" customHeight="1" x14ac:dyDescent="0.25">
      <c r="A27" s="24">
        <v>16</v>
      </c>
      <c r="B27" s="24" t="str">
        <f>IF(StList!B18&lt;&gt;"",StList!B18,"")</f>
        <v>Pharmaceutical sciences</v>
      </c>
      <c r="C27" s="24" t="str">
        <f>IF(StList!E18&lt;&gt;"",StList!E18,"")</f>
        <v/>
      </c>
      <c r="D27" s="24" t="str">
        <f>IF(StList!F18&lt;&gt;"",StList!F18,"")</f>
        <v/>
      </c>
      <c r="E27" s="57" t="str">
        <f>IF(('Mid1'!B26+'Mid2'!B26+'quiz 1'!B26+'Assignment or Proposal'!B26+'Final exam'!B26+'quiz 2'!B26+'Poster or Presentation'!B26+'practical exam or OSCE'!B26)&lt;&gt;0,'Mid1'!B26+'Mid2'!B26+'quiz 1'!B26+'Assignment or Proposal'!B26+'Final exam'!B26+'quiz 2'!B26+'Poster or Presentation'!B26+'practical exam or OSCE'!B26,"")</f>
        <v/>
      </c>
      <c r="F27" s="57" t="str">
        <f>IF(('Mid1'!C26+'Mid2'!C26+'quiz 1'!C26+'Assignment or Proposal'!C26+'Final exam'!C26+'quiz 2'!C26+'Poster or Presentation'!C26+'practical exam or OSCE'!C26)&lt;&gt;0,'Mid1'!C26+'Mid2'!C26+'quiz 1'!C26+'Assignment or Proposal'!C26+'Final exam'!C26+'quiz 2'!C26+'Poster or Presentation'!C26+'practical exam or OSCE'!C26,"")</f>
        <v/>
      </c>
      <c r="G27" s="57" t="str">
        <f>IF(('Mid1'!D26+'Mid2'!D26+'quiz 1'!D26+'Assignment or Proposal'!D26+'Final exam'!D26+'quiz 2'!D26+'Poster or Presentation'!D26+'practical exam or OSCE'!D26)&lt;&gt;0,'Mid1'!D26+'Mid2'!D26+'quiz 1'!D26+'Assignment or Proposal'!D26+'Final exam'!D26+'quiz 2'!D26+'Poster or Presentation'!D26+'practical exam or OSCE'!D26,"")</f>
        <v/>
      </c>
      <c r="H27" s="57" t="str">
        <f>IF(('Mid1'!E26+'Mid2'!E26+'quiz 1'!E26+'Assignment or Proposal'!E26+'Final exam'!E26+'quiz 2'!E26+'Poster or Presentation'!E26+'practical exam or OSCE'!E26)&lt;&gt;0,'Mid1'!E26+'Mid2'!E26+'quiz 1'!E26+'Assignment or Proposal'!E26+'Final exam'!E26+'quiz 2'!E26+'Poster or Presentation'!E26+'practical exam or OSCE'!E26,"")</f>
        <v/>
      </c>
      <c r="I27" s="57" t="str">
        <f>IF(('Mid1'!F26+'Mid2'!F26+'quiz 1'!F26+'Assignment or Proposal'!F26+'Final exam'!F26+'quiz 2'!F26+'Poster or Presentation'!F26+'practical exam or OSCE'!F26)&lt;&gt;0,'Mid1'!F26+'Mid2'!F26+'quiz 1'!F26+'Assignment or Proposal'!F26+'Final exam'!F26+'quiz 2'!F26+'Poster or Presentation'!F26+'practical exam or OSCE'!F26,"")</f>
        <v/>
      </c>
      <c r="J27" s="57" t="str">
        <f>IF(('Mid1'!G26+'Mid2'!G26+'quiz 1'!G26+'Assignment or Proposal'!G26+'Final exam'!G26+'quiz 2'!G26+'Poster or Presentation'!G26+'practical exam or OSCE'!G26)&lt;&gt;0,'Mid1'!G26+'Mid2'!G26+'quiz 1'!G26+'Assignment or Proposal'!G26+'Final exam'!G26+'quiz 2'!G26+'Poster or Presentation'!G26+'practical exam or OSCE'!G26,"")</f>
        <v/>
      </c>
      <c r="K27" s="57" t="str">
        <f>IF(('Mid1'!H26+'Mid2'!H26+'quiz 1'!H26+'Assignment or Proposal'!H26+'Final exam'!H26+'quiz 2'!H26+'Poster or Presentation'!H26+'practical exam or OSCE'!H26)&lt;&gt;0,'Mid1'!H26+'Mid2'!H26+'quiz 1'!H26+'Assignment or Proposal'!H26+'Final exam'!H26+'quiz 2'!H26+'Poster or Presentation'!H26+'practical exam or OSCE'!H26,"")</f>
        <v/>
      </c>
      <c r="L27" s="57" t="str">
        <f>IF(('Mid1'!I26+'Mid2'!I26+'quiz 1'!I26+'Assignment or Proposal'!I26+'Final exam'!I26+'quiz 2'!I26+'Poster or Presentation'!I26+'practical exam or OSCE'!I26)&lt;&gt;0,'Mid1'!I26+'Mid2'!I26+'quiz 1'!I26+'Assignment or Proposal'!I26+'Final exam'!I26+'quiz 2'!I26+'Poster or Presentation'!I26+'practical exam or OSCE'!I26,"")</f>
        <v/>
      </c>
      <c r="M27" s="57" t="str">
        <f>IF(('Mid1'!J26+'Mid2'!J26+'quiz 1'!J26+'Assignment or Proposal'!J26+'Final exam'!J26+'quiz 2'!J26+'Poster or Presentation'!J26+'practical exam or OSCE'!J26)&lt;&gt;0,'Mid1'!J26+'Mid2'!J26+'quiz 1'!J26+'Assignment or Proposal'!J26+'Final exam'!J26+'quiz 2'!J26+'Poster or Presentation'!J26+'practical exam or OSCE'!J26,"")</f>
        <v/>
      </c>
      <c r="N27" s="5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O27" s="5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P27" s="57" t="str">
        <f>IF(('Mid1'!M26+'Mid2'!M26+'quiz 1'!M26+'Assignment or Proposal'!M26+'Final exam'!M26+'quiz 2'!M26+'Poster or Presentation'!M26+'practical exam or OSCE'!M26)&lt;&gt;0,'Mid1'!M26+'Mid2'!M26+'quiz 1'!M26+'Assignment or Proposal'!M26+'Final exam'!M26+'quiz 2'!M26+'Poster or Presentation'!M26+'practical exam or OSCE'!M26,"")</f>
        <v/>
      </c>
      <c r="Q27" s="136" t="str">
        <f t="shared" si="4"/>
        <v/>
      </c>
    </row>
    <row r="28" spans="1:17" ht="20.25" hidden="1" customHeight="1" x14ac:dyDescent="0.25">
      <c r="A28" s="24">
        <v>17</v>
      </c>
      <c r="B28" s="24" t="str">
        <f>IF(StList!B19&lt;&gt;"",StList!B19,"")</f>
        <v>Pharmaceutical sciences</v>
      </c>
      <c r="C28" s="24" t="str">
        <f>IF(StList!E19&lt;&gt;"",StList!E19,"")</f>
        <v/>
      </c>
      <c r="D28" s="24" t="str">
        <f>IF(StList!F19&lt;&gt;"",StList!F19,"")</f>
        <v/>
      </c>
      <c r="E28" s="57" t="str">
        <f>IF(('Mid1'!B27+'Mid2'!B27+'quiz 1'!B27+'Assignment or Proposal'!B27+'Final exam'!B27+'quiz 2'!B27+'Poster or Presentation'!B27+'practical exam or OSCE'!B27)&lt;&gt;0,'Mid1'!B27+'Mid2'!B27+'quiz 1'!B27+'Assignment or Proposal'!B27+'Final exam'!B27+'quiz 2'!B27+'Poster or Presentation'!B27+'practical exam or OSCE'!B27,"")</f>
        <v/>
      </c>
      <c r="F28" s="57" t="str">
        <f>IF(('Mid1'!C27+'Mid2'!C27+'quiz 1'!C27+'Assignment or Proposal'!C27+'Final exam'!C27+'quiz 2'!C27+'Poster or Presentation'!C27+'practical exam or OSCE'!C27)&lt;&gt;0,'Mid1'!C27+'Mid2'!C27+'quiz 1'!C27+'Assignment or Proposal'!C27+'Final exam'!C27+'quiz 2'!C27+'Poster or Presentation'!C27+'practical exam or OSCE'!C27,"")</f>
        <v/>
      </c>
      <c r="G28" s="57" t="str">
        <f>IF(('Mid1'!D27+'Mid2'!D27+'quiz 1'!D27+'Assignment or Proposal'!D27+'Final exam'!D27+'quiz 2'!D27+'Poster or Presentation'!D27+'practical exam or OSCE'!D27)&lt;&gt;0,'Mid1'!D27+'Mid2'!D27+'quiz 1'!D27+'Assignment or Proposal'!D27+'Final exam'!D27+'quiz 2'!D27+'Poster or Presentation'!D27+'practical exam or OSCE'!D27,"")</f>
        <v/>
      </c>
      <c r="H28" s="57" t="str">
        <f>IF(('Mid1'!E27+'Mid2'!E27+'quiz 1'!E27+'Assignment or Proposal'!E27+'Final exam'!E27+'quiz 2'!E27+'Poster or Presentation'!E27+'practical exam or OSCE'!E27)&lt;&gt;0,'Mid1'!E27+'Mid2'!E27+'quiz 1'!E27+'Assignment or Proposal'!E27+'Final exam'!E27+'quiz 2'!E27+'Poster or Presentation'!E27+'practical exam or OSCE'!E27,"")</f>
        <v/>
      </c>
      <c r="I28" s="57" t="str">
        <f>IF(('Mid1'!F27+'Mid2'!F27+'quiz 1'!F27+'Assignment or Proposal'!F27+'Final exam'!F27+'quiz 2'!F27+'Poster or Presentation'!F27+'practical exam or OSCE'!F27)&lt;&gt;0,'Mid1'!F27+'Mid2'!F27+'quiz 1'!F27+'Assignment or Proposal'!F27+'Final exam'!F27+'quiz 2'!F27+'Poster or Presentation'!F27+'practical exam or OSCE'!F27,"")</f>
        <v/>
      </c>
      <c r="J28" s="57" t="str">
        <f>IF(('Mid1'!G27+'Mid2'!G27+'quiz 1'!G27+'Assignment or Proposal'!G27+'Final exam'!G27+'quiz 2'!G27+'Poster or Presentation'!G27+'practical exam or OSCE'!G27)&lt;&gt;0,'Mid1'!G27+'Mid2'!G27+'quiz 1'!G27+'Assignment or Proposal'!G27+'Final exam'!G27+'quiz 2'!G27+'Poster or Presentation'!G27+'practical exam or OSCE'!G27,"")</f>
        <v/>
      </c>
      <c r="K28" s="57" t="str">
        <f>IF(('Mid1'!H27+'Mid2'!H27+'quiz 1'!H27+'Assignment or Proposal'!H27+'Final exam'!H27+'quiz 2'!H27+'Poster or Presentation'!H27+'practical exam or OSCE'!H27)&lt;&gt;0,'Mid1'!H27+'Mid2'!H27+'quiz 1'!H27+'Assignment or Proposal'!H27+'Final exam'!H27+'quiz 2'!H27+'Poster or Presentation'!H27+'practical exam or OSCE'!H27,"")</f>
        <v/>
      </c>
      <c r="L28" s="57" t="str">
        <f>IF(('Mid1'!I27+'Mid2'!I27+'quiz 1'!I27+'Assignment or Proposal'!I27+'Final exam'!I27+'quiz 2'!I27+'Poster or Presentation'!I27+'practical exam or OSCE'!I27)&lt;&gt;0,'Mid1'!I27+'Mid2'!I27+'quiz 1'!I27+'Assignment or Proposal'!I27+'Final exam'!I27+'quiz 2'!I27+'Poster or Presentation'!I27+'practical exam or OSCE'!I27,"")</f>
        <v/>
      </c>
      <c r="M28" s="57" t="str">
        <f>IF(('Mid1'!J27+'Mid2'!J27+'quiz 1'!J27+'Assignment or Proposal'!J27+'Final exam'!J27+'quiz 2'!J27+'Poster or Presentation'!J27+'practical exam or OSCE'!J27)&lt;&gt;0,'Mid1'!J27+'Mid2'!J27+'quiz 1'!J27+'Assignment or Proposal'!J27+'Final exam'!J27+'quiz 2'!J27+'Poster or Presentation'!J27+'practical exam or OSCE'!J27,"")</f>
        <v/>
      </c>
      <c r="N28" s="5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O28" s="5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P28" s="57" t="str">
        <f>IF(('Mid1'!M27+'Mid2'!M27+'quiz 1'!M27+'Assignment or Proposal'!M27+'Final exam'!M27+'quiz 2'!M27+'Poster or Presentation'!M27+'practical exam or OSCE'!M27)&lt;&gt;0,'Mid1'!M27+'Mid2'!M27+'quiz 1'!M27+'Assignment or Proposal'!M27+'Final exam'!M27+'quiz 2'!M27+'Poster or Presentation'!M27+'practical exam or OSCE'!M27,"")</f>
        <v/>
      </c>
      <c r="Q28" s="136" t="str">
        <f t="shared" si="4"/>
        <v/>
      </c>
    </row>
    <row r="29" spans="1:17" ht="20.25" hidden="1" customHeight="1" x14ac:dyDescent="0.25">
      <c r="A29" s="24">
        <v>18</v>
      </c>
      <c r="B29" s="24" t="str">
        <f>IF(StList!B20&lt;&gt;"",StList!B20,"")</f>
        <v>Pharmaceutical sciences</v>
      </c>
      <c r="C29" s="24" t="str">
        <f>IF(StList!E20&lt;&gt;"",StList!E20,"")</f>
        <v/>
      </c>
      <c r="D29" s="24" t="str">
        <f>IF(StList!F20&lt;&gt;"",StList!F20,"")</f>
        <v/>
      </c>
      <c r="E29" s="57" t="str">
        <f>IF(('Mid1'!B28+'Mid2'!B28+'quiz 1'!B28+'Assignment or Proposal'!B28+'Final exam'!B28+'quiz 2'!B28+'Poster or Presentation'!B28+'practical exam or OSCE'!B28)&lt;&gt;0,'Mid1'!B28+'Mid2'!B28+'quiz 1'!B28+'Assignment or Proposal'!B28+'Final exam'!B28+'quiz 2'!B28+'Poster or Presentation'!B28+'practical exam or OSCE'!B28,"")</f>
        <v/>
      </c>
      <c r="F29" s="57" t="str">
        <f>IF(('Mid1'!C28+'Mid2'!C28+'quiz 1'!C28+'Assignment or Proposal'!C28+'Final exam'!C28+'quiz 2'!C28+'Poster or Presentation'!C28+'practical exam or OSCE'!C28)&lt;&gt;0,'Mid1'!C28+'Mid2'!C28+'quiz 1'!C28+'Assignment or Proposal'!C28+'Final exam'!C28+'quiz 2'!C28+'Poster or Presentation'!C28+'practical exam or OSCE'!C28,"")</f>
        <v/>
      </c>
      <c r="G29" s="57" t="str">
        <f>IF(('Mid1'!D28+'Mid2'!D28+'quiz 1'!D28+'Assignment or Proposal'!D28+'Final exam'!D28+'quiz 2'!D28+'Poster or Presentation'!D28+'practical exam or OSCE'!D28)&lt;&gt;0,'Mid1'!D28+'Mid2'!D28+'quiz 1'!D28+'Assignment or Proposal'!D28+'Final exam'!D28+'quiz 2'!D28+'Poster or Presentation'!D28+'practical exam or OSCE'!D28,"")</f>
        <v/>
      </c>
      <c r="H29" s="57" t="str">
        <f>IF(('Mid1'!E28+'Mid2'!E28+'quiz 1'!E28+'Assignment or Proposal'!E28+'Final exam'!E28+'quiz 2'!E28+'Poster or Presentation'!E28+'practical exam or OSCE'!E28)&lt;&gt;0,'Mid1'!E28+'Mid2'!E28+'quiz 1'!E28+'Assignment or Proposal'!E28+'Final exam'!E28+'quiz 2'!E28+'Poster or Presentation'!E28+'practical exam or OSCE'!E28,"")</f>
        <v/>
      </c>
      <c r="I29" s="57" t="str">
        <f>IF(('Mid1'!F28+'Mid2'!F28+'quiz 1'!F28+'Assignment or Proposal'!F28+'Final exam'!F28+'quiz 2'!F28+'Poster or Presentation'!F28+'practical exam or OSCE'!F28)&lt;&gt;0,'Mid1'!F28+'Mid2'!F28+'quiz 1'!F28+'Assignment or Proposal'!F28+'Final exam'!F28+'quiz 2'!F28+'Poster or Presentation'!F28+'practical exam or OSCE'!F28,"")</f>
        <v/>
      </c>
      <c r="J29" s="57" t="str">
        <f>IF(('Mid1'!G28+'Mid2'!G28+'quiz 1'!G28+'Assignment or Proposal'!G28+'Final exam'!G28+'quiz 2'!G28+'Poster or Presentation'!G28+'practical exam or OSCE'!G28)&lt;&gt;0,'Mid1'!G28+'Mid2'!G28+'quiz 1'!G28+'Assignment or Proposal'!G28+'Final exam'!G28+'quiz 2'!G28+'Poster or Presentation'!G28+'practical exam or OSCE'!G28,"")</f>
        <v/>
      </c>
      <c r="K29" s="57" t="str">
        <f>IF(('Mid1'!H28+'Mid2'!H28+'quiz 1'!H28+'Assignment or Proposal'!H28+'Final exam'!H28+'quiz 2'!H28+'Poster or Presentation'!H28+'practical exam or OSCE'!H28)&lt;&gt;0,'Mid1'!H28+'Mid2'!H28+'quiz 1'!H28+'Assignment or Proposal'!H28+'Final exam'!H28+'quiz 2'!H28+'Poster or Presentation'!H28+'practical exam or OSCE'!H28,"")</f>
        <v/>
      </c>
      <c r="L29" s="57" t="str">
        <f>IF(('Mid1'!I28+'Mid2'!I28+'quiz 1'!I28+'Assignment or Proposal'!I28+'Final exam'!I28+'quiz 2'!I28+'Poster or Presentation'!I28+'practical exam or OSCE'!I28)&lt;&gt;0,'Mid1'!I28+'Mid2'!I28+'quiz 1'!I28+'Assignment or Proposal'!I28+'Final exam'!I28+'quiz 2'!I28+'Poster or Presentation'!I28+'practical exam or OSCE'!I28,"")</f>
        <v/>
      </c>
      <c r="M29" s="57" t="str">
        <f>IF(('Mid1'!J28+'Mid2'!J28+'quiz 1'!J28+'Assignment or Proposal'!J28+'Final exam'!J28+'quiz 2'!J28+'Poster or Presentation'!J28+'practical exam or OSCE'!J28)&lt;&gt;0,'Mid1'!J28+'Mid2'!J28+'quiz 1'!J28+'Assignment or Proposal'!J28+'Final exam'!J28+'quiz 2'!J28+'Poster or Presentation'!J28+'practical exam or OSCE'!J28,"")</f>
        <v/>
      </c>
      <c r="N29" s="5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O29" s="5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P29" s="57" t="str">
        <f>IF(('Mid1'!M28+'Mid2'!M28+'quiz 1'!M28+'Assignment or Proposal'!M28+'Final exam'!M28+'quiz 2'!M28+'Poster or Presentation'!M28+'practical exam or OSCE'!M28)&lt;&gt;0,'Mid1'!M28+'Mid2'!M28+'quiz 1'!M28+'Assignment or Proposal'!M28+'Final exam'!M28+'quiz 2'!M28+'Poster or Presentation'!M28+'practical exam or OSCE'!M28,"")</f>
        <v/>
      </c>
      <c r="Q29" s="136" t="str">
        <f t="shared" si="4"/>
        <v/>
      </c>
    </row>
    <row r="30" spans="1:17" ht="20.25" hidden="1" customHeight="1" x14ac:dyDescent="0.25">
      <c r="A30" s="24">
        <v>19</v>
      </c>
      <c r="B30" s="24" t="str">
        <f>IF(StList!B21&lt;&gt;"",StList!B21,"")</f>
        <v>Pharmaceutical sciences</v>
      </c>
      <c r="C30" s="24" t="str">
        <f>IF(StList!E21&lt;&gt;"",StList!E21,"")</f>
        <v/>
      </c>
      <c r="D30" s="24" t="str">
        <f>IF(StList!F21&lt;&gt;"",StList!F21,"")</f>
        <v/>
      </c>
      <c r="E30" s="57" t="str">
        <f>IF(('Mid1'!B29+'Mid2'!B29+'quiz 1'!B29+'Assignment or Proposal'!B29+'Final exam'!B29+'quiz 2'!B29+'Poster or Presentation'!B29+'practical exam or OSCE'!B29)&lt;&gt;0,'Mid1'!B29+'Mid2'!B29+'quiz 1'!B29+'Assignment or Proposal'!B29+'Final exam'!B29+'quiz 2'!B29+'Poster or Presentation'!B29+'practical exam or OSCE'!B29,"")</f>
        <v/>
      </c>
      <c r="F30" s="57" t="str">
        <f>IF(('Mid1'!C29+'Mid2'!C29+'quiz 1'!C29+'Assignment or Proposal'!C29+'Final exam'!C29+'quiz 2'!C29+'Poster or Presentation'!C29+'practical exam or OSCE'!C29)&lt;&gt;0,'Mid1'!C29+'Mid2'!C29+'quiz 1'!C29+'Assignment or Proposal'!C29+'Final exam'!C29+'quiz 2'!C29+'Poster or Presentation'!C29+'practical exam or OSCE'!C29,"")</f>
        <v/>
      </c>
      <c r="G30" s="57" t="str">
        <f>IF(('Mid1'!D29+'Mid2'!D29+'quiz 1'!D29+'Assignment or Proposal'!D29+'Final exam'!D29+'quiz 2'!D29+'Poster or Presentation'!D29+'practical exam or OSCE'!D29)&lt;&gt;0,'Mid1'!D29+'Mid2'!D29+'quiz 1'!D29+'Assignment or Proposal'!D29+'Final exam'!D29+'quiz 2'!D29+'Poster or Presentation'!D29+'practical exam or OSCE'!D29,"")</f>
        <v/>
      </c>
      <c r="H30" s="57" t="str">
        <f>IF(('Mid1'!E29+'Mid2'!E29+'quiz 1'!E29+'Assignment or Proposal'!E29+'Final exam'!E29+'quiz 2'!E29+'Poster or Presentation'!E29+'practical exam or OSCE'!E29)&lt;&gt;0,'Mid1'!E29+'Mid2'!E29+'quiz 1'!E29+'Assignment or Proposal'!E29+'Final exam'!E29+'quiz 2'!E29+'Poster or Presentation'!E29+'practical exam or OSCE'!E29,"")</f>
        <v/>
      </c>
      <c r="I30" s="57" t="str">
        <f>IF(('Mid1'!F29+'Mid2'!F29+'quiz 1'!F29+'Assignment or Proposal'!F29+'Final exam'!F29+'quiz 2'!F29+'Poster or Presentation'!F29+'practical exam or OSCE'!F29)&lt;&gt;0,'Mid1'!F29+'Mid2'!F29+'quiz 1'!F29+'Assignment or Proposal'!F29+'Final exam'!F29+'quiz 2'!F29+'Poster or Presentation'!F29+'practical exam or OSCE'!F29,"")</f>
        <v/>
      </c>
      <c r="J30" s="57" t="str">
        <f>IF(('Mid1'!G29+'Mid2'!G29+'quiz 1'!G29+'Assignment or Proposal'!G29+'Final exam'!G29+'quiz 2'!G29+'Poster or Presentation'!G29+'practical exam or OSCE'!G29)&lt;&gt;0,'Mid1'!G29+'Mid2'!G29+'quiz 1'!G29+'Assignment or Proposal'!G29+'Final exam'!G29+'quiz 2'!G29+'Poster or Presentation'!G29+'practical exam or OSCE'!G29,"")</f>
        <v/>
      </c>
      <c r="K30" s="57" t="str">
        <f>IF(('Mid1'!H29+'Mid2'!H29+'quiz 1'!H29+'Assignment or Proposal'!H29+'Final exam'!H29+'quiz 2'!H29+'Poster or Presentation'!H29+'practical exam or OSCE'!H29)&lt;&gt;0,'Mid1'!H29+'Mid2'!H29+'quiz 1'!H29+'Assignment or Proposal'!H29+'Final exam'!H29+'quiz 2'!H29+'Poster or Presentation'!H29+'practical exam or OSCE'!H29,"")</f>
        <v/>
      </c>
      <c r="L30" s="57" t="str">
        <f>IF(('Mid1'!I29+'Mid2'!I29+'quiz 1'!I29+'Assignment or Proposal'!I29+'Final exam'!I29+'quiz 2'!I29+'Poster or Presentation'!I29+'practical exam or OSCE'!I29)&lt;&gt;0,'Mid1'!I29+'Mid2'!I29+'quiz 1'!I29+'Assignment or Proposal'!I29+'Final exam'!I29+'quiz 2'!I29+'Poster or Presentation'!I29+'practical exam or OSCE'!I29,"")</f>
        <v/>
      </c>
      <c r="M30" s="57" t="str">
        <f>IF(('Mid1'!J29+'Mid2'!J29+'quiz 1'!J29+'Assignment or Proposal'!J29+'Final exam'!J29+'quiz 2'!J29+'Poster or Presentation'!J29+'practical exam or OSCE'!J29)&lt;&gt;0,'Mid1'!J29+'Mid2'!J29+'quiz 1'!J29+'Assignment or Proposal'!J29+'Final exam'!J29+'quiz 2'!J29+'Poster or Presentation'!J29+'practical exam or OSCE'!J29,"")</f>
        <v/>
      </c>
      <c r="N30" s="5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O30" s="5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P30" s="57" t="str">
        <f>IF(('Mid1'!M29+'Mid2'!M29+'quiz 1'!M29+'Assignment or Proposal'!M29+'Final exam'!M29+'quiz 2'!M29+'Poster or Presentation'!M29+'practical exam or OSCE'!M29)&lt;&gt;0,'Mid1'!M29+'Mid2'!M29+'quiz 1'!M29+'Assignment or Proposal'!M29+'Final exam'!M29+'quiz 2'!M29+'Poster or Presentation'!M29+'practical exam or OSCE'!M29,"")</f>
        <v/>
      </c>
      <c r="Q30" s="136" t="str">
        <f t="shared" si="4"/>
        <v/>
      </c>
    </row>
    <row r="31" spans="1:17" ht="20.25" hidden="1" customHeight="1" x14ac:dyDescent="0.25">
      <c r="A31" s="24">
        <v>20</v>
      </c>
      <c r="B31" s="24" t="str">
        <f>IF(StList!B22&lt;&gt;"",StList!B22,"")</f>
        <v>Pharmaceutical sciences</v>
      </c>
      <c r="C31" s="24" t="str">
        <f>IF(StList!E22&lt;&gt;"",StList!E22,"")</f>
        <v/>
      </c>
      <c r="D31" s="24" t="str">
        <f>IF(StList!F22&lt;&gt;"",StList!F22,"")</f>
        <v/>
      </c>
      <c r="E31" s="57" t="str">
        <f>IF(('Mid1'!B30+'Mid2'!B30+'quiz 1'!B30+'Assignment or Proposal'!B30+'Final exam'!B30+'quiz 2'!B30+'Poster or Presentation'!B30+'practical exam or OSCE'!B30)&lt;&gt;0,'Mid1'!B30+'Mid2'!B30+'quiz 1'!B30+'Assignment or Proposal'!B30+'Final exam'!B30+'quiz 2'!B30+'Poster or Presentation'!B30+'practical exam or OSCE'!B30,"")</f>
        <v/>
      </c>
      <c r="F31" s="57" t="str">
        <f>IF(('Mid1'!C30+'Mid2'!C30+'quiz 1'!C30+'Assignment or Proposal'!C30+'Final exam'!C30+'quiz 2'!C30+'Poster or Presentation'!C30+'practical exam or OSCE'!C30)&lt;&gt;0,'Mid1'!C30+'Mid2'!C30+'quiz 1'!C30+'Assignment or Proposal'!C30+'Final exam'!C30+'quiz 2'!C30+'Poster or Presentation'!C30+'practical exam or OSCE'!C30,"")</f>
        <v/>
      </c>
      <c r="G31" s="57" t="str">
        <f>IF(('Mid1'!D30+'Mid2'!D30+'quiz 1'!D30+'Assignment or Proposal'!D30+'Final exam'!D30+'quiz 2'!D30+'Poster or Presentation'!D30+'practical exam or OSCE'!D30)&lt;&gt;0,'Mid1'!D30+'Mid2'!D30+'quiz 1'!D30+'Assignment or Proposal'!D30+'Final exam'!D30+'quiz 2'!D30+'Poster or Presentation'!D30+'practical exam or OSCE'!D30,"")</f>
        <v/>
      </c>
      <c r="H31" s="57" t="str">
        <f>IF(('Mid1'!E30+'Mid2'!E30+'quiz 1'!E30+'Assignment or Proposal'!E30+'Final exam'!E30+'quiz 2'!E30+'Poster or Presentation'!E30+'practical exam or OSCE'!E30)&lt;&gt;0,'Mid1'!E30+'Mid2'!E30+'quiz 1'!E30+'Assignment or Proposal'!E30+'Final exam'!E30+'quiz 2'!E30+'Poster or Presentation'!E30+'practical exam or OSCE'!E30,"")</f>
        <v/>
      </c>
      <c r="I31" s="57" t="str">
        <f>IF(('Mid1'!F30+'Mid2'!F30+'quiz 1'!F30+'Assignment or Proposal'!F30+'Final exam'!F30+'quiz 2'!F30+'Poster or Presentation'!F30+'practical exam or OSCE'!F30)&lt;&gt;0,'Mid1'!F30+'Mid2'!F30+'quiz 1'!F30+'Assignment or Proposal'!F30+'Final exam'!F30+'quiz 2'!F30+'Poster or Presentation'!F30+'practical exam or OSCE'!F30,"")</f>
        <v/>
      </c>
      <c r="J31" s="57" t="str">
        <f>IF(('Mid1'!G30+'Mid2'!G30+'quiz 1'!G30+'Assignment or Proposal'!G30+'Final exam'!G30+'quiz 2'!G30+'Poster or Presentation'!G30+'practical exam or OSCE'!G30)&lt;&gt;0,'Mid1'!G30+'Mid2'!G30+'quiz 1'!G30+'Assignment or Proposal'!G30+'Final exam'!G30+'quiz 2'!G30+'Poster or Presentation'!G30+'practical exam or OSCE'!G30,"")</f>
        <v/>
      </c>
      <c r="K31" s="57" t="str">
        <f>IF(('Mid1'!H30+'Mid2'!H30+'quiz 1'!H30+'Assignment or Proposal'!H30+'Final exam'!H30+'quiz 2'!H30+'Poster or Presentation'!H30+'practical exam or OSCE'!H30)&lt;&gt;0,'Mid1'!H30+'Mid2'!H30+'quiz 1'!H30+'Assignment or Proposal'!H30+'Final exam'!H30+'quiz 2'!H30+'Poster or Presentation'!H30+'practical exam or OSCE'!H30,"")</f>
        <v/>
      </c>
      <c r="L31" s="57" t="str">
        <f>IF(('Mid1'!I30+'Mid2'!I30+'quiz 1'!I30+'Assignment or Proposal'!I30+'Final exam'!I30+'quiz 2'!I30+'Poster or Presentation'!I30+'practical exam or OSCE'!I30)&lt;&gt;0,'Mid1'!I30+'Mid2'!I30+'quiz 1'!I30+'Assignment or Proposal'!I30+'Final exam'!I30+'quiz 2'!I30+'Poster or Presentation'!I30+'practical exam or OSCE'!I30,"")</f>
        <v/>
      </c>
      <c r="M31" s="57" t="str">
        <f>IF(('Mid1'!J30+'Mid2'!J30+'quiz 1'!J30+'Assignment or Proposal'!J30+'Final exam'!J30+'quiz 2'!J30+'Poster or Presentation'!J30+'practical exam or OSCE'!J30)&lt;&gt;0,'Mid1'!J30+'Mid2'!J30+'quiz 1'!J30+'Assignment or Proposal'!J30+'Final exam'!J30+'quiz 2'!J30+'Poster or Presentation'!J30+'practical exam or OSCE'!J30,"")</f>
        <v/>
      </c>
      <c r="N31" s="5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O31" s="5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P31" s="57" t="str">
        <f>IF(('Mid1'!M30+'Mid2'!M30+'quiz 1'!M30+'Assignment or Proposal'!M30+'Final exam'!M30+'quiz 2'!M30+'Poster or Presentation'!M30+'practical exam or OSCE'!M30)&lt;&gt;0,'Mid1'!M30+'Mid2'!M30+'quiz 1'!M30+'Assignment or Proposal'!M30+'Final exam'!M30+'quiz 2'!M30+'Poster or Presentation'!M30+'practical exam or OSCE'!M30,"")</f>
        <v/>
      </c>
      <c r="Q31" s="136" t="str">
        <f t="shared" si="4"/>
        <v/>
      </c>
    </row>
    <row r="32" spans="1:17" ht="20.25" hidden="1" customHeight="1" x14ac:dyDescent="0.25">
      <c r="A32" s="24">
        <v>21</v>
      </c>
      <c r="B32" s="24" t="str">
        <f>IF(StList!B23&lt;&gt;"",StList!B23,"")</f>
        <v>Pharmaceutical sciences</v>
      </c>
      <c r="C32" s="24" t="str">
        <f>IF(StList!E23&lt;&gt;"",StList!E23,"")</f>
        <v/>
      </c>
      <c r="D32" s="24" t="str">
        <f>IF(StList!F23&lt;&gt;"",StList!F23,"")</f>
        <v/>
      </c>
      <c r="E32" s="57" t="str">
        <f>IF(('Mid1'!B31+'Mid2'!B31+'quiz 1'!B31+'Assignment or Proposal'!B31+'Final exam'!B31+'quiz 2'!B31+'Poster or Presentation'!B31+'practical exam or OSCE'!B31)&lt;&gt;0,'Mid1'!B31+'Mid2'!B31+'quiz 1'!B31+'Assignment or Proposal'!B31+'Final exam'!B31+'quiz 2'!B31+'Poster or Presentation'!B31+'practical exam or OSCE'!B31,"")</f>
        <v/>
      </c>
      <c r="F32" s="57" t="str">
        <f>IF(('Mid1'!C31+'Mid2'!C31+'quiz 1'!C31+'Assignment or Proposal'!C31+'Final exam'!C31+'quiz 2'!C31+'Poster or Presentation'!C31+'practical exam or OSCE'!C31)&lt;&gt;0,'Mid1'!C31+'Mid2'!C31+'quiz 1'!C31+'Assignment or Proposal'!C31+'Final exam'!C31+'quiz 2'!C31+'Poster or Presentation'!C31+'practical exam or OSCE'!C31,"")</f>
        <v/>
      </c>
      <c r="G32" s="57" t="str">
        <f>IF(('Mid1'!D31+'Mid2'!D31+'quiz 1'!D31+'Assignment or Proposal'!D31+'Final exam'!D31+'quiz 2'!D31+'Poster or Presentation'!D31+'practical exam or OSCE'!D31)&lt;&gt;0,'Mid1'!D31+'Mid2'!D31+'quiz 1'!D31+'Assignment or Proposal'!D31+'Final exam'!D31+'quiz 2'!D31+'Poster or Presentation'!D31+'practical exam or OSCE'!D31,"")</f>
        <v/>
      </c>
      <c r="H32" s="57" t="str">
        <f>IF(('Mid1'!E31+'Mid2'!E31+'quiz 1'!E31+'Assignment or Proposal'!E31+'Final exam'!E31+'quiz 2'!E31+'Poster or Presentation'!E31+'practical exam or OSCE'!E31)&lt;&gt;0,'Mid1'!E31+'Mid2'!E31+'quiz 1'!E31+'Assignment or Proposal'!E31+'Final exam'!E31+'quiz 2'!E31+'Poster or Presentation'!E31+'practical exam or OSCE'!E31,"")</f>
        <v/>
      </c>
      <c r="I32" s="57" t="str">
        <f>IF(('Mid1'!F31+'Mid2'!F31+'quiz 1'!F31+'Assignment or Proposal'!F31+'Final exam'!F31+'quiz 2'!F31+'Poster or Presentation'!F31+'practical exam or OSCE'!F31)&lt;&gt;0,'Mid1'!F31+'Mid2'!F31+'quiz 1'!F31+'Assignment or Proposal'!F31+'Final exam'!F31+'quiz 2'!F31+'Poster or Presentation'!F31+'practical exam or OSCE'!F31,"")</f>
        <v/>
      </c>
      <c r="J32" s="57" t="str">
        <f>IF(('Mid1'!G31+'Mid2'!G31+'quiz 1'!G31+'Assignment or Proposal'!G31+'Final exam'!G31+'quiz 2'!G31+'Poster or Presentation'!G31+'practical exam or OSCE'!G31)&lt;&gt;0,'Mid1'!G31+'Mid2'!G31+'quiz 1'!G31+'Assignment or Proposal'!G31+'Final exam'!G31+'quiz 2'!G31+'Poster or Presentation'!G31+'practical exam or OSCE'!G31,"")</f>
        <v/>
      </c>
      <c r="K32" s="57" t="str">
        <f>IF(('Mid1'!H31+'Mid2'!H31+'quiz 1'!H31+'Assignment or Proposal'!H31+'Final exam'!H31+'quiz 2'!H31+'Poster or Presentation'!H31+'practical exam or OSCE'!H31)&lt;&gt;0,'Mid1'!H31+'Mid2'!H31+'quiz 1'!H31+'Assignment or Proposal'!H31+'Final exam'!H31+'quiz 2'!H31+'Poster or Presentation'!H31+'practical exam or OSCE'!H31,"")</f>
        <v/>
      </c>
      <c r="L32" s="57" t="str">
        <f>IF(('Mid1'!I31+'Mid2'!I31+'quiz 1'!I31+'Assignment or Proposal'!I31+'Final exam'!I31+'quiz 2'!I31+'Poster or Presentation'!I31+'practical exam or OSCE'!I31)&lt;&gt;0,'Mid1'!I31+'Mid2'!I31+'quiz 1'!I31+'Assignment or Proposal'!I31+'Final exam'!I31+'quiz 2'!I31+'Poster or Presentation'!I31+'practical exam or OSCE'!I31,"")</f>
        <v/>
      </c>
      <c r="M32" s="57" t="str">
        <f>IF(('Mid1'!J31+'Mid2'!J31+'quiz 1'!J31+'Assignment or Proposal'!J31+'Final exam'!J31+'quiz 2'!J31+'Poster or Presentation'!J31+'practical exam or OSCE'!J31)&lt;&gt;0,'Mid1'!J31+'Mid2'!J31+'quiz 1'!J31+'Assignment or Proposal'!J31+'Final exam'!J31+'quiz 2'!J31+'Poster or Presentation'!J31+'practical exam or OSCE'!J31,"")</f>
        <v/>
      </c>
      <c r="N32" s="5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O32" s="5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P32" s="57" t="str">
        <f>IF(('Mid1'!M31+'Mid2'!M31+'quiz 1'!M31+'Assignment or Proposal'!M31+'Final exam'!M31+'quiz 2'!M31+'Poster or Presentation'!M31+'practical exam or OSCE'!M31)&lt;&gt;0,'Mid1'!M31+'Mid2'!M31+'quiz 1'!M31+'Assignment or Proposal'!M31+'Final exam'!M31+'quiz 2'!M31+'Poster or Presentation'!M31+'practical exam or OSCE'!M31,"")</f>
        <v/>
      </c>
      <c r="Q32" s="136" t="str">
        <f t="shared" si="4"/>
        <v/>
      </c>
    </row>
    <row r="33" spans="1:17" ht="20.25" hidden="1" customHeight="1" x14ac:dyDescent="0.25">
      <c r="A33" s="24">
        <v>22</v>
      </c>
      <c r="B33" s="24" t="str">
        <f>IF(StList!B24&lt;&gt;"",StList!B24,"")</f>
        <v>Pharmaceutical sciences</v>
      </c>
      <c r="C33" s="24" t="str">
        <f>IF(StList!E24&lt;&gt;"",StList!E24,"")</f>
        <v/>
      </c>
      <c r="D33" s="24" t="str">
        <f>IF(StList!F24&lt;&gt;"",StList!F24,"")</f>
        <v/>
      </c>
      <c r="E33" s="57" t="str">
        <f>IF(('Mid1'!B32+'Mid2'!B32+'quiz 1'!B32+'Assignment or Proposal'!B32+'Final exam'!B32+'quiz 2'!B32+'Poster or Presentation'!B32+'practical exam or OSCE'!B32)&lt;&gt;0,'Mid1'!B32+'Mid2'!B32+'quiz 1'!B32+'Assignment or Proposal'!B32+'Final exam'!B32+'quiz 2'!B32+'Poster or Presentation'!B32+'practical exam or OSCE'!B32,"")</f>
        <v/>
      </c>
      <c r="F33" s="57" t="str">
        <f>IF(('Mid1'!C32+'Mid2'!C32+'quiz 1'!C32+'Assignment or Proposal'!C32+'Final exam'!C32+'quiz 2'!C32+'Poster or Presentation'!C32+'practical exam or OSCE'!C32)&lt;&gt;0,'Mid1'!C32+'Mid2'!C32+'quiz 1'!C32+'Assignment or Proposal'!C32+'Final exam'!C32+'quiz 2'!C32+'Poster or Presentation'!C32+'practical exam or OSCE'!C32,"")</f>
        <v/>
      </c>
      <c r="G33" s="57" t="str">
        <f>IF(('Mid1'!D32+'Mid2'!D32+'quiz 1'!D32+'Assignment or Proposal'!D32+'Final exam'!D32+'quiz 2'!D32+'Poster or Presentation'!D32+'practical exam or OSCE'!D32)&lt;&gt;0,'Mid1'!D32+'Mid2'!D32+'quiz 1'!D32+'Assignment or Proposal'!D32+'Final exam'!D32+'quiz 2'!D32+'Poster or Presentation'!D32+'practical exam or OSCE'!D32,"")</f>
        <v/>
      </c>
      <c r="H33" s="57" t="str">
        <f>IF(('Mid1'!E32+'Mid2'!E32+'quiz 1'!E32+'Assignment or Proposal'!E32+'Final exam'!E32+'quiz 2'!E32+'Poster or Presentation'!E32+'practical exam or OSCE'!E32)&lt;&gt;0,'Mid1'!E32+'Mid2'!E32+'quiz 1'!E32+'Assignment or Proposal'!E32+'Final exam'!E32+'quiz 2'!E32+'Poster or Presentation'!E32+'practical exam or OSCE'!E32,"")</f>
        <v/>
      </c>
      <c r="I33" s="57" t="str">
        <f>IF(('Mid1'!F32+'Mid2'!F32+'quiz 1'!F32+'Assignment or Proposal'!F32+'Final exam'!F32+'quiz 2'!F32+'Poster or Presentation'!F32+'practical exam or OSCE'!F32)&lt;&gt;0,'Mid1'!F32+'Mid2'!F32+'quiz 1'!F32+'Assignment or Proposal'!F32+'Final exam'!F32+'quiz 2'!F32+'Poster or Presentation'!F32+'practical exam or OSCE'!F32,"")</f>
        <v/>
      </c>
      <c r="J33" s="57" t="str">
        <f>IF(('Mid1'!G32+'Mid2'!G32+'quiz 1'!G32+'Assignment or Proposal'!G32+'Final exam'!G32+'quiz 2'!G32+'Poster or Presentation'!G32+'practical exam or OSCE'!G32)&lt;&gt;0,'Mid1'!G32+'Mid2'!G32+'quiz 1'!G32+'Assignment or Proposal'!G32+'Final exam'!G32+'quiz 2'!G32+'Poster or Presentation'!G32+'practical exam or OSCE'!G32,"")</f>
        <v/>
      </c>
      <c r="K33" s="57" t="str">
        <f>IF(('Mid1'!H32+'Mid2'!H32+'quiz 1'!H32+'Assignment or Proposal'!H32+'Final exam'!H32+'quiz 2'!H32+'Poster or Presentation'!H32+'practical exam or OSCE'!H32)&lt;&gt;0,'Mid1'!H32+'Mid2'!H32+'quiz 1'!H32+'Assignment or Proposal'!H32+'Final exam'!H32+'quiz 2'!H32+'Poster or Presentation'!H32+'practical exam or OSCE'!H32,"")</f>
        <v/>
      </c>
      <c r="L33" s="57" t="str">
        <f>IF(('Mid1'!I32+'Mid2'!I32+'quiz 1'!I32+'Assignment or Proposal'!I32+'Final exam'!I32+'quiz 2'!I32+'Poster or Presentation'!I32+'practical exam or OSCE'!I32)&lt;&gt;0,'Mid1'!I32+'Mid2'!I32+'quiz 1'!I32+'Assignment or Proposal'!I32+'Final exam'!I32+'quiz 2'!I32+'Poster or Presentation'!I32+'practical exam or OSCE'!I32,"")</f>
        <v/>
      </c>
      <c r="M33" s="57" t="str">
        <f>IF(('Mid1'!J32+'Mid2'!J32+'quiz 1'!J32+'Assignment or Proposal'!J32+'Final exam'!J32+'quiz 2'!J32+'Poster or Presentation'!J32+'practical exam or OSCE'!J32)&lt;&gt;0,'Mid1'!J32+'Mid2'!J32+'quiz 1'!J32+'Assignment or Proposal'!J32+'Final exam'!J32+'quiz 2'!J32+'Poster or Presentation'!J32+'practical exam or OSCE'!J32,"")</f>
        <v/>
      </c>
      <c r="N33" s="5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O33" s="5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P33" s="57" t="str">
        <f>IF(('Mid1'!M32+'Mid2'!M32+'quiz 1'!M32+'Assignment or Proposal'!M32+'Final exam'!M32+'quiz 2'!M32+'Poster or Presentation'!M32+'practical exam or OSCE'!M32)&lt;&gt;0,'Mid1'!M32+'Mid2'!M32+'quiz 1'!M32+'Assignment or Proposal'!M32+'Final exam'!M32+'quiz 2'!M32+'Poster or Presentation'!M32+'practical exam or OSCE'!M32,"")</f>
        <v/>
      </c>
      <c r="Q33" s="136" t="str">
        <f t="shared" si="4"/>
        <v/>
      </c>
    </row>
    <row r="34" spans="1:17" ht="20.25" hidden="1" customHeight="1" x14ac:dyDescent="0.25">
      <c r="A34" s="24">
        <v>23</v>
      </c>
      <c r="B34" s="24" t="str">
        <f>IF(StList!B25&lt;&gt;"",StList!B25,"")</f>
        <v>Pharmaceutical sciences</v>
      </c>
      <c r="C34" s="24" t="str">
        <f>IF(StList!E25&lt;&gt;"",StList!E25,"")</f>
        <v/>
      </c>
      <c r="D34" s="24" t="str">
        <f>IF(StList!F25&lt;&gt;"",StList!F25,"")</f>
        <v/>
      </c>
      <c r="E34" s="57" t="str">
        <f>IF(('Mid1'!B33+'Mid2'!B33+'quiz 1'!B33+'Assignment or Proposal'!B33+'Final exam'!B33+'quiz 2'!B33+'Poster or Presentation'!B33+'practical exam or OSCE'!B33)&lt;&gt;0,'Mid1'!B33+'Mid2'!B33+'quiz 1'!B33+'Assignment or Proposal'!B33+'Final exam'!B33+'quiz 2'!B33+'Poster or Presentation'!B33+'practical exam or OSCE'!B33,"")</f>
        <v/>
      </c>
      <c r="F34" s="57" t="str">
        <f>IF(('Mid1'!C33+'Mid2'!C33+'quiz 1'!C33+'Assignment or Proposal'!C33+'Final exam'!C33+'quiz 2'!C33+'Poster or Presentation'!C33+'practical exam or OSCE'!C33)&lt;&gt;0,'Mid1'!C33+'Mid2'!C33+'quiz 1'!C33+'Assignment or Proposal'!C33+'Final exam'!C33+'quiz 2'!C33+'Poster or Presentation'!C33+'practical exam or OSCE'!C33,"")</f>
        <v/>
      </c>
      <c r="G34" s="57" t="str">
        <f>IF(('Mid1'!D33+'Mid2'!D33+'quiz 1'!D33+'Assignment or Proposal'!D33+'Final exam'!D33+'quiz 2'!D33+'Poster or Presentation'!D33+'practical exam or OSCE'!D33)&lt;&gt;0,'Mid1'!D33+'Mid2'!D33+'quiz 1'!D33+'Assignment or Proposal'!D33+'Final exam'!D33+'quiz 2'!D33+'Poster or Presentation'!D33+'practical exam or OSCE'!D33,"")</f>
        <v/>
      </c>
      <c r="H34" s="57" t="str">
        <f>IF(('Mid1'!E33+'Mid2'!E33+'quiz 1'!E33+'Assignment or Proposal'!E33+'Final exam'!E33+'quiz 2'!E33+'Poster or Presentation'!E33+'practical exam or OSCE'!E33)&lt;&gt;0,'Mid1'!E33+'Mid2'!E33+'quiz 1'!E33+'Assignment or Proposal'!E33+'Final exam'!E33+'quiz 2'!E33+'Poster or Presentation'!E33+'practical exam or OSCE'!E33,"")</f>
        <v/>
      </c>
      <c r="I34" s="57" t="str">
        <f>IF(('Mid1'!F33+'Mid2'!F33+'quiz 1'!F33+'Assignment or Proposal'!F33+'Final exam'!F33+'quiz 2'!F33+'Poster or Presentation'!F33+'practical exam or OSCE'!F33)&lt;&gt;0,'Mid1'!F33+'Mid2'!F33+'quiz 1'!F33+'Assignment or Proposal'!F33+'Final exam'!F33+'quiz 2'!F33+'Poster or Presentation'!F33+'practical exam or OSCE'!F33,"")</f>
        <v/>
      </c>
      <c r="J34" s="57" t="str">
        <f>IF(('Mid1'!G33+'Mid2'!G33+'quiz 1'!G33+'Assignment or Proposal'!G33+'Final exam'!G33+'quiz 2'!G33+'Poster or Presentation'!G33+'practical exam or OSCE'!G33)&lt;&gt;0,'Mid1'!G33+'Mid2'!G33+'quiz 1'!G33+'Assignment or Proposal'!G33+'Final exam'!G33+'quiz 2'!G33+'Poster or Presentation'!G33+'practical exam or OSCE'!G33,"")</f>
        <v/>
      </c>
      <c r="K34" s="57" t="str">
        <f>IF(('Mid1'!H33+'Mid2'!H33+'quiz 1'!H33+'Assignment or Proposal'!H33+'Final exam'!H33+'quiz 2'!H33+'Poster or Presentation'!H33+'practical exam or OSCE'!H33)&lt;&gt;0,'Mid1'!H33+'Mid2'!H33+'quiz 1'!H33+'Assignment or Proposal'!H33+'Final exam'!H33+'quiz 2'!H33+'Poster or Presentation'!H33+'practical exam or OSCE'!H33,"")</f>
        <v/>
      </c>
      <c r="L34" s="57" t="str">
        <f>IF(('Mid1'!I33+'Mid2'!I33+'quiz 1'!I33+'Assignment or Proposal'!I33+'Final exam'!I33+'quiz 2'!I33+'Poster or Presentation'!I33+'practical exam or OSCE'!I33)&lt;&gt;0,'Mid1'!I33+'Mid2'!I33+'quiz 1'!I33+'Assignment or Proposal'!I33+'Final exam'!I33+'quiz 2'!I33+'Poster or Presentation'!I33+'practical exam or OSCE'!I33,"")</f>
        <v/>
      </c>
      <c r="M34" s="57" t="str">
        <f>IF(('Mid1'!J33+'Mid2'!J33+'quiz 1'!J33+'Assignment or Proposal'!J33+'Final exam'!J33+'quiz 2'!J33+'Poster or Presentation'!J33+'practical exam or OSCE'!J33)&lt;&gt;0,'Mid1'!J33+'Mid2'!J33+'quiz 1'!J33+'Assignment or Proposal'!J33+'Final exam'!J33+'quiz 2'!J33+'Poster or Presentation'!J33+'practical exam or OSCE'!J33,"")</f>
        <v/>
      </c>
      <c r="N34" s="5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O34" s="5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P34" s="57" t="str">
        <f>IF(('Mid1'!M33+'Mid2'!M33+'quiz 1'!M33+'Assignment or Proposal'!M33+'Final exam'!M33+'quiz 2'!M33+'Poster or Presentation'!M33+'practical exam or OSCE'!M33)&lt;&gt;0,'Mid1'!M33+'Mid2'!M33+'quiz 1'!M33+'Assignment or Proposal'!M33+'Final exam'!M33+'quiz 2'!M33+'Poster or Presentation'!M33+'practical exam or OSCE'!M33,"")</f>
        <v/>
      </c>
      <c r="Q34" s="136" t="str">
        <f t="shared" si="4"/>
        <v/>
      </c>
    </row>
    <row r="35" spans="1:17" ht="20.25" hidden="1" customHeight="1" x14ac:dyDescent="0.25">
      <c r="A35" s="24">
        <v>24</v>
      </c>
      <c r="B35" s="24" t="str">
        <f>IF(StList!B26&lt;&gt;"",StList!B26,"")</f>
        <v>Pharmaceutical sciences</v>
      </c>
      <c r="C35" s="24" t="str">
        <f>IF(StList!E26&lt;&gt;"",StList!E26,"")</f>
        <v/>
      </c>
      <c r="D35" s="24" t="str">
        <f>IF(StList!F26&lt;&gt;"",StList!F26,"")</f>
        <v/>
      </c>
      <c r="E35" s="57" t="str">
        <f>IF(('Mid1'!B34+'Mid2'!B34+'quiz 1'!B34+'Assignment or Proposal'!B34+'Final exam'!B34+'quiz 2'!B34+'Poster or Presentation'!B34+'practical exam or OSCE'!B34)&lt;&gt;0,'Mid1'!B34+'Mid2'!B34+'quiz 1'!B34+'Assignment or Proposal'!B34+'Final exam'!B34+'quiz 2'!B34+'Poster or Presentation'!B34+'practical exam or OSCE'!B34,"")</f>
        <v/>
      </c>
      <c r="F35" s="57" t="str">
        <f>IF(('Mid1'!C34+'Mid2'!C34+'quiz 1'!C34+'Assignment or Proposal'!C34+'Final exam'!C34+'quiz 2'!C34+'Poster or Presentation'!C34+'practical exam or OSCE'!C34)&lt;&gt;0,'Mid1'!C34+'Mid2'!C34+'quiz 1'!C34+'Assignment or Proposal'!C34+'Final exam'!C34+'quiz 2'!C34+'Poster or Presentation'!C34+'practical exam or OSCE'!C34,"")</f>
        <v/>
      </c>
      <c r="G35" s="57" t="str">
        <f>IF(('Mid1'!D34+'Mid2'!D34+'quiz 1'!D34+'Assignment or Proposal'!D34+'Final exam'!D34+'quiz 2'!D34+'Poster or Presentation'!D34+'practical exam or OSCE'!D34)&lt;&gt;0,'Mid1'!D34+'Mid2'!D34+'quiz 1'!D34+'Assignment or Proposal'!D34+'Final exam'!D34+'quiz 2'!D34+'Poster or Presentation'!D34+'practical exam or OSCE'!D34,"")</f>
        <v/>
      </c>
      <c r="H35" s="57" t="str">
        <f>IF(('Mid1'!E34+'Mid2'!E34+'quiz 1'!E34+'Assignment or Proposal'!E34+'Final exam'!E34+'quiz 2'!E34+'Poster or Presentation'!E34+'practical exam or OSCE'!E34)&lt;&gt;0,'Mid1'!E34+'Mid2'!E34+'quiz 1'!E34+'Assignment or Proposal'!E34+'Final exam'!E34+'quiz 2'!E34+'Poster or Presentation'!E34+'practical exam or OSCE'!E34,"")</f>
        <v/>
      </c>
      <c r="I35" s="57" t="str">
        <f>IF(('Mid1'!F34+'Mid2'!F34+'quiz 1'!F34+'Assignment or Proposal'!F34+'Final exam'!F34+'quiz 2'!F34+'Poster or Presentation'!F34+'practical exam or OSCE'!F34)&lt;&gt;0,'Mid1'!F34+'Mid2'!F34+'quiz 1'!F34+'Assignment or Proposal'!F34+'Final exam'!F34+'quiz 2'!F34+'Poster or Presentation'!F34+'practical exam or OSCE'!F34,"")</f>
        <v/>
      </c>
      <c r="J35" s="57" t="str">
        <f>IF(('Mid1'!G34+'Mid2'!G34+'quiz 1'!G34+'Assignment or Proposal'!G34+'Final exam'!G34+'quiz 2'!G34+'Poster or Presentation'!G34+'practical exam or OSCE'!G34)&lt;&gt;0,'Mid1'!G34+'Mid2'!G34+'quiz 1'!G34+'Assignment or Proposal'!G34+'Final exam'!G34+'quiz 2'!G34+'Poster or Presentation'!G34+'practical exam or OSCE'!G34,"")</f>
        <v/>
      </c>
      <c r="K35" s="57" t="str">
        <f>IF(('Mid1'!H34+'Mid2'!H34+'quiz 1'!H34+'Assignment or Proposal'!H34+'Final exam'!H34+'quiz 2'!H34+'Poster or Presentation'!H34+'practical exam or OSCE'!H34)&lt;&gt;0,'Mid1'!H34+'Mid2'!H34+'quiz 1'!H34+'Assignment or Proposal'!H34+'Final exam'!H34+'quiz 2'!H34+'Poster or Presentation'!H34+'practical exam or OSCE'!H34,"")</f>
        <v/>
      </c>
      <c r="L35" s="57" t="str">
        <f>IF(('Mid1'!I34+'Mid2'!I34+'quiz 1'!I34+'Assignment or Proposal'!I34+'Final exam'!I34+'quiz 2'!I34+'Poster or Presentation'!I34+'practical exam or OSCE'!I34)&lt;&gt;0,'Mid1'!I34+'Mid2'!I34+'quiz 1'!I34+'Assignment or Proposal'!I34+'Final exam'!I34+'quiz 2'!I34+'Poster or Presentation'!I34+'practical exam or OSCE'!I34,"")</f>
        <v/>
      </c>
      <c r="M35" s="57" t="str">
        <f>IF(('Mid1'!J34+'Mid2'!J34+'quiz 1'!J34+'Assignment or Proposal'!J34+'Final exam'!J34+'quiz 2'!J34+'Poster or Presentation'!J34+'practical exam or OSCE'!J34)&lt;&gt;0,'Mid1'!J34+'Mid2'!J34+'quiz 1'!J34+'Assignment or Proposal'!J34+'Final exam'!J34+'quiz 2'!J34+'Poster or Presentation'!J34+'practical exam or OSCE'!J34,"")</f>
        <v/>
      </c>
      <c r="N35" s="5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O35" s="5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P35" s="57" t="str">
        <f>IF(('Mid1'!M34+'Mid2'!M34+'quiz 1'!M34+'Assignment or Proposal'!M34+'Final exam'!M34+'quiz 2'!M34+'Poster or Presentation'!M34+'practical exam or OSCE'!M34)&lt;&gt;0,'Mid1'!M34+'Mid2'!M34+'quiz 1'!M34+'Assignment or Proposal'!M34+'Final exam'!M34+'quiz 2'!M34+'Poster or Presentation'!M34+'practical exam or OSCE'!M34,"")</f>
        <v/>
      </c>
      <c r="Q35" s="136" t="str">
        <f t="shared" si="4"/>
        <v/>
      </c>
    </row>
    <row r="36" spans="1:17" ht="20.25" hidden="1" customHeight="1" x14ac:dyDescent="0.25">
      <c r="A36" s="24">
        <v>25</v>
      </c>
      <c r="B36" s="24" t="str">
        <f>IF(StList!B27&lt;&gt;"",StList!B27,"")</f>
        <v>Pharmaceutical sciences</v>
      </c>
      <c r="C36" s="24" t="str">
        <f>IF(StList!E27&lt;&gt;"",StList!E27,"")</f>
        <v/>
      </c>
      <c r="D36" s="24" t="str">
        <f>IF(StList!F27&lt;&gt;"",StList!F27,"")</f>
        <v/>
      </c>
      <c r="E36" s="57" t="str">
        <f>IF(('Mid1'!B35+'Mid2'!B35+'quiz 1'!B35+'Assignment or Proposal'!B35+'Final exam'!B35+'quiz 2'!B35+'Poster or Presentation'!B35+'practical exam or OSCE'!B35)&lt;&gt;0,'Mid1'!B35+'Mid2'!B35+'quiz 1'!B35+'Assignment or Proposal'!B35+'Final exam'!B35+'quiz 2'!B35+'Poster or Presentation'!B35+'practical exam or OSCE'!B35,"")</f>
        <v/>
      </c>
      <c r="F36" s="57" t="str">
        <f>IF(('Mid1'!C35+'Mid2'!C35+'quiz 1'!C35+'Assignment or Proposal'!C35+'Final exam'!C35+'quiz 2'!C35+'Poster or Presentation'!C35+'practical exam or OSCE'!C35)&lt;&gt;0,'Mid1'!C35+'Mid2'!C35+'quiz 1'!C35+'Assignment or Proposal'!C35+'Final exam'!C35+'quiz 2'!C35+'Poster or Presentation'!C35+'practical exam or OSCE'!C35,"")</f>
        <v/>
      </c>
      <c r="G36" s="57" t="str">
        <f>IF(('Mid1'!D35+'Mid2'!D35+'quiz 1'!D35+'Assignment or Proposal'!D35+'Final exam'!D35+'quiz 2'!D35+'Poster or Presentation'!D35+'practical exam or OSCE'!D35)&lt;&gt;0,'Mid1'!D35+'Mid2'!D35+'quiz 1'!D35+'Assignment or Proposal'!D35+'Final exam'!D35+'quiz 2'!D35+'Poster or Presentation'!D35+'practical exam or OSCE'!D35,"")</f>
        <v/>
      </c>
      <c r="H36" s="57" t="str">
        <f>IF(('Mid1'!E35+'Mid2'!E35+'quiz 1'!E35+'Assignment or Proposal'!E35+'Final exam'!E35+'quiz 2'!E35+'Poster or Presentation'!E35+'practical exam or OSCE'!E35)&lt;&gt;0,'Mid1'!E35+'Mid2'!E35+'quiz 1'!E35+'Assignment or Proposal'!E35+'Final exam'!E35+'quiz 2'!E35+'Poster or Presentation'!E35+'practical exam or OSCE'!E35,"")</f>
        <v/>
      </c>
      <c r="I36" s="57" t="str">
        <f>IF(('Mid1'!F35+'Mid2'!F35+'quiz 1'!F35+'Assignment or Proposal'!F35+'Final exam'!F35+'quiz 2'!F35+'Poster or Presentation'!F35+'practical exam or OSCE'!F35)&lt;&gt;0,'Mid1'!F35+'Mid2'!F35+'quiz 1'!F35+'Assignment or Proposal'!F35+'Final exam'!F35+'quiz 2'!F35+'Poster or Presentation'!F35+'practical exam or OSCE'!F35,"")</f>
        <v/>
      </c>
      <c r="J36" s="57" t="str">
        <f>IF(('Mid1'!G35+'Mid2'!G35+'quiz 1'!G35+'Assignment or Proposal'!G35+'Final exam'!G35+'quiz 2'!G35+'Poster or Presentation'!G35+'practical exam or OSCE'!G35)&lt;&gt;0,'Mid1'!G35+'Mid2'!G35+'quiz 1'!G35+'Assignment or Proposal'!G35+'Final exam'!G35+'quiz 2'!G35+'Poster or Presentation'!G35+'practical exam or OSCE'!G35,"")</f>
        <v/>
      </c>
      <c r="K36" s="57" t="str">
        <f>IF(('Mid1'!H35+'Mid2'!H35+'quiz 1'!H35+'Assignment or Proposal'!H35+'Final exam'!H35+'quiz 2'!H35+'Poster or Presentation'!H35+'practical exam or OSCE'!H35)&lt;&gt;0,'Mid1'!H35+'Mid2'!H35+'quiz 1'!H35+'Assignment or Proposal'!H35+'Final exam'!H35+'quiz 2'!H35+'Poster or Presentation'!H35+'practical exam or OSCE'!H35,"")</f>
        <v/>
      </c>
      <c r="L36" s="57" t="str">
        <f>IF(('Mid1'!I35+'Mid2'!I35+'quiz 1'!I35+'Assignment or Proposal'!I35+'Final exam'!I35+'quiz 2'!I35+'Poster or Presentation'!I35+'practical exam or OSCE'!I35)&lt;&gt;0,'Mid1'!I35+'Mid2'!I35+'quiz 1'!I35+'Assignment or Proposal'!I35+'Final exam'!I35+'quiz 2'!I35+'Poster or Presentation'!I35+'practical exam or OSCE'!I35,"")</f>
        <v/>
      </c>
      <c r="M36" s="57" t="str">
        <f>IF(('Mid1'!J35+'Mid2'!J35+'quiz 1'!J35+'Assignment or Proposal'!J35+'Final exam'!J35+'quiz 2'!J35+'Poster or Presentation'!J35+'practical exam or OSCE'!J35)&lt;&gt;0,'Mid1'!J35+'Mid2'!J35+'quiz 1'!J35+'Assignment or Proposal'!J35+'Final exam'!J35+'quiz 2'!J35+'Poster or Presentation'!J35+'practical exam or OSCE'!J35,"")</f>
        <v/>
      </c>
      <c r="N36" s="5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O36" s="5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P36" s="57" t="str">
        <f>IF(('Mid1'!M35+'Mid2'!M35+'quiz 1'!M35+'Assignment or Proposal'!M35+'Final exam'!M35+'quiz 2'!M35+'Poster or Presentation'!M35+'practical exam or OSCE'!M35)&lt;&gt;0,'Mid1'!M35+'Mid2'!M35+'quiz 1'!M35+'Assignment or Proposal'!M35+'Final exam'!M35+'quiz 2'!M35+'Poster or Presentation'!M35+'practical exam or OSCE'!M35,"")</f>
        <v/>
      </c>
      <c r="Q36" s="136" t="str">
        <f t="shared" si="4"/>
        <v/>
      </c>
    </row>
    <row r="37" spans="1:17" ht="20.25" hidden="1" customHeight="1" x14ac:dyDescent="0.25">
      <c r="A37" s="24">
        <v>26</v>
      </c>
      <c r="B37" s="24" t="str">
        <f>IF(StList!B28&lt;&gt;"",StList!B28,"")</f>
        <v>Pharmaceutical sciences</v>
      </c>
      <c r="C37" s="24" t="str">
        <f>IF(StList!E28&lt;&gt;"",StList!E28,"")</f>
        <v/>
      </c>
      <c r="D37" s="24" t="str">
        <f>IF(StList!F28&lt;&gt;"",StList!F28,"")</f>
        <v/>
      </c>
      <c r="E37" s="57" t="str">
        <f>IF(('Mid1'!B36+'Mid2'!B36+'quiz 1'!B36+'Assignment or Proposal'!B36+'Final exam'!B36+'quiz 2'!B36+'Poster or Presentation'!B36+'practical exam or OSCE'!B36)&lt;&gt;0,'Mid1'!B36+'Mid2'!B36+'quiz 1'!B36+'Assignment or Proposal'!B36+'Final exam'!B36+'quiz 2'!B36+'Poster or Presentation'!B36+'practical exam or OSCE'!B36,"")</f>
        <v/>
      </c>
      <c r="F37" s="57" t="str">
        <f>IF(('Mid1'!C36+'Mid2'!C36+'quiz 1'!C36+'Assignment or Proposal'!C36+'Final exam'!C36+'quiz 2'!C36+'Poster or Presentation'!C36+'practical exam or OSCE'!C36)&lt;&gt;0,'Mid1'!C36+'Mid2'!C36+'quiz 1'!C36+'Assignment or Proposal'!C36+'Final exam'!C36+'quiz 2'!C36+'Poster or Presentation'!C36+'practical exam or OSCE'!C36,"")</f>
        <v/>
      </c>
      <c r="G37" s="57" t="str">
        <f>IF(('Mid1'!D36+'Mid2'!D36+'quiz 1'!D36+'Assignment or Proposal'!D36+'Final exam'!D36+'quiz 2'!D36+'Poster or Presentation'!D36+'practical exam or OSCE'!D36)&lt;&gt;0,'Mid1'!D36+'Mid2'!D36+'quiz 1'!D36+'Assignment or Proposal'!D36+'Final exam'!D36+'quiz 2'!D36+'Poster or Presentation'!D36+'practical exam or OSCE'!D36,"")</f>
        <v/>
      </c>
      <c r="H37" s="57" t="str">
        <f>IF(('Mid1'!E36+'Mid2'!E36+'quiz 1'!E36+'Assignment or Proposal'!E36+'Final exam'!E36+'quiz 2'!E36+'Poster or Presentation'!E36+'practical exam or OSCE'!E36)&lt;&gt;0,'Mid1'!E36+'Mid2'!E36+'quiz 1'!E36+'Assignment or Proposal'!E36+'Final exam'!E36+'quiz 2'!E36+'Poster or Presentation'!E36+'practical exam or OSCE'!E36,"")</f>
        <v/>
      </c>
      <c r="I37" s="57" t="str">
        <f>IF(('Mid1'!F36+'Mid2'!F36+'quiz 1'!F36+'Assignment or Proposal'!F36+'Final exam'!F36+'quiz 2'!F36+'Poster or Presentation'!F36+'practical exam or OSCE'!F36)&lt;&gt;0,'Mid1'!F36+'Mid2'!F36+'quiz 1'!F36+'Assignment or Proposal'!F36+'Final exam'!F36+'quiz 2'!F36+'Poster or Presentation'!F36+'practical exam or OSCE'!F36,"")</f>
        <v/>
      </c>
      <c r="J37" s="57" t="str">
        <f>IF(('Mid1'!G36+'Mid2'!G36+'quiz 1'!G36+'Assignment or Proposal'!G36+'Final exam'!G36+'quiz 2'!G36+'Poster or Presentation'!G36+'practical exam or OSCE'!G36)&lt;&gt;0,'Mid1'!G36+'Mid2'!G36+'quiz 1'!G36+'Assignment or Proposal'!G36+'Final exam'!G36+'quiz 2'!G36+'Poster or Presentation'!G36+'practical exam or OSCE'!G36,"")</f>
        <v/>
      </c>
      <c r="K37" s="57" t="str">
        <f>IF(('Mid1'!H36+'Mid2'!H36+'quiz 1'!H36+'Assignment or Proposal'!H36+'Final exam'!H36+'quiz 2'!H36+'Poster or Presentation'!H36+'practical exam or OSCE'!H36)&lt;&gt;0,'Mid1'!H36+'Mid2'!H36+'quiz 1'!H36+'Assignment or Proposal'!H36+'Final exam'!H36+'quiz 2'!H36+'Poster or Presentation'!H36+'practical exam or OSCE'!H36,"")</f>
        <v/>
      </c>
      <c r="L37" s="57" t="str">
        <f>IF(('Mid1'!I36+'Mid2'!I36+'quiz 1'!I36+'Assignment or Proposal'!I36+'Final exam'!I36+'quiz 2'!I36+'Poster or Presentation'!I36+'practical exam or OSCE'!I36)&lt;&gt;0,'Mid1'!I36+'Mid2'!I36+'quiz 1'!I36+'Assignment or Proposal'!I36+'Final exam'!I36+'quiz 2'!I36+'Poster or Presentation'!I36+'practical exam or OSCE'!I36,"")</f>
        <v/>
      </c>
      <c r="M37" s="57" t="str">
        <f>IF(('Mid1'!J36+'Mid2'!J36+'quiz 1'!J36+'Assignment or Proposal'!J36+'Final exam'!J36+'quiz 2'!J36+'Poster or Presentation'!J36+'practical exam or OSCE'!J36)&lt;&gt;0,'Mid1'!J36+'Mid2'!J36+'quiz 1'!J36+'Assignment or Proposal'!J36+'Final exam'!J36+'quiz 2'!J36+'Poster or Presentation'!J36+'practical exam or OSCE'!J36,"")</f>
        <v/>
      </c>
      <c r="N37" s="5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O37" s="5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P37" s="57" t="str">
        <f>IF(('Mid1'!M36+'Mid2'!M36+'quiz 1'!M36+'Assignment or Proposal'!M36+'Final exam'!M36+'quiz 2'!M36+'Poster or Presentation'!M36+'practical exam or OSCE'!M36)&lt;&gt;0,'Mid1'!M36+'Mid2'!M36+'quiz 1'!M36+'Assignment or Proposal'!M36+'Final exam'!M36+'quiz 2'!M36+'Poster or Presentation'!M36+'practical exam or OSCE'!M36,"")</f>
        <v/>
      </c>
      <c r="Q37" s="136" t="str">
        <f t="shared" si="4"/>
        <v/>
      </c>
    </row>
    <row r="38" spans="1:17" ht="20.25" hidden="1" customHeight="1" x14ac:dyDescent="0.25">
      <c r="A38" s="24">
        <v>27</v>
      </c>
      <c r="B38" s="24" t="str">
        <f>IF(StList!B29&lt;&gt;"",StList!B29,"")</f>
        <v>Pharmaceutical sciences</v>
      </c>
      <c r="C38" s="24" t="str">
        <f>IF(StList!E29&lt;&gt;"",StList!E29,"")</f>
        <v/>
      </c>
      <c r="D38" s="24" t="str">
        <f>IF(StList!F29&lt;&gt;"",StList!F29,"")</f>
        <v/>
      </c>
      <c r="E38" s="57" t="str">
        <f>IF(('Mid1'!B37+'Mid2'!B37+'quiz 1'!B37+'Assignment or Proposal'!B37+'Final exam'!B37+'quiz 2'!B37+'Poster or Presentation'!B37+'practical exam or OSCE'!B37)&lt;&gt;0,'Mid1'!B37+'Mid2'!B37+'quiz 1'!B37+'Assignment or Proposal'!B37+'Final exam'!B37+'quiz 2'!B37+'Poster or Presentation'!B37+'practical exam or OSCE'!B37,"")</f>
        <v/>
      </c>
      <c r="F38" s="57" t="str">
        <f>IF(('Mid1'!C37+'Mid2'!C37+'quiz 1'!C37+'Assignment or Proposal'!C37+'Final exam'!C37+'quiz 2'!C37+'Poster or Presentation'!C37+'practical exam or OSCE'!C37)&lt;&gt;0,'Mid1'!C37+'Mid2'!C37+'quiz 1'!C37+'Assignment or Proposal'!C37+'Final exam'!C37+'quiz 2'!C37+'Poster or Presentation'!C37+'practical exam or OSCE'!C37,"")</f>
        <v/>
      </c>
      <c r="G38" s="57" t="str">
        <f>IF(('Mid1'!D37+'Mid2'!D37+'quiz 1'!D37+'Assignment or Proposal'!D37+'Final exam'!D37+'quiz 2'!D37+'Poster or Presentation'!D37+'practical exam or OSCE'!D37)&lt;&gt;0,'Mid1'!D37+'Mid2'!D37+'quiz 1'!D37+'Assignment or Proposal'!D37+'Final exam'!D37+'quiz 2'!D37+'Poster or Presentation'!D37+'practical exam or OSCE'!D37,"")</f>
        <v/>
      </c>
      <c r="H38" s="57" t="str">
        <f>IF(('Mid1'!E37+'Mid2'!E37+'quiz 1'!E37+'Assignment or Proposal'!E37+'Final exam'!E37+'quiz 2'!E37+'Poster or Presentation'!E37+'practical exam or OSCE'!E37)&lt;&gt;0,'Mid1'!E37+'Mid2'!E37+'quiz 1'!E37+'Assignment or Proposal'!E37+'Final exam'!E37+'quiz 2'!E37+'Poster or Presentation'!E37+'practical exam or OSCE'!E37,"")</f>
        <v/>
      </c>
      <c r="I38" s="57" t="str">
        <f>IF(('Mid1'!F37+'Mid2'!F37+'quiz 1'!F37+'Assignment or Proposal'!F37+'Final exam'!F37+'quiz 2'!F37+'Poster or Presentation'!F37+'practical exam or OSCE'!F37)&lt;&gt;0,'Mid1'!F37+'Mid2'!F37+'quiz 1'!F37+'Assignment or Proposal'!F37+'Final exam'!F37+'quiz 2'!F37+'Poster or Presentation'!F37+'practical exam or OSCE'!F37,"")</f>
        <v/>
      </c>
      <c r="J38" s="57" t="str">
        <f>IF(('Mid1'!G37+'Mid2'!G37+'quiz 1'!G37+'Assignment or Proposal'!G37+'Final exam'!G37+'quiz 2'!G37+'Poster or Presentation'!G37+'practical exam or OSCE'!G37)&lt;&gt;0,'Mid1'!G37+'Mid2'!G37+'quiz 1'!G37+'Assignment or Proposal'!G37+'Final exam'!G37+'quiz 2'!G37+'Poster or Presentation'!G37+'practical exam or OSCE'!G37,"")</f>
        <v/>
      </c>
      <c r="K38" s="57" t="str">
        <f>IF(('Mid1'!H37+'Mid2'!H37+'quiz 1'!H37+'Assignment or Proposal'!H37+'Final exam'!H37+'quiz 2'!H37+'Poster or Presentation'!H37+'practical exam or OSCE'!H37)&lt;&gt;0,'Mid1'!H37+'Mid2'!H37+'quiz 1'!H37+'Assignment or Proposal'!H37+'Final exam'!H37+'quiz 2'!H37+'Poster or Presentation'!H37+'practical exam or OSCE'!H37,"")</f>
        <v/>
      </c>
      <c r="L38" s="57" t="str">
        <f>IF(('Mid1'!I37+'Mid2'!I37+'quiz 1'!I37+'Assignment or Proposal'!I37+'Final exam'!I37+'quiz 2'!I37+'Poster or Presentation'!I37+'practical exam or OSCE'!I37)&lt;&gt;0,'Mid1'!I37+'Mid2'!I37+'quiz 1'!I37+'Assignment or Proposal'!I37+'Final exam'!I37+'quiz 2'!I37+'Poster or Presentation'!I37+'practical exam or OSCE'!I37,"")</f>
        <v/>
      </c>
      <c r="M38" s="57" t="str">
        <f>IF(('Mid1'!J37+'Mid2'!J37+'quiz 1'!J37+'Assignment or Proposal'!J37+'Final exam'!J37+'quiz 2'!J37+'Poster or Presentation'!J37+'practical exam or OSCE'!J37)&lt;&gt;0,'Mid1'!J37+'Mid2'!J37+'quiz 1'!J37+'Assignment or Proposal'!J37+'Final exam'!J37+'quiz 2'!J37+'Poster or Presentation'!J37+'practical exam or OSCE'!J37,"")</f>
        <v/>
      </c>
      <c r="N38" s="5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O38" s="5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P38" s="57" t="str">
        <f>IF(('Mid1'!M37+'Mid2'!M37+'quiz 1'!M37+'Assignment or Proposal'!M37+'Final exam'!M37+'quiz 2'!M37+'Poster or Presentation'!M37+'practical exam or OSCE'!M37)&lt;&gt;0,'Mid1'!M37+'Mid2'!M37+'quiz 1'!M37+'Assignment or Proposal'!M37+'Final exam'!M37+'quiz 2'!M37+'Poster or Presentation'!M37+'practical exam or OSCE'!M37,"")</f>
        <v/>
      </c>
      <c r="Q38" s="136" t="str">
        <f t="shared" si="4"/>
        <v/>
      </c>
    </row>
    <row r="39" spans="1:17" ht="20.25" hidden="1" customHeight="1" x14ac:dyDescent="0.25">
      <c r="A39" s="24">
        <v>28</v>
      </c>
      <c r="B39" s="24" t="str">
        <f>IF(StList!B30&lt;&gt;"",StList!B30,"")</f>
        <v>Pharmaceutical sciences</v>
      </c>
      <c r="C39" s="24" t="str">
        <f>IF(StList!E30&lt;&gt;"",StList!E30,"")</f>
        <v/>
      </c>
      <c r="D39" s="24" t="str">
        <f>IF(StList!F30&lt;&gt;"",StList!F30,"")</f>
        <v/>
      </c>
      <c r="E39" s="57" t="str">
        <f>IF(('Mid1'!B38+'Mid2'!B38+'quiz 1'!B38+'Assignment or Proposal'!B38+'Final exam'!B38+'quiz 2'!B38+'Poster or Presentation'!B38+'practical exam or OSCE'!B38)&lt;&gt;0,'Mid1'!B38+'Mid2'!B38+'quiz 1'!B38+'Assignment or Proposal'!B38+'Final exam'!B38+'quiz 2'!B38+'Poster or Presentation'!B38+'practical exam or OSCE'!B38,"")</f>
        <v/>
      </c>
      <c r="F39" s="57" t="str">
        <f>IF(('Mid1'!C38+'Mid2'!C38+'quiz 1'!C38+'Assignment or Proposal'!C38+'Final exam'!C38+'quiz 2'!C38+'Poster or Presentation'!C38+'practical exam or OSCE'!C38)&lt;&gt;0,'Mid1'!C38+'Mid2'!C38+'quiz 1'!C38+'Assignment or Proposal'!C38+'Final exam'!C38+'quiz 2'!C38+'Poster or Presentation'!C38+'practical exam or OSCE'!C38,"")</f>
        <v/>
      </c>
      <c r="G39" s="57" t="str">
        <f>IF(('Mid1'!D38+'Mid2'!D38+'quiz 1'!D38+'Assignment or Proposal'!D38+'Final exam'!D38+'quiz 2'!D38+'Poster or Presentation'!D38+'practical exam or OSCE'!D38)&lt;&gt;0,'Mid1'!D38+'Mid2'!D38+'quiz 1'!D38+'Assignment or Proposal'!D38+'Final exam'!D38+'quiz 2'!D38+'Poster or Presentation'!D38+'practical exam or OSCE'!D38,"")</f>
        <v/>
      </c>
      <c r="H39" s="57" t="str">
        <f>IF(('Mid1'!E38+'Mid2'!E38+'quiz 1'!E38+'Assignment or Proposal'!E38+'Final exam'!E38+'quiz 2'!E38+'Poster or Presentation'!E38+'practical exam or OSCE'!E38)&lt;&gt;0,'Mid1'!E38+'Mid2'!E38+'quiz 1'!E38+'Assignment or Proposal'!E38+'Final exam'!E38+'quiz 2'!E38+'Poster or Presentation'!E38+'practical exam or OSCE'!E38,"")</f>
        <v/>
      </c>
      <c r="I39" s="57" t="str">
        <f>IF(('Mid1'!F38+'Mid2'!F38+'quiz 1'!F38+'Assignment or Proposal'!F38+'Final exam'!F38+'quiz 2'!F38+'Poster or Presentation'!F38+'practical exam or OSCE'!F38)&lt;&gt;0,'Mid1'!F38+'Mid2'!F38+'quiz 1'!F38+'Assignment or Proposal'!F38+'Final exam'!F38+'quiz 2'!F38+'Poster or Presentation'!F38+'practical exam or OSCE'!F38,"")</f>
        <v/>
      </c>
      <c r="J39" s="57" t="str">
        <f>IF(('Mid1'!G38+'Mid2'!G38+'quiz 1'!G38+'Assignment or Proposal'!G38+'Final exam'!G38+'quiz 2'!G38+'Poster or Presentation'!G38+'practical exam or OSCE'!G38)&lt;&gt;0,'Mid1'!G38+'Mid2'!G38+'quiz 1'!G38+'Assignment or Proposal'!G38+'Final exam'!G38+'quiz 2'!G38+'Poster or Presentation'!G38+'practical exam or OSCE'!G38,"")</f>
        <v/>
      </c>
      <c r="K39" s="57" t="str">
        <f>IF(('Mid1'!H38+'Mid2'!H38+'quiz 1'!H38+'Assignment or Proposal'!H38+'Final exam'!H38+'quiz 2'!H38+'Poster or Presentation'!H38+'practical exam or OSCE'!H38)&lt;&gt;0,'Mid1'!H38+'Mid2'!H38+'quiz 1'!H38+'Assignment or Proposal'!H38+'Final exam'!H38+'quiz 2'!H38+'Poster or Presentation'!H38+'practical exam or OSCE'!H38,"")</f>
        <v/>
      </c>
      <c r="L39" s="57" t="str">
        <f>IF(('Mid1'!I38+'Mid2'!I38+'quiz 1'!I38+'Assignment or Proposal'!I38+'Final exam'!I38+'quiz 2'!I38+'Poster or Presentation'!I38+'practical exam or OSCE'!I38)&lt;&gt;0,'Mid1'!I38+'Mid2'!I38+'quiz 1'!I38+'Assignment or Proposal'!I38+'Final exam'!I38+'quiz 2'!I38+'Poster or Presentation'!I38+'practical exam or OSCE'!I38,"")</f>
        <v/>
      </c>
      <c r="M39" s="57" t="str">
        <f>IF(('Mid1'!J38+'Mid2'!J38+'quiz 1'!J38+'Assignment or Proposal'!J38+'Final exam'!J38+'quiz 2'!J38+'Poster or Presentation'!J38+'practical exam or OSCE'!J38)&lt;&gt;0,'Mid1'!J38+'Mid2'!J38+'quiz 1'!J38+'Assignment or Proposal'!J38+'Final exam'!J38+'quiz 2'!J38+'Poster or Presentation'!J38+'practical exam or OSCE'!J38,"")</f>
        <v/>
      </c>
      <c r="N39" s="5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O39" s="5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P39" s="57" t="str">
        <f>IF(('Mid1'!M38+'Mid2'!M38+'quiz 1'!M38+'Assignment or Proposal'!M38+'Final exam'!M38+'quiz 2'!M38+'Poster or Presentation'!M38+'practical exam or OSCE'!M38)&lt;&gt;0,'Mid1'!M38+'Mid2'!M38+'quiz 1'!M38+'Assignment or Proposal'!M38+'Final exam'!M38+'quiz 2'!M38+'Poster or Presentation'!M38+'practical exam or OSCE'!M38,"")</f>
        <v/>
      </c>
      <c r="Q39" s="136" t="str">
        <f t="shared" si="4"/>
        <v/>
      </c>
    </row>
    <row r="40" spans="1:17" ht="20.25" hidden="1" customHeight="1" x14ac:dyDescent="0.25">
      <c r="A40" s="24">
        <v>29</v>
      </c>
      <c r="B40" s="24" t="str">
        <f>IF(StList!B31&lt;&gt;"",StList!B31,"")</f>
        <v>Pharmaceutical sciences</v>
      </c>
      <c r="C40" s="24" t="str">
        <f>IF(StList!E31&lt;&gt;"",StList!E31,"")</f>
        <v/>
      </c>
      <c r="D40" s="24" t="str">
        <f>IF(StList!F31&lt;&gt;"",StList!F31,"")</f>
        <v/>
      </c>
      <c r="E40" s="57" t="str">
        <f>IF(('Mid1'!B39+'Mid2'!B39+'quiz 1'!B39+'Assignment or Proposal'!B39+'Final exam'!B39+'quiz 2'!B39+'Poster or Presentation'!B39+'practical exam or OSCE'!B39)&lt;&gt;0,'Mid1'!B39+'Mid2'!B39+'quiz 1'!B39+'Assignment or Proposal'!B39+'Final exam'!B39+'quiz 2'!B39+'Poster or Presentation'!B39+'practical exam or OSCE'!B39,"")</f>
        <v/>
      </c>
      <c r="F40" s="57" t="str">
        <f>IF(('Mid1'!C39+'Mid2'!C39+'quiz 1'!C39+'Assignment or Proposal'!C39+'Final exam'!C39+'quiz 2'!C39+'Poster or Presentation'!C39+'practical exam or OSCE'!C39)&lt;&gt;0,'Mid1'!C39+'Mid2'!C39+'quiz 1'!C39+'Assignment or Proposal'!C39+'Final exam'!C39+'quiz 2'!C39+'Poster or Presentation'!C39+'practical exam or OSCE'!C39,"")</f>
        <v/>
      </c>
      <c r="G40" s="57" t="str">
        <f>IF(('Mid1'!D39+'Mid2'!D39+'quiz 1'!D39+'Assignment or Proposal'!D39+'Final exam'!D39+'quiz 2'!D39+'Poster or Presentation'!D39+'practical exam or OSCE'!D39)&lt;&gt;0,'Mid1'!D39+'Mid2'!D39+'quiz 1'!D39+'Assignment or Proposal'!D39+'Final exam'!D39+'quiz 2'!D39+'Poster or Presentation'!D39+'practical exam or OSCE'!D39,"")</f>
        <v/>
      </c>
      <c r="H40" s="57" t="str">
        <f>IF(('Mid1'!E39+'Mid2'!E39+'quiz 1'!E39+'Assignment or Proposal'!E39+'Final exam'!E39+'quiz 2'!E39+'Poster or Presentation'!E39+'practical exam or OSCE'!E39)&lt;&gt;0,'Mid1'!E39+'Mid2'!E39+'quiz 1'!E39+'Assignment or Proposal'!E39+'Final exam'!E39+'quiz 2'!E39+'Poster or Presentation'!E39+'practical exam or OSCE'!E39,"")</f>
        <v/>
      </c>
      <c r="I40" s="57" t="str">
        <f>IF(('Mid1'!F39+'Mid2'!F39+'quiz 1'!F39+'Assignment or Proposal'!F39+'Final exam'!F39+'quiz 2'!F39+'Poster or Presentation'!F39+'practical exam or OSCE'!F39)&lt;&gt;0,'Mid1'!F39+'Mid2'!F39+'quiz 1'!F39+'Assignment or Proposal'!F39+'Final exam'!F39+'quiz 2'!F39+'Poster or Presentation'!F39+'practical exam or OSCE'!F39,"")</f>
        <v/>
      </c>
      <c r="J40" s="57" t="str">
        <f>IF(('Mid1'!G39+'Mid2'!G39+'quiz 1'!G39+'Assignment or Proposal'!G39+'Final exam'!G39+'quiz 2'!G39+'Poster or Presentation'!G39+'practical exam or OSCE'!G39)&lt;&gt;0,'Mid1'!G39+'Mid2'!G39+'quiz 1'!G39+'Assignment or Proposal'!G39+'Final exam'!G39+'quiz 2'!G39+'Poster or Presentation'!G39+'practical exam or OSCE'!G39,"")</f>
        <v/>
      </c>
      <c r="K40" s="57" t="str">
        <f>IF(('Mid1'!H39+'Mid2'!H39+'quiz 1'!H39+'Assignment or Proposal'!H39+'Final exam'!H39+'quiz 2'!H39+'Poster or Presentation'!H39+'practical exam or OSCE'!H39)&lt;&gt;0,'Mid1'!H39+'Mid2'!H39+'quiz 1'!H39+'Assignment or Proposal'!H39+'Final exam'!H39+'quiz 2'!H39+'Poster or Presentation'!H39+'practical exam or OSCE'!H39,"")</f>
        <v/>
      </c>
      <c r="L40" s="57" t="str">
        <f>IF(('Mid1'!I39+'Mid2'!I39+'quiz 1'!I39+'Assignment or Proposal'!I39+'Final exam'!I39+'quiz 2'!I39+'Poster or Presentation'!I39+'practical exam or OSCE'!I39)&lt;&gt;0,'Mid1'!I39+'Mid2'!I39+'quiz 1'!I39+'Assignment or Proposal'!I39+'Final exam'!I39+'quiz 2'!I39+'Poster or Presentation'!I39+'practical exam or OSCE'!I39,"")</f>
        <v/>
      </c>
      <c r="M40" s="57" t="str">
        <f>IF(('Mid1'!J39+'Mid2'!J39+'quiz 1'!J39+'Assignment or Proposal'!J39+'Final exam'!J39+'quiz 2'!J39+'Poster or Presentation'!J39+'practical exam or OSCE'!J39)&lt;&gt;0,'Mid1'!J39+'Mid2'!J39+'quiz 1'!J39+'Assignment or Proposal'!J39+'Final exam'!J39+'quiz 2'!J39+'Poster or Presentation'!J39+'practical exam or OSCE'!J39,"")</f>
        <v/>
      </c>
      <c r="N40" s="5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O40" s="5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P40" s="57" t="str">
        <f>IF(('Mid1'!M39+'Mid2'!M39+'quiz 1'!M39+'Assignment or Proposal'!M39+'Final exam'!M39+'quiz 2'!M39+'Poster or Presentation'!M39+'practical exam or OSCE'!M39)&lt;&gt;0,'Mid1'!M39+'Mid2'!M39+'quiz 1'!M39+'Assignment or Proposal'!M39+'Final exam'!M39+'quiz 2'!M39+'Poster or Presentation'!M39+'practical exam or OSCE'!M39,"")</f>
        <v/>
      </c>
      <c r="Q40" s="136" t="str">
        <f t="shared" si="4"/>
        <v/>
      </c>
    </row>
    <row r="41" spans="1:17" ht="20.25" hidden="1" customHeight="1" x14ac:dyDescent="0.25">
      <c r="A41" s="24">
        <v>30</v>
      </c>
      <c r="B41" s="24" t="str">
        <f>IF(StList!B32&lt;&gt;"",StList!B32,"")</f>
        <v>Pharmaceutical sciences</v>
      </c>
      <c r="C41" s="24" t="str">
        <f>IF(StList!E32&lt;&gt;"",StList!E32,"")</f>
        <v/>
      </c>
      <c r="D41" s="24" t="str">
        <f>IF(StList!F32&lt;&gt;"",StList!F32,"")</f>
        <v/>
      </c>
      <c r="E41" s="57" t="str">
        <f>IF(('Mid1'!B40+'Mid2'!B40+'quiz 1'!B40+'Assignment or Proposal'!B40+'Final exam'!B40+'quiz 2'!B40+'Poster or Presentation'!B40+'practical exam or OSCE'!B40)&lt;&gt;0,'Mid1'!B40+'Mid2'!B40+'quiz 1'!B40+'Assignment or Proposal'!B40+'Final exam'!B40+'quiz 2'!B40+'Poster or Presentation'!B40+'practical exam or OSCE'!B40,"")</f>
        <v/>
      </c>
      <c r="F41" s="57" t="str">
        <f>IF(('Mid1'!C40+'Mid2'!C40+'quiz 1'!C40+'Assignment or Proposal'!C40+'Final exam'!C40+'quiz 2'!C40+'Poster or Presentation'!C40+'practical exam or OSCE'!C40)&lt;&gt;0,'Mid1'!C40+'Mid2'!C40+'quiz 1'!C40+'Assignment or Proposal'!C40+'Final exam'!C40+'quiz 2'!C40+'Poster or Presentation'!C40+'practical exam or OSCE'!C40,"")</f>
        <v/>
      </c>
      <c r="G41" s="57" t="str">
        <f>IF(('Mid1'!D40+'Mid2'!D40+'quiz 1'!D40+'Assignment or Proposal'!D40+'Final exam'!D40+'quiz 2'!D40+'Poster or Presentation'!D40+'practical exam or OSCE'!D40)&lt;&gt;0,'Mid1'!D40+'Mid2'!D40+'quiz 1'!D40+'Assignment or Proposal'!D40+'Final exam'!D40+'quiz 2'!D40+'Poster or Presentation'!D40+'practical exam or OSCE'!D40,"")</f>
        <v/>
      </c>
      <c r="H41" s="57" t="str">
        <f>IF(('Mid1'!E40+'Mid2'!E40+'quiz 1'!E40+'Assignment or Proposal'!E40+'Final exam'!E40+'quiz 2'!E40+'Poster or Presentation'!E40+'practical exam or OSCE'!E40)&lt;&gt;0,'Mid1'!E40+'Mid2'!E40+'quiz 1'!E40+'Assignment or Proposal'!E40+'Final exam'!E40+'quiz 2'!E40+'Poster or Presentation'!E40+'practical exam or OSCE'!E40,"")</f>
        <v/>
      </c>
      <c r="I41" s="57" t="str">
        <f>IF(('Mid1'!F40+'Mid2'!F40+'quiz 1'!F40+'Assignment or Proposal'!F40+'Final exam'!F40+'quiz 2'!F40+'Poster or Presentation'!F40+'practical exam or OSCE'!F40)&lt;&gt;0,'Mid1'!F40+'Mid2'!F40+'quiz 1'!F40+'Assignment or Proposal'!F40+'Final exam'!F40+'quiz 2'!F40+'Poster or Presentation'!F40+'practical exam or OSCE'!F40,"")</f>
        <v/>
      </c>
      <c r="J41" s="57" t="str">
        <f>IF(('Mid1'!G40+'Mid2'!G40+'quiz 1'!G40+'Assignment or Proposal'!G40+'Final exam'!G40+'quiz 2'!G40+'Poster or Presentation'!G40+'practical exam or OSCE'!G40)&lt;&gt;0,'Mid1'!G40+'Mid2'!G40+'quiz 1'!G40+'Assignment or Proposal'!G40+'Final exam'!G40+'quiz 2'!G40+'Poster or Presentation'!G40+'practical exam or OSCE'!G40,"")</f>
        <v/>
      </c>
      <c r="K41" s="57" t="str">
        <f>IF(('Mid1'!H40+'Mid2'!H40+'quiz 1'!H40+'Assignment or Proposal'!H40+'Final exam'!H40+'quiz 2'!H40+'Poster or Presentation'!H40+'practical exam or OSCE'!H40)&lt;&gt;0,'Mid1'!H40+'Mid2'!H40+'quiz 1'!H40+'Assignment or Proposal'!H40+'Final exam'!H40+'quiz 2'!H40+'Poster or Presentation'!H40+'practical exam or OSCE'!H40,"")</f>
        <v/>
      </c>
      <c r="L41" s="57" t="str">
        <f>IF(('Mid1'!I40+'Mid2'!I40+'quiz 1'!I40+'Assignment or Proposal'!I40+'Final exam'!I40+'quiz 2'!I40+'Poster or Presentation'!I40+'practical exam or OSCE'!I40)&lt;&gt;0,'Mid1'!I40+'Mid2'!I40+'quiz 1'!I40+'Assignment or Proposal'!I40+'Final exam'!I40+'quiz 2'!I40+'Poster or Presentation'!I40+'practical exam or OSCE'!I40,"")</f>
        <v/>
      </c>
      <c r="M41" s="57" t="str">
        <f>IF(('Mid1'!J40+'Mid2'!J40+'quiz 1'!J40+'Assignment or Proposal'!J40+'Final exam'!J40+'quiz 2'!J40+'Poster or Presentation'!J40+'practical exam or OSCE'!J40)&lt;&gt;0,'Mid1'!J40+'Mid2'!J40+'quiz 1'!J40+'Assignment or Proposal'!J40+'Final exam'!J40+'quiz 2'!J40+'Poster or Presentation'!J40+'practical exam or OSCE'!J40,"")</f>
        <v/>
      </c>
      <c r="N41" s="5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O41" s="5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P41" s="57" t="str">
        <f>IF(('Mid1'!M40+'Mid2'!M40+'quiz 1'!M40+'Assignment or Proposal'!M40+'Final exam'!M40+'quiz 2'!M40+'Poster or Presentation'!M40+'practical exam or OSCE'!M40)&lt;&gt;0,'Mid1'!M40+'Mid2'!M40+'quiz 1'!M40+'Assignment or Proposal'!M40+'Final exam'!M40+'quiz 2'!M40+'Poster or Presentation'!M40+'practical exam or OSCE'!M40,"")</f>
        <v/>
      </c>
      <c r="Q41" s="136" t="str">
        <f t="shared" si="4"/>
        <v/>
      </c>
    </row>
    <row r="42" spans="1:17" ht="20.25" hidden="1" customHeight="1" x14ac:dyDescent="0.25">
      <c r="A42" s="24">
        <v>31</v>
      </c>
      <c r="B42" s="24" t="str">
        <f>IF(StList!B33&lt;&gt;"",StList!B33,"")</f>
        <v>Pharmaceutical sciences</v>
      </c>
      <c r="C42" s="24" t="str">
        <f>IF(StList!E33&lt;&gt;"",StList!E33,"")</f>
        <v/>
      </c>
      <c r="D42" s="24" t="str">
        <f>IF(StList!F33&lt;&gt;"",StList!F33,"")</f>
        <v/>
      </c>
      <c r="E42" s="57" t="str">
        <f>IF(('Mid1'!B41+'Mid2'!B41+'quiz 1'!B41+'Assignment or Proposal'!B41+'Final exam'!B41+'quiz 2'!B41+'Poster or Presentation'!B41+'practical exam or OSCE'!B41)&lt;&gt;0,'Mid1'!B41+'Mid2'!B41+'quiz 1'!B41+'Assignment or Proposal'!B41+'Final exam'!B41+'quiz 2'!B41+'Poster or Presentation'!B41+'practical exam or OSCE'!B41,"")</f>
        <v/>
      </c>
      <c r="F42" s="57" t="str">
        <f>IF(('Mid1'!C41+'Mid2'!C41+'quiz 1'!C41+'Assignment or Proposal'!C41+'Final exam'!C41+'quiz 2'!C41+'Poster or Presentation'!C41+'practical exam or OSCE'!C41)&lt;&gt;0,'Mid1'!C41+'Mid2'!C41+'quiz 1'!C41+'Assignment or Proposal'!C41+'Final exam'!C41+'quiz 2'!C41+'Poster or Presentation'!C41+'practical exam or OSCE'!C41,"")</f>
        <v/>
      </c>
      <c r="G42" s="57" t="str">
        <f>IF(('Mid1'!D41+'Mid2'!D41+'quiz 1'!D41+'Assignment or Proposal'!D41+'Final exam'!D41+'quiz 2'!D41+'Poster or Presentation'!D41+'practical exam or OSCE'!D41)&lt;&gt;0,'Mid1'!D41+'Mid2'!D41+'quiz 1'!D41+'Assignment or Proposal'!D41+'Final exam'!D41+'quiz 2'!D41+'Poster or Presentation'!D41+'practical exam or OSCE'!D41,"")</f>
        <v/>
      </c>
      <c r="H42" s="57" t="str">
        <f>IF(('Mid1'!E41+'Mid2'!E41+'quiz 1'!E41+'Assignment or Proposal'!E41+'Final exam'!E41+'quiz 2'!E41+'Poster or Presentation'!E41+'practical exam or OSCE'!E41)&lt;&gt;0,'Mid1'!E41+'Mid2'!E41+'quiz 1'!E41+'Assignment or Proposal'!E41+'Final exam'!E41+'quiz 2'!E41+'Poster or Presentation'!E41+'practical exam or OSCE'!E41,"")</f>
        <v/>
      </c>
      <c r="I42" s="57" t="str">
        <f>IF(('Mid1'!F41+'Mid2'!F41+'quiz 1'!F41+'Assignment or Proposal'!F41+'Final exam'!F41+'quiz 2'!F41+'Poster or Presentation'!F41+'practical exam or OSCE'!F41)&lt;&gt;0,'Mid1'!F41+'Mid2'!F41+'quiz 1'!F41+'Assignment or Proposal'!F41+'Final exam'!F41+'quiz 2'!F41+'Poster or Presentation'!F41+'practical exam or OSCE'!F41,"")</f>
        <v/>
      </c>
      <c r="J42" s="57" t="str">
        <f>IF(('Mid1'!G41+'Mid2'!G41+'quiz 1'!G41+'Assignment or Proposal'!G41+'Final exam'!G41+'quiz 2'!G41+'Poster or Presentation'!G41+'practical exam or OSCE'!G41)&lt;&gt;0,'Mid1'!G41+'Mid2'!G41+'quiz 1'!G41+'Assignment or Proposal'!G41+'Final exam'!G41+'quiz 2'!G41+'Poster or Presentation'!G41+'practical exam or OSCE'!G41,"")</f>
        <v/>
      </c>
      <c r="K42" s="57" t="str">
        <f>IF(('Mid1'!H41+'Mid2'!H41+'quiz 1'!H41+'Assignment or Proposal'!H41+'Final exam'!H41+'quiz 2'!H41+'Poster or Presentation'!H41+'practical exam or OSCE'!H41)&lt;&gt;0,'Mid1'!H41+'Mid2'!H41+'quiz 1'!H41+'Assignment or Proposal'!H41+'Final exam'!H41+'quiz 2'!H41+'Poster or Presentation'!H41+'practical exam or OSCE'!H41,"")</f>
        <v/>
      </c>
      <c r="L42" s="57" t="str">
        <f>IF(('Mid1'!I41+'Mid2'!I41+'quiz 1'!I41+'Assignment or Proposal'!I41+'Final exam'!I41+'quiz 2'!I41+'Poster or Presentation'!I41+'practical exam or OSCE'!I41)&lt;&gt;0,'Mid1'!I41+'Mid2'!I41+'quiz 1'!I41+'Assignment or Proposal'!I41+'Final exam'!I41+'quiz 2'!I41+'Poster or Presentation'!I41+'practical exam or OSCE'!I41,"")</f>
        <v/>
      </c>
      <c r="M42" s="57" t="str">
        <f>IF(('Mid1'!J41+'Mid2'!J41+'quiz 1'!J41+'Assignment or Proposal'!J41+'Final exam'!J41+'quiz 2'!J41+'Poster or Presentation'!J41+'practical exam or OSCE'!J41)&lt;&gt;0,'Mid1'!J41+'Mid2'!J41+'quiz 1'!J41+'Assignment or Proposal'!J41+'Final exam'!J41+'quiz 2'!J41+'Poster or Presentation'!J41+'practical exam or OSCE'!J41,"")</f>
        <v/>
      </c>
      <c r="N42" s="5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O42" s="5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P42" s="57" t="str">
        <f>IF(('Mid1'!M41+'Mid2'!M41+'quiz 1'!M41+'Assignment or Proposal'!M41+'Final exam'!M41+'quiz 2'!M41+'Poster or Presentation'!M41+'practical exam or OSCE'!M41)&lt;&gt;0,'Mid1'!M41+'Mid2'!M41+'quiz 1'!M41+'Assignment or Proposal'!M41+'Final exam'!M41+'quiz 2'!M41+'Poster or Presentation'!M41+'practical exam or OSCE'!M41,"")</f>
        <v/>
      </c>
      <c r="Q42" s="136" t="str">
        <f t="shared" si="4"/>
        <v/>
      </c>
    </row>
    <row r="43" spans="1:17" ht="20.25" hidden="1" customHeight="1" x14ac:dyDescent="0.25">
      <c r="A43" s="24">
        <v>32</v>
      </c>
      <c r="B43" s="24" t="str">
        <f>IF(StList!B34&lt;&gt;"",StList!B34,"")</f>
        <v>Pharmaceutical sciences</v>
      </c>
      <c r="C43" s="24" t="str">
        <f>IF(StList!E34&lt;&gt;"",StList!E34,"")</f>
        <v/>
      </c>
      <c r="D43" s="24" t="str">
        <f>IF(StList!F34&lt;&gt;"",StList!F34,"")</f>
        <v/>
      </c>
      <c r="E43" s="57" t="str">
        <f>IF(('Mid1'!B42+'Mid2'!B42+'quiz 1'!B42+'Assignment or Proposal'!B42+'Final exam'!B42+'quiz 2'!B42+'Poster or Presentation'!B42+'practical exam or OSCE'!B42)&lt;&gt;0,'Mid1'!B42+'Mid2'!B42+'quiz 1'!B42+'Assignment or Proposal'!B42+'Final exam'!B42+'quiz 2'!B42+'Poster or Presentation'!B42+'practical exam or OSCE'!B42,"")</f>
        <v/>
      </c>
      <c r="F43" s="57" t="str">
        <f>IF(('Mid1'!C42+'Mid2'!C42+'quiz 1'!C42+'Assignment or Proposal'!C42+'Final exam'!C42+'quiz 2'!C42+'Poster or Presentation'!C42+'practical exam or OSCE'!C42)&lt;&gt;0,'Mid1'!C42+'Mid2'!C42+'quiz 1'!C42+'Assignment or Proposal'!C42+'Final exam'!C42+'quiz 2'!C42+'Poster or Presentation'!C42+'practical exam or OSCE'!C42,"")</f>
        <v/>
      </c>
      <c r="G43" s="57" t="str">
        <f>IF(('Mid1'!D42+'Mid2'!D42+'quiz 1'!D42+'Assignment or Proposal'!D42+'Final exam'!D42+'quiz 2'!D42+'Poster or Presentation'!D42+'practical exam or OSCE'!D42)&lt;&gt;0,'Mid1'!D42+'Mid2'!D42+'quiz 1'!D42+'Assignment or Proposal'!D42+'Final exam'!D42+'quiz 2'!D42+'Poster or Presentation'!D42+'practical exam or OSCE'!D42,"")</f>
        <v/>
      </c>
      <c r="H43" s="57" t="str">
        <f>IF(('Mid1'!E42+'Mid2'!E42+'quiz 1'!E42+'Assignment or Proposal'!E42+'Final exam'!E42+'quiz 2'!E42+'Poster or Presentation'!E42+'practical exam or OSCE'!E42)&lt;&gt;0,'Mid1'!E42+'Mid2'!E42+'quiz 1'!E42+'Assignment or Proposal'!E42+'Final exam'!E42+'quiz 2'!E42+'Poster or Presentation'!E42+'practical exam or OSCE'!E42,"")</f>
        <v/>
      </c>
      <c r="I43" s="57" t="str">
        <f>IF(('Mid1'!F42+'Mid2'!F42+'quiz 1'!F42+'Assignment or Proposal'!F42+'Final exam'!F42+'quiz 2'!F42+'Poster or Presentation'!F42+'practical exam or OSCE'!F42)&lt;&gt;0,'Mid1'!F42+'Mid2'!F42+'quiz 1'!F42+'Assignment or Proposal'!F42+'Final exam'!F42+'quiz 2'!F42+'Poster or Presentation'!F42+'practical exam or OSCE'!F42,"")</f>
        <v/>
      </c>
      <c r="J43" s="57" t="str">
        <f>IF(('Mid1'!G42+'Mid2'!G42+'quiz 1'!G42+'Assignment or Proposal'!G42+'Final exam'!G42+'quiz 2'!G42+'Poster or Presentation'!G42+'practical exam or OSCE'!G42)&lt;&gt;0,'Mid1'!G42+'Mid2'!G42+'quiz 1'!G42+'Assignment or Proposal'!G42+'Final exam'!G42+'quiz 2'!G42+'Poster or Presentation'!G42+'practical exam or OSCE'!G42,"")</f>
        <v/>
      </c>
      <c r="K43" s="57" t="str">
        <f>IF(('Mid1'!H42+'Mid2'!H42+'quiz 1'!H42+'Assignment or Proposal'!H42+'Final exam'!H42+'quiz 2'!H42+'Poster or Presentation'!H42+'practical exam or OSCE'!H42)&lt;&gt;0,'Mid1'!H42+'Mid2'!H42+'quiz 1'!H42+'Assignment or Proposal'!H42+'Final exam'!H42+'quiz 2'!H42+'Poster or Presentation'!H42+'practical exam or OSCE'!H42,"")</f>
        <v/>
      </c>
      <c r="L43" s="57" t="str">
        <f>IF(('Mid1'!I42+'Mid2'!I42+'quiz 1'!I42+'Assignment or Proposal'!I42+'Final exam'!I42+'quiz 2'!I42+'Poster or Presentation'!I42+'practical exam or OSCE'!I42)&lt;&gt;0,'Mid1'!I42+'Mid2'!I42+'quiz 1'!I42+'Assignment or Proposal'!I42+'Final exam'!I42+'quiz 2'!I42+'Poster or Presentation'!I42+'practical exam or OSCE'!I42,"")</f>
        <v/>
      </c>
      <c r="M43" s="57" t="str">
        <f>IF(('Mid1'!J42+'Mid2'!J42+'quiz 1'!J42+'Assignment or Proposal'!J42+'Final exam'!J42+'quiz 2'!J42+'Poster or Presentation'!J42+'practical exam or OSCE'!J42)&lt;&gt;0,'Mid1'!J42+'Mid2'!J42+'quiz 1'!J42+'Assignment or Proposal'!J42+'Final exam'!J42+'quiz 2'!J42+'Poster or Presentation'!J42+'practical exam or OSCE'!J42,"")</f>
        <v/>
      </c>
      <c r="N43" s="5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O43" s="5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P43" s="57" t="str">
        <f>IF(('Mid1'!M42+'Mid2'!M42+'quiz 1'!M42+'Assignment or Proposal'!M42+'Final exam'!M42+'quiz 2'!M42+'Poster or Presentation'!M42+'practical exam or OSCE'!M42)&lt;&gt;0,'Mid1'!M42+'Mid2'!M42+'quiz 1'!M42+'Assignment or Proposal'!M42+'Final exam'!M42+'quiz 2'!M42+'Poster or Presentation'!M42+'practical exam or OSCE'!M42,"")</f>
        <v/>
      </c>
      <c r="Q43" s="136" t="str">
        <f t="shared" si="4"/>
        <v/>
      </c>
    </row>
    <row r="44" spans="1:17" ht="20.25" hidden="1" customHeight="1" x14ac:dyDescent="0.25">
      <c r="A44" s="24">
        <v>33</v>
      </c>
      <c r="B44" s="24" t="str">
        <f>IF(StList!B35&lt;&gt;"",StList!B35,"")</f>
        <v>Pharmaceutical sciences</v>
      </c>
      <c r="C44" s="24" t="str">
        <f>IF(StList!E35&lt;&gt;"",StList!E35,"")</f>
        <v/>
      </c>
      <c r="D44" s="24" t="str">
        <f>IF(StList!F35&lt;&gt;"",StList!F35,"")</f>
        <v/>
      </c>
      <c r="E44" s="57" t="str">
        <f>IF(('Mid1'!B43+'Mid2'!B43+'quiz 1'!B43+'Assignment or Proposal'!B43+'Final exam'!B43+'quiz 2'!B43+'Poster or Presentation'!B43+'practical exam or OSCE'!B43)&lt;&gt;0,'Mid1'!B43+'Mid2'!B43+'quiz 1'!B43+'Assignment or Proposal'!B43+'Final exam'!B43+'quiz 2'!B43+'Poster or Presentation'!B43+'practical exam or OSCE'!B43,"")</f>
        <v/>
      </c>
      <c r="F44" s="57" t="str">
        <f>IF(('Mid1'!C43+'Mid2'!C43+'quiz 1'!C43+'Assignment or Proposal'!C43+'Final exam'!C43+'quiz 2'!C43+'Poster or Presentation'!C43+'practical exam or OSCE'!C43)&lt;&gt;0,'Mid1'!C43+'Mid2'!C43+'quiz 1'!C43+'Assignment or Proposal'!C43+'Final exam'!C43+'quiz 2'!C43+'Poster or Presentation'!C43+'practical exam or OSCE'!C43,"")</f>
        <v/>
      </c>
      <c r="G44" s="57" t="str">
        <f>IF(('Mid1'!D43+'Mid2'!D43+'quiz 1'!D43+'Assignment or Proposal'!D43+'Final exam'!D43+'quiz 2'!D43+'Poster or Presentation'!D43+'practical exam or OSCE'!D43)&lt;&gt;0,'Mid1'!D43+'Mid2'!D43+'quiz 1'!D43+'Assignment or Proposal'!D43+'Final exam'!D43+'quiz 2'!D43+'Poster or Presentation'!D43+'practical exam or OSCE'!D43,"")</f>
        <v/>
      </c>
      <c r="H44" s="57" t="str">
        <f>IF(('Mid1'!E43+'Mid2'!E43+'quiz 1'!E43+'Assignment or Proposal'!E43+'Final exam'!E43+'quiz 2'!E43+'Poster or Presentation'!E43+'practical exam or OSCE'!E43)&lt;&gt;0,'Mid1'!E43+'Mid2'!E43+'quiz 1'!E43+'Assignment or Proposal'!E43+'Final exam'!E43+'quiz 2'!E43+'Poster or Presentation'!E43+'practical exam or OSCE'!E43,"")</f>
        <v/>
      </c>
      <c r="I44" s="57" t="str">
        <f>IF(('Mid1'!F43+'Mid2'!F43+'quiz 1'!F43+'Assignment or Proposal'!F43+'Final exam'!F43+'quiz 2'!F43+'Poster or Presentation'!F43+'practical exam or OSCE'!F43)&lt;&gt;0,'Mid1'!F43+'Mid2'!F43+'quiz 1'!F43+'Assignment or Proposal'!F43+'Final exam'!F43+'quiz 2'!F43+'Poster or Presentation'!F43+'practical exam or OSCE'!F43,"")</f>
        <v/>
      </c>
      <c r="J44" s="57" t="str">
        <f>IF(('Mid1'!G43+'Mid2'!G43+'quiz 1'!G43+'Assignment or Proposal'!G43+'Final exam'!G43+'quiz 2'!G43+'Poster or Presentation'!G43+'practical exam or OSCE'!G43)&lt;&gt;0,'Mid1'!G43+'Mid2'!G43+'quiz 1'!G43+'Assignment or Proposal'!G43+'Final exam'!G43+'quiz 2'!G43+'Poster or Presentation'!G43+'practical exam or OSCE'!G43,"")</f>
        <v/>
      </c>
      <c r="K44" s="57" t="str">
        <f>IF(('Mid1'!H43+'Mid2'!H43+'quiz 1'!H43+'Assignment or Proposal'!H43+'Final exam'!H43+'quiz 2'!H43+'Poster or Presentation'!H43+'practical exam or OSCE'!H43)&lt;&gt;0,'Mid1'!H43+'Mid2'!H43+'quiz 1'!H43+'Assignment or Proposal'!H43+'Final exam'!H43+'quiz 2'!H43+'Poster or Presentation'!H43+'practical exam or OSCE'!H43,"")</f>
        <v/>
      </c>
      <c r="L44" s="57" t="str">
        <f>IF(('Mid1'!I43+'Mid2'!I43+'quiz 1'!I43+'Assignment or Proposal'!I43+'Final exam'!I43+'quiz 2'!I43+'Poster or Presentation'!I43+'practical exam or OSCE'!I43)&lt;&gt;0,'Mid1'!I43+'Mid2'!I43+'quiz 1'!I43+'Assignment or Proposal'!I43+'Final exam'!I43+'quiz 2'!I43+'Poster or Presentation'!I43+'practical exam or OSCE'!I43,"")</f>
        <v/>
      </c>
      <c r="M44" s="57" t="str">
        <f>IF(('Mid1'!J43+'Mid2'!J43+'quiz 1'!J43+'Assignment or Proposal'!J43+'Final exam'!J43+'quiz 2'!J43+'Poster or Presentation'!J43+'practical exam or OSCE'!J43)&lt;&gt;0,'Mid1'!J43+'Mid2'!J43+'quiz 1'!J43+'Assignment or Proposal'!J43+'Final exam'!J43+'quiz 2'!J43+'Poster or Presentation'!J43+'practical exam or OSCE'!J43,"")</f>
        <v/>
      </c>
      <c r="N44" s="5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O44" s="5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P44" s="57" t="str">
        <f>IF(('Mid1'!M43+'Mid2'!M43+'quiz 1'!M43+'Assignment or Proposal'!M43+'Final exam'!M43+'quiz 2'!M43+'Poster or Presentation'!M43+'practical exam or OSCE'!M43)&lt;&gt;0,'Mid1'!M43+'Mid2'!M43+'quiz 1'!M43+'Assignment or Proposal'!M43+'Final exam'!M43+'quiz 2'!M43+'Poster or Presentation'!M43+'practical exam or OSCE'!M43,"")</f>
        <v/>
      </c>
      <c r="Q44" s="136" t="str">
        <f t="shared" si="4"/>
        <v/>
      </c>
    </row>
    <row r="45" spans="1:17" ht="20.25" hidden="1" customHeight="1" x14ac:dyDescent="0.25">
      <c r="A45" s="24">
        <v>34</v>
      </c>
      <c r="B45" s="24" t="str">
        <f>IF(StList!B36&lt;&gt;"",StList!B36,"")</f>
        <v>Pharmaceutical sciences</v>
      </c>
      <c r="C45" s="24" t="str">
        <f>IF(StList!E36&lt;&gt;"",StList!E36,"")</f>
        <v/>
      </c>
      <c r="D45" s="24" t="str">
        <f>IF(StList!F36&lt;&gt;"",StList!F36,"")</f>
        <v/>
      </c>
      <c r="E45" s="57" t="str">
        <f>IF(('Mid1'!B44+'Mid2'!B44+'quiz 1'!B44+'Assignment or Proposal'!B44+'Final exam'!B44+'quiz 2'!B44+'Poster or Presentation'!B44+'practical exam or OSCE'!B44)&lt;&gt;0,'Mid1'!B44+'Mid2'!B44+'quiz 1'!B44+'Assignment or Proposal'!B44+'Final exam'!B44+'quiz 2'!B44+'Poster or Presentation'!B44+'practical exam or OSCE'!B44,"")</f>
        <v/>
      </c>
      <c r="F45" s="57" t="str">
        <f>IF(('Mid1'!C44+'Mid2'!C44+'quiz 1'!C44+'Assignment or Proposal'!C44+'Final exam'!C44+'quiz 2'!C44+'Poster or Presentation'!C44+'practical exam or OSCE'!C44)&lt;&gt;0,'Mid1'!C44+'Mid2'!C44+'quiz 1'!C44+'Assignment or Proposal'!C44+'Final exam'!C44+'quiz 2'!C44+'Poster or Presentation'!C44+'practical exam or OSCE'!C44,"")</f>
        <v/>
      </c>
      <c r="G45" s="57" t="str">
        <f>IF(('Mid1'!D44+'Mid2'!D44+'quiz 1'!D44+'Assignment or Proposal'!D44+'Final exam'!D44+'quiz 2'!D44+'Poster or Presentation'!D44+'practical exam or OSCE'!D44)&lt;&gt;0,'Mid1'!D44+'Mid2'!D44+'quiz 1'!D44+'Assignment or Proposal'!D44+'Final exam'!D44+'quiz 2'!D44+'Poster or Presentation'!D44+'practical exam or OSCE'!D44,"")</f>
        <v/>
      </c>
      <c r="H45" s="57" t="str">
        <f>IF(('Mid1'!E44+'Mid2'!E44+'quiz 1'!E44+'Assignment or Proposal'!E44+'Final exam'!E44+'quiz 2'!E44+'Poster or Presentation'!E44+'practical exam or OSCE'!E44)&lt;&gt;0,'Mid1'!E44+'Mid2'!E44+'quiz 1'!E44+'Assignment or Proposal'!E44+'Final exam'!E44+'quiz 2'!E44+'Poster or Presentation'!E44+'practical exam or OSCE'!E44,"")</f>
        <v/>
      </c>
      <c r="I45" s="57" t="str">
        <f>IF(('Mid1'!F44+'Mid2'!F44+'quiz 1'!F44+'Assignment or Proposal'!F44+'Final exam'!F44+'quiz 2'!F44+'Poster or Presentation'!F44+'practical exam or OSCE'!F44)&lt;&gt;0,'Mid1'!F44+'Mid2'!F44+'quiz 1'!F44+'Assignment or Proposal'!F44+'Final exam'!F44+'quiz 2'!F44+'Poster or Presentation'!F44+'practical exam or OSCE'!F44,"")</f>
        <v/>
      </c>
      <c r="J45" s="57" t="str">
        <f>IF(('Mid1'!G44+'Mid2'!G44+'quiz 1'!G44+'Assignment or Proposal'!G44+'Final exam'!G44+'quiz 2'!G44+'Poster or Presentation'!G44+'practical exam or OSCE'!G44)&lt;&gt;0,'Mid1'!G44+'Mid2'!G44+'quiz 1'!G44+'Assignment or Proposal'!G44+'Final exam'!G44+'quiz 2'!G44+'Poster or Presentation'!G44+'practical exam or OSCE'!G44,"")</f>
        <v/>
      </c>
      <c r="K45" s="57" t="str">
        <f>IF(('Mid1'!H44+'Mid2'!H44+'quiz 1'!H44+'Assignment or Proposal'!H44+'Final exam'!H44+'quiz 2'!H44+'Poster or Presentation'!H44+'practical exam or OSCE'!H44)&lt;&gt;0,'Mid1'!H44+'Mid2'!H44+'quiz 1'!H44+'Assignment or Proposal'!H44+'Final exam'!H44+'quiz 2'!H44+'Poster or Presentation'!H44+'practical exam or OSCE'!H44,"")</f>
        <v/>
      </c>
      <c r="L45" s="57" t="str">
        <f>IF(('Mid1'!I44+'Mid2'!I44+'quiz 1'!I44+'Assignment or Proposal'!I44+'Final exam'!I44+'quiz 2'!I44+'Poster or Presentation'!I44+'practical exam or OSCE'!I44)&lt;&gt;0,'Mid1'!I44+'Mid2'!I44+'quiz 1'!I44+'Assignment or Proposal'!I44+'Final exam'!I44+'quiz 2'!I44+'Poster or Presentation'!I44+'practical exam or OSCE'!I44,"")</f>
        <v/>
      </c>
      <c r="M45" s="57" t="str">
        <f>IF(('Mid1'!J44+'Mid2'!J44+'quiz 1'!J44+'Assignment or Proposal'!J44+'Final exam'!J44+'quiz 2'!J44+'Poster or Presentation'!J44+'practical exam or OSCE'!J44)&lt;&gt;0,'Mid1'!J44+'Mid2'!J44+'quiz 1'!J44+'Assignment or Proposal'!J44+'Final exam'!J44+'quiz 2'!J44+'Poster or Presentation'!J44+'practical exam or OSCE'!J44,"")</f>
        <v/>
      </c>
      <c r="N45" s="5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O45" s="5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P45" s="57" t="str">
        <f>IF(('Mid1'!M44+'Mid2'!M44+'quiz 1'!M44+'Assignment or Proposal'!M44+'Final exam'!M44+'quiz 2'!M44+'Poster or Presentation'!M44+'practical exam or OSCE'!M44)&lt;&gt;0,'Mid1'!M44+'Mid2'!M44+'quiz 1'!M44+'Assignment or Proposal'!M44+'Final exam'!M44+'quiz 2'!M44+'Poster or Presentation'!M44+'practical exam or OSCE'!M44,"")</f>
        <v/>
      </c>
      <c r="Q45" s="136" t="str">
        <f t="shared" si="4"/>
        <v/>
      </c>
    </row>
    <row r="46" spans="1:17" ht="20.25" hidden="1" customHeight="1" x14ac:dyDescent="0.25">
      <c r="A46" s="24">
        <v>35</v>
      </c>
      <c r="B46" s="24" t="str">
        <f>IF(StList!B37&lt;&gt;"",StList!B37,"")</f>
        <v>Pharmaceutical sciences</v>
      </c>
      <c r="C46" s="24" t="str">
        <f>IF(StList!E37&lt;&gt;"",StList!E37,"")</f>
        <v/>
      </c>
      <c r="D46" s="24" t="str">
        <f>IF(StList!F37&lt;&gt;"",StList!F37,"")</f>
        <v/>
      </c>
      <c r="E46" s="57" t="str">
        <f>IF(('Mid1'!B45+'Mid2'!B45+'quiz 1'!B45+'Assignment or Proposal'!B45+'Final exam'!B45+'quiz 2'!B45+'Poster or Presentation'!B45+'practical exam or OSCE'!B45)&lt;&gt;0,'Mid1'!B45+'Mid2'!B45+'quiz 1'!B45+'Assignment or Proposal'!B45+'Final exam'!B45+'quiz 2'!B45+'Poster or Presentation'!B45+'practical exam or OSCE'!B45,"")</f>
        <v/>
      </c>
      <c r="F46" s="57" t="str">
        <f>IF(('Mid1'!C45+'Mid2'!C45+'quiz 1'!C45+'Assignment or Proposal'!C45+'Final exam'!C45+'quiz 2'!C45+'Poster or Presentation'!C45+'practical exam or OSCE'!C45)&lt;&gt;0,'Mid1'!C45+'Mid2'!C45+'quiz 1'!C45+'Assignment or Proposal'!C45+'Final exam'!C45+'quiz 2'!C45+'Poster or Presentation'!C45+'practical exam or OSCE'!C45,"")</f>
        <v/>
      </c>
      <c r="G46" s="57" t="str">
        <f>IF(('Mid1'!D45+'Mid2'!D45+'quiz 1'!D45+'Assignment or Proposal'!D45+'Final exam'!D45+'quiz 2'!D45+'Poster or Presentation'!D45+'practical exam or OSCE'!D45)&lt;&gt;0,'Mid1'!D45+'Mid2'!D45+'quiz 1'!D45+'Assignment or Proposal'!D45+'Final exam'!D45+'quiz 2'!D45+'Poster or Presentation'!D45+'practical exam or OSCE'!D45,"")</f>
        <v/>
      </c>
      <c r="H46" s="57" t="str">
        <f>IF(('Mid1'!E45+'Mid2'!E45+'quiz 1'!E45+'Assignment or Proposal'!E45+'Final exam'!E45+'quiz 2'!E45+'Poster or Presentation'!E45+'practical exam or OSCE'!E45)&lt;&gt;0,'Mid1'!E45+'Mid2'!E45+'quiz 1'!E45+'Assignment or Proposal'!E45+'Final exam'!E45+'quiz 2'!E45+'Poster or Presentation'!E45+'practical exam or OSCE'!E45,"")</f>
        <v/>
      </c>
      <c r="I46" s="57" t="str">
        <f>IF(('Mid1'!F45+'Mid2'!F45+'quiz 1'!F45+'Assignment or Proposal'!F45+'Final exam'!F45+'quiz 2'!F45+'Poster or Presentation'!F45+'practical exam or OSCE'!F45)&lt;&gt;0,'Mid1'!F45+'Mid2'!F45+'quiz 1'!F45+'Assignment or Proposal'!F45+'Final exam'!F45+'quiz 2'!F45+'Poster or Presentation'!F45+'practical exam or OSCE'!F45,"")</f>
        <v/>
      </c>
      <c r="J46" s="57" t="str">
        <f>IF(('Mid1'!G45+'Mid2'!G45+'quiz 1'!G45+'Assignment or Proposal'!G45+'Final exam'!G45+'quiz 2'!G45+'Poster or Presentation'!G45+'practical exam or OSCE'!G45)&lt;&gt;0,'Mid1'!G45+'Mid2'!G45+'quiz 1'!G45+'Assignment or Proposal'!G45+'Final exam'!G45+'quiz 2'!G45+'Poster or Presentation'!G45+'practical exam or OSCE'!G45,"")</f>
        <v/>
      </c>
      <c r="K46" s="57" t="str">
        <f>IF(('Mid1'!H45+'Mid2'!H45+'quiz 1'!H45+'Assignment or Proposal'!H45+'Final exam'!H45+'quiz 2'!H45+'Poster or Presentation'!H45+'practical exam or OSCE'!H45)&lt;&gt;0,'Mid1'!H45+'Mid2'!H45+'quiz 1'!H45+'Assignment or Proposal'!H45+'Final exam'!H45+'quiz 2'!H45+'Poster or Presentation'!H45+'practical exam or OSCE'!H45,"")</f>
        <v/>
      </c>
      <c r="L46" s="57" t="str">
        <f>IF(('Mid1'!I45+'Mid2'!I45+'quiz 1'!I45+'Assignment or Proposal'!I45+'Final exam'!I45+'quiz 2'!I45+'Poster or Presentation'!I45+'practical exam or OSCE'!I45)&lt;&gt;0,'Mid1'!I45+'Mid2'!I45+'quiz 1'!I45+'Assignment or Proposal'!I45+'Final exam'!I45+'quiz 2'!I45+'Poster or Presentation'!I45+'practical exam or OSCE'!I45,"")</f>
        <v/>
      </c>
      <c r="M46" s="57" t="str">
        <f>IF(('Mid1'!J45+'Mid2'!J45+'quiz 1'!J45+'Assignment or Proposal'!J45+'Final exam'!J45+'quiz 2'!J45+'Poster or Presentation'!J45+'practical exam or OSCE'!J45)&lt;&gt;0,'Mid1'!J45+'Mid2'!J45+'quiz 1'!J45+'Assignment or Proposal'!J45+'Final exam'!J45+'quiz 2'!J45+'Poster or Presentation'!J45+'practical exam or OSCE'!J45,"")</f>
        <v/>
      </c>
      <c r="N46" s="5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O46" s="5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P46" s="57" t="str">
        <f>IF(('Mid1'!M45+'Mid2'!M45+'quiz 1'!M45+'Assignment or Proposal'!M45+'Final exam'!M45+'quiz 2'!M45+'Poster or Presentation'!M45+'practical exam or OSCE'!M45)&lt;&gt;0,'Mid1'!M45+'Mid2'!M45+'quiz 1'!M45+'Assignment or Proposal'!M45+'Final exam'!M45+'quiz 2'!M45+'Poster or Presentation'!M45+'practical exam or OSCE'!M45,"")</f>
        <v/>
      </c>
      <c r="Q46" s="136" t="str">
        <f t="shared" si="4"/>
        <v/>
      </c>
    </row>
    <row r="47" spans="1:17" ht="20.25" hidden="1" customHeight="1" x14ac:dyDescent="0.25">
      <c r="A47" s="24">
        <v>36</v>
      </c>
      <c r="B47" s="24" t="str">
        <f>IF(StList!B38&lt;&gt;"",StList!B38,"")</f>
        <v>Pharmaceutical sciences</v>
      </c>
      <c r="C47" s="24" t="str">
        <f>IF(StList!E38&lt;&gt;"",StList!E38,"")</f>
        <v/>
      </c>
      <c r="D47" s="24" t="str">
        <f>IF(StList!F38&lt;&gt;"",StList!F38,"")</f>
        <v/>
      </c>
      <c r="E47" s="57" t="str">
        <f>IF(('Mid1'!B46+'Mid2'!B46+'quiz 1'!B46+'Assignment or Proposal'!B46+'Final exam'!B46+'quiz 2'!B46+'Poster or Presentation'!B46+'practical exam or OSCE'!B46)&lt;&gt;0,'Mid1'!B46+'Mid2'!B46+'quiz 1'!B46+'Assignment or Proposal'!B46+'Final exam'!B46+'quiz 2'!B46+'Poster or Presentation'!B46+'practical exam or OSCE'!B46,"")</f>
        <v/>
      </c>
      <c r="F47" s="57" t="str">
        <f>IF(('Mid1'!C46+'Mid2'!C46+'quiz 1'!C46+'Assignment or Proposal'!C46+'Final exam'!C46+'quiz 2'!C46+'Poster or Presentation'!C46+'practical exam or OSCE'!C46)&lt;&gt;0,'Mid1'!C46+'Mid2'!C46+'quiz 1'!C46+'Assignment or Proposal'!C46+'Final exam'!C46+'quiz 2'!C46+'Poster or Presentation'!C46+'practical exam or OSCE'!C46,"")</f>
        <v/>
      </c>
      <c r="G47" s="57" t="str">
        <f>IF(('Mid1'!D46+'Mid2'!D46+'quiz 1'!D46+'Assignment or Proposal'!D46+'Final exam'!D46+'quiz 2'!D46+'Poster or Presentation'!D46+'practical exam or OSCE'!D46)&lt;&gt;0,'Mid1'!D46+'Mid2'!D46+'quiz 1'!D46+'Assignment or Proposal'!D46+'Final exam'!D46+'quiz 2'!D46+'Poster or Presentation'!D46+'practical exam or OSCE'!D46,"")</f>
        <v/>
      </c>
      <c r="H47" s="57" t="str">
        <f>IF(('Mid1'!E46+'Mid2'!E46+'quiz 1'!E46+'Assignment or Proposal'!E46+'Final exam'!E46+'quiz 2'!E46+'Poster or Presentation'!E46+'practical exam or OSCE'!E46)&lt;&gt;0,'Mid1'!E46+'Mid2'!E46+'quiz 1'!E46+'Assignment or Proposal'!E46+'Final exam'!E46+'quiz 2'!E46+'Poster or Presentation'!E46+'practical exam or OSCE'!E46,"")</f>
        <v/>
      </c>
      <c r="I47" s="57" t="str">
        <f>IF(('Mid1'!F46+'Mid2'!F46+'quiz 1'!F46+'Assignment or Proposal'!F46+'Final exam'!F46+'quiz 2'!F46+'Poster or Presentation'!F46+'practical exam or OSCE'!F46)&lt;&gt;0,'Mid1'!F46+'Mid2'!F46+'quiz 1'!F46+'Assignment or Proposal'!F46+'Final exam'!F46+'quiz 2'!F46+'Poster or Presentation'!F46+'practical exam or OSCE'!F46,"")</f>
        <v/>
      </c>
      <c r="J47" s="57" t="str">
        <f>IF(('Mid1'!G46+'Mid2'!G46+'quiz 1'!G46+'Assignment or Proposal'!G46+'Final exam'!G46+'quiz 2'!G46+'Poster or Presentation'!G46+'practical exam or OSCE'!G46)&lt;&gt;0,'Mid1'!G46+'Mid2'!G46+'quiz 1'!G46+'Assignment or Proposal'!G46+'Final exam'!G46+'quiz 2'!G46+'Poster or Presentation'!G46+'practical exam or OSCE'!G46,"")</f>
        <v/>
      </c>
      <c r="K47" s="57" t="str">
        <f>IF(('Mid1'!H46+'Mid2'!H46+'quiz 1'!H46+'Assignment or Proposal'!H46+'Final exam'!H46+'quiz 2'!H46+'Poster or Presentation'!H46+'practical exam or OSCE'!H46)&lt;&gt;0,'Mid1'!H46+'Mid2'!H46+'quiz 1'!H46+'Assignment or Proposal'!H46+'Final exam'!H46+'quiz 2'!H46+'Poster or Presentation'!H46+'practical exam or OSCE'!H46,"")</f>
        <v/>
      </c>
      <c r="L47" s="57" t="str">
        <f>IF(('Mid1'!I46+'Mid2'!I46+'quiz 1'!I46+'Assignment or Proposal'!I46+'Final exam'!I46+'quiz 2'!I46+'Poster or Presentation'!I46+'practical exam or OSCE'!I46)&lt;&gt;0,'Mid1'!I46+'Mid2'!I46+'quiz 1'!I46+'Assignment or Proposal'!I46+'Final exam'!I46+'quiz 2'!I46+'Poster or Presentation'!I46+'practical exam or OSCE'!I46,"")</f>
        <v/>
      </c>
      <c r="M47" s="57" t="str">
        <f>IF(('Mid1'!J46+'Mid2'!J46+'quiz 1'!J46+'Assignment or Proposal'!J46+'Final exam'!J46+'quiz 2'!J46+'Poster or Presentation'!J46+'practical exam or OSCE'!J46)&lt;&gt;0,'Mid1'!J46+'Mid2'!J46+'quiz 1'!J46+'Assignment or Proposal'!J46+'Final exam'!J46+'quiz 2'!J46+'Poster or Presentation'!J46+'practical exam or OSCE'!J46,"")</f>
        <v/>
      </c>
      <c r="N47" s="5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O47" s="5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P47" s="57" t="str">
        <f>IF(('Mid1'!M46+'Mid2'!M46+'quiz 1'!M46+'Assignment or Proposal'!M46+'Final exam'!M46+'quiz 2'!M46+'Poster or Presentation'!M46+'practical exam or OSCE'!M46)&lt;&gt;0,'Mid1'!M46+'Mid2'!M46+'quiz 1'!M46+'Assignment or Proposal'!M46+'Final exam'!M46+'quiz 2'!M46+'Poster or Presentation'!M46+'practical exam or OSCE'!M46,"")</f>
        <v/>
      </c>
      <c r="Q47" s="136" t="str">
        <f t="shared" si="4"/>
        <v/>
      </c>
    </row>
    <row r="48" spans="1:17" ht="20.25" hidden="1" customHeight="1" x14ac:dyDescent="0.25">
      <c r="A48" s="24">
        <v>37</v>
      </c>
      <c r="B48" s="24" t="str">
        <f>IF(StList!B39&lt;&gt;"",StList!B39,"")</f>
        <v>Pharmaceutical sciences</v>
      </c>
      <c r="C48" s="24" t="str">
        <f>IF(StList!E39&lt;&gt;"",StList!E39,"")</f>
        <v/>
      </c>
      <c r="D48" s="24" t="str">
        <f>IF(StList!F39&lt;&gt;"",StList!F39,"")</f>
        <v/>
      </c>
      <c r="E48" s="57" t="str">
        <f>IF(('Mid1'!B47+'Mid2'!B47+'quiz 1'!B47+'Assignment or Proposal'!B47+'Final exam'!B47+'quiz 2'!B47+'Poster or Presentation'!B47+'practical exam or OSCE'!B47)&lt;&gt;0,'Mid1'!B47+'Mid2'!B47+'quiz 1'!B47+'Assignment or Proposal'!B47+'Final exam'!B47+'quiz 2'!B47+'Poster or Presentation'!B47+'practical exam or OSCE'!B47,"")</f>
        <v/>
      </c>
      <c r="F48" s="57" t="str">
        <f>IF(('Mid1'!C47+'Mid2'!C47+'quiz 1'!C47+'Assignment or Proposal'!C47+'Final exam'!C47+'quiz 2'!C47+'Poster or Presentation'!C47+'practical exam or OSCE'!C47)&lt;&gt;0,'Mid1'!C47+'Mid2'!C47+'quiz 1'!C47+'Assignment or Proposal'!C47+'Final exam'!C47+'quiz 2'!C47+'Poster or Presentation'!C47+'practical exam or OSCE'!C47,"")</f>
        <v/>
      </c>
      <c r="G48" s="57" t="str">
        <f>IF(('Mid1'!D47+'Mid2'!D47+'quiz 1'!D47+'Assignment or Proposal'!D47+'Final exam'!D47+'quiz 2'!D47+'Poster or Presentation'!D47+'practical exam or OSCE'!D47)&lt;&gt;0,'Mid1'!D47+'Mid2'!D47+'quiz 1'!D47+'Assignment or Proposal'!D47+'Final exam'!D47+'quiz 2'!D47+'Poster or Presentation'!D47+'practical exam or OSCE'!D47,"")</f>
        <v/>
      </c>
      <c r="H48" s="57" t="str">
        <f>IF(('Mid1'!E47+'Mid2'!E47+'quiz 1'!E47+'Assignment or Proposal'!E47+'Final exam'!E47+'quiz 2'!E47+'Poster or Presentation'!E47+'practical exam or OSCE'!E47)&lt;&gt;0,'Mid1'!E47+'Mid2'!E47+'quiz 1'!E47+'Assignment or Proposal'!E47+'Final exam'!E47+'quiz 2'!E47+'Poster or Presentation'!E47+'practical exam or OSCE'!E47,"")</f>
        <v/>
      </c>
      <c r="I48" s="57" t="str">
        <f>IF(('Mid1'!F47+'Mid2'!F47+'quiz 1'!F47+'Assignment or Proposal'!F47+'Final exam'!F47+'quiz 2'!F47+'Poster or Presentation'!F47+'practical exam or OSCE'!F47)&lt;&gt;0,'Mid1'!F47+'Mid2'!F47+'quiz 1'!F47+'Assignment or Proposal'!F47+'Final exam'!F47+'quiz 2'!F47+'Poster or Presentation'!F47+'practical exam or OSCE'!F47,"")</f>
        <v/>
      </c>
      <c r="J48" s="57" t="str">
        <f>IF(('Mid1'!G47+'Mid2'!G47+'quiz 1'!G47+'Assignment or Proposal'!G47+'Final exam'!G47+'quiz 2'!G47+'Poster or Presentation'!G47+'practical exam or OSCE'!G47)&lt;&gt;0,'Mid1'!G47+'Mid2'!G47+'quiz 1'!G47+'Assignment or Proposal'!G47+'Final exam'!G47+'quiz 2'!G47+'Poster or Presentation'!G47+'practical exam or OSCE'!G47,"")</f>
        <v/>
      </c>
      <c r="K48" s="57" t="str">
        <f>IF(('Mid1'!H47+'Mid2'!H47+'quiz 1'!H47+'Assignment or Proposal'!H47+'Final exam'!H47+'quiz 2'!H47+'Poster or Presentation'!H47+'practical exam or OSCE'!H47)&lt;&gt;0,'Mid1'!H47+'Mid2'!H47+'quiz 1'!H47+'Assignment or Proposal'!H47+'Final exam'!H47+'quiz 2'!H47+'Poster or Presentation'!H47+'practical exam or OSCE'!H47,"")</f>
        <v/>
      </c>
      <c r="L48" s="57" t="str">
        <f>IF(('Mid1'!I47+'Mid2'!I47+'quiz 1'!I47+'Assignment or Proposal'!I47+'Final exam'!I47+'quiz 2'!I47+'Poster or Presentation'!I47+'practical exam or OSCE'!I47)&lt;&gt;0,'Mid1'!I47+'Mid2'!I47+'quiz 1'!I47+'Assignment or Proposal'!I47+'Final exam'!I47+'quiz 2'!I47+'Poster or Presentation'!I47+'practical exam or OSCE'!I47,"")</f>
        <v/>
      </c>
      <c r="M48" s="57" t="str">
        <f>IF(('Mid1'!J47+'Mid2'!J47+'quiz 1'!J47+'Assignment or Proposal'!J47+'Final exam'!J47+'quiz 2'!J47+'Poster or Presentation'!J47+'practical exam or OSCE'!J47)&lt;&gt;0,'Mid1'!J47+'Mid2'!J47+'quiz 1'!J47+'Assignment or Proposal'!J47+'Final exam'!J47+'quiz 2'!J47+'Poster or Presentation'!J47+'practical exam or OSCE'!J47,"")</f>
        <v/>
      </c>
      <c r="N48" s="5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O48" s="5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P48" s="57" t="str">
        <f>IF(('Mid1'!M47+'Mid2'!M47+'quiz 1'!M47+'Assignment or Proposal'!M47+'Final exam'!M47+'quiz 2'!M47+'Poster or Presentation'!M47+'practical exam or OSCE'!M47)&lt;&gt;0,'Mid1'!M47+'Mid2'!M47+'quiz 1'!M47+'Assignment or Proposal'!M47+'Final exam'!M47+'quiz 2'!M47+'Poster or Presentation'!M47+'practical exam or OSCE'!M47,"")</f>
        <v/>
      </c>
      <c r="Q48" s="136" t="str">
        <f t="shared" si="4"/>
        <v/>
      </c>
    </row>
    <row r="49" spans="1:17" ht="20.25" hidden="1" customHeight="1" x14ac:dyDescent="0.25">
      <c r="A49" s="24">
        <v>38</v>
      </c>
      <c r="B49" s="24" t="str">
        <f>IF(StList!B40&lt;&gt;"",StList!B40,"")</f>
        <v>Pharmaceutical sciences</v>
      </c>
      <c r="C49" s="24" t="str">
        <f>IF(StList!E40&lt;&gt;"",StList!E40,"")</f>
        <v/>
      </c>
      <c r="D49" s="24" t="str">
        <f>IF(StList!F40&lt;&gt;"",StList!F40,"")</f>
        <v/>
      </c>
      <c r="E49" s="57" t="str">
        <f>IF(('Mid1'!B48+'Mid2'!B48+'quiz 1'!B48+'Assignment or Proposal'!B48+'Final exam'!B48+'quiz 2'!B48+'Poster or Presentation'!B48+'practical exam or OSCE'!B48)&lt;&gt;0,'Mid1'!B48+'Mid2'!B48+'quiz 1'!B48+'Assignment or Proposal'!B48+'Final exam'!B48+'quiz 2'!B48+'Poster or Presentation'!B48+'practical exam or OSCE'!B48,"")</f>
        <v/>
      </c>
      <c r="F49" s="57" t="str">
        <f>IF(('Mid1'!C48+'Mid2'!C48+'quiz 1'!C48+'Assignment or Proposal'!C48+'Final exam'!C48+'quiz 2'!C48+'Poster or Presentation'!C48+'practical exam or OSCE'!C48)&lt;&gt;0,'Mid1'!C48+'Mid2'!C48+'quiz 1'!C48+'Assignment or Proposal'!C48+'Final exam'!C48+'quiz 2'!C48+'Poster or Presentation'!C48+'practical exam or OSCE'!C48,"")</f>
        <v/>
      </c>
      <c r="G49" s="57" t="str">
        <f>IF(('Mid1'!D48+'Mid2'!D48+'quiz 1'!D48+'Assignment or Proposal'!D48+'Final exam'!D48+'quiz 2'!D48+'Poster or Presentation'!D48+'practical exam or OSCE'!D48)&lt;&gt;0,'Mid1'!D48+'Mid2'!D48+'quiz 1'!D48+'Assignment or Proposal'!D48+'Final exam'!D48+'quiz 2'!D48+'Poster or Presentation'!D48+'practical exam or OSCE'!D48,"")</f>
        <v/>
      </c>
      <c r="H49" s="57" t="str">
        <f>IF(('Mid1'!E48+'Mid2'!E48+'quiz 1'!E48+'Assignment or Proposal'!E48+'Final exam'!E48+'quiz 2'!E48+'Poster or Presentation'!E48+'practical exam or OSCE'!E48)&lt;&gt;0,'Mid1'!E48+'Mid2'!E48+'quiz 1'!E48+'Assignment or Proposal'!E48+'Final exam'!E48+'quiz 2'!E48+'Poster or Presentation'!E48+'practical exam or OSCE'!E48,"")</f>
        <v/>
      </c>
      <c r="I49" s="57" t="str">
        <f>IF(('Mid1'!F48+'Mid2'!F48+'quiz 1'!F48+'Assignment or Proposal'!F48+'Final exam'!F48+'quiz 2'!F48+'Poster or Presentation'!F48+'practical exam or OSCE'!F48)&lt;&gt;0,'Mid1'!F48+'Mid2'!F48+'quiz 1'!F48+'Assignment or Proposal'!F48+'Final exam'!F48+'quiz 2'!F48+'Poster or Presentation'!F48+'practical exam or OSCE'!F48,"")</f>
        <v/>
      </c>
      <c r="J49" s="57" t="str">
        <f>IF(('Mid1'!G48+'Mid2'!G48+'quiz 1'!G48+'Assignment or Proposal'!G48+'Final exam'!G48+'quiz 2'!G48+'Poster or Presentation'!G48+'practical exam or OSCE'!G48)&lt;&gt;0,'Mid1'!G48+'Mid2'!G48+'quiz 1'!G48+'Assignment or Proposal'!G48+'Final exam'!G48+'quiz 2'!G48+'Poster or Presentation'!G48+'practical exam or OSCE'!G48,"")</f>
        <v/>
      </c>
      <c r="K49" s="57" t="str">
        <f>IF(('Mid1'!H48+'Mid2'!H48+'quiz 1'!H48+'Assignment or Proposal'!H48+'Final exam'!H48+'quiz 2'!H48+'Poster or Presentation'!H48+'practical exam or OSCE'!H48)&lt;&gt;0,'Mid1'!H48+'Mid2'!H48+'quiz 1'!H48+'Assignment or Proposal'!H48+'Final exam'!H48+'quiz 2'!H48+'Poster or Presentation'!H48+'practical exam or OSCE'!H48,"")</f>
        <v/>
      </c>
      <c r="L49" s="57" t="str">
        <f>IF(('Mid1'!I48+'Mid2'!I48+'quiz 1'!I48+'Assignment or Proposal'!I48+'Final exam'!I48+'quiz 2'!I48+'Poster or Presentation'!I48+'practical exam or OSCE'!I48)&lt;&gt;0,'Mid1'!I48+'Mid2'!I48+'quiz 1'!I48+'Assignment or Proposal'!I48+'Final exam'!I48+'quiz 2'!I48+'Poster or Presentation'!I48+'practical exam or OSCE'!I48,"")</f>
        <v/>
      </c>
      <c r="M49" s="57" t="str">
        <f>IF(('Mid1'!J48+'Mid2'!J48+'quiz 1'!J48+'Assignment or Proposal'!J48+'Final exam'!J48+'quiz 2'!J48+'Poster or Presentation'!J48+'practical exam or OSCE'!J48)&lt;&gt;0,'Mid1'!J48+'Mid2'!J48+'quiz 1'!J48+'Assignment or Proposal'!J48+'Final exam'!J48+'quiz 2'!J48+'Poster or Presentation'!J48+'practical exam or OSCE'!J48,"")</f>
        <v/>
      </c>
      <c r="N49" s="5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O49" s="5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P49" s="57" t="str">
        <f>IF(('Mid1'!M48+'Mid2'!M48+'quiz 1'!M48+'Assignment or Proposal'!M48+'Final exam'!M48+'quiz 2'!M48+'Poster or Presentation'!M48+'practical exam or OSCE'!M48)&lt;&gt;0,'Mid1'!M48+'Mid2'!M48+'quiz 1'!M48+'Assignment or Proposal'!M48+'Final exam'!M48+'quiz 2'!M48+'Poster or Presentation'!M48+'practical exam or OSCE'!M48,"")</f>
        <v/>
      </c>
      <c r="Q49" s="136" t="str">
        <f t="shared" si="4"/>
        <v/>
      </c>
    </row>
    <row r="50" spans="1:17" ht="20.25" hidden="1" customHeight="1" x14ac:dyDescent="0.25">
      <c r="A50" s="24">
        <v>39</v>
      </c>
      <c r="B50" s="24" t="str">
        <f>IF(StList!B41&lt;&gt;"",StList!B41,"")</f>
        <v>Pharmaceutical sciences</v>
      </c>
      <c r="C50" s="24" t="str">
        <f>IF(StList!E41&lt;&gt;"",StList!E41,"")</f>
        <v/>
      </c>
      <c r="D50" s="24" t="str">
        <f>IF(StList!F41&lt;&gt;"",StList!F41,"")</f>
        <v/>
      </c>
      <c r="E50" s="57" t="str">
        <f>IF(('Mid1'!B49+'Mid2'!B49+'quiz 1'!B49+'Assignment or Proposal'!B49+'Final exam'!B49+'quiz 2'!B49+'Poster or Presentation'!B49+'practical exam or OSCE'!B49)&lt;&gt;0,'Mid1'!B49+'Mid2'!B49+'quiz 1'!B49+'Assignment or Proposal'!B49+'Final exam'!B49+'quiz 2'!B49+'Poster or Presentation'!B49+'practical exam or OSCE'!B49,"")</f>
        <v/>
      </c>
      <c r="F50" s="57" t="str">
        <f>IF(('Mid1'!C49+'Mid2'!C49+'quiz 1'!C49+'Assignment or Proposal'!C49+'Final exam'!C49+'quiz 2'!C49+'Poster or Presentation'!C49+'practical exam or OSCE'!C49)&lt;&gt;0,'Mid1'!C49+'Mid2'!C49+'quiz 1'!C49+'Assignment or Proposal'!C49+'Final exam'!C49+'quiz 2'!C49+'Poster or Presentation'!C49+'practical exam or OSCE'!C49,"")</f>
        <v/>
      </c>
      <c r="G50" s="57" t="str">
        <f>IF(('Mid1'!D49+'Mid2'!D49+'quiz 1'!D49+'Assignment or Proposal'!D49+'Final exam'!D49+'quiz 2'!D49+'Poster or Presentation'!D49+'practical exam or OSCE'!D49)&lt;&gt;0,'Mid1'!D49+'Mid2'!D49+'quiz 1'!D49+'Assignment or Proposal'!D49+'Final exam'!D49+'quiz 2'!D49+'Poster or Presentation'!D49+'practical exam or OSCE'!D49,"")</f>
        <v/>
      </c>
      <c r="H50" s="57" t="str">
        <f>IF(('Mid1'!E49+'Mid2'!E49+'quiz 1'!E49+'Assignment or Proposal'!E49+'Final exam'!E49+'quiz 2'!E49+'Poster or Presentation'!E49+'practical exam or OSCE'!E49)&lt;&gt;0,'Mid1'!E49+'Mid2'!E49+'quiz 1'!E49+'Assignment or Proposal'!E49+'Final exam'!E49+'quiz 2'!E49+'Poster or Presentation'!E49+'practical exam or OSCE'!E49,"")</f>
        <v/>
      </c>
      <c r="I50" s="57" t="str">
        <f>IF(('Mid1'!F49+'Mid2'!F49+'quiz 1'!F49+'Assignment or Proposal'!F49+'Final exam'!F49+'quiz 2'!F49+'Poster or Presentation'!F49+'practical exam or OSCE'!F49)&lt;&gt;0,'Mid1'!F49+'Mid2'!F49+'quiz 1'!F49+'Assignment or Proposal'!F49+'Final exam'!F49+'quiz 2'!F49+'Poster or Presentation'!F49+'practical exam or OSCE'!F49,"")</f>
        <v/>
      </c>
      <c r="J50" s="57" t="str">
        <f>IF(('Mid1'!G49+'Mid2'!G49+'quiz 1'!G49+'Assignment or Proposal'!G49+'Final exam'!G49+'quiz 2'!G49+'Poster or Presentation'!G49+'practical exam or OSCE'!G49)&lt;&gt;0,'Mid1'!G49+'Mid2'!G49+'quiz 1'!G49+'Assignment or Proposal'!G49+'Final exam'!G49+'quiz 2'!G49+'Poster or Presentation'!G49+'practical exam or OSCE'!G49,"")</f>
        <v/>
      </c>
      <c r="K50" s="57" t="str">
        <f>IF(('Mid1'!H49+'Mid2'!H49+'quiz 1'!H49+'Assignment or Proposal'!H49+'Final exam'!H49+'quiz 2'!H49+'Poster or Presentation'!H49+'practical exam or OSCE'!H49)&lt;&gt;0,'Mid1'!H49+'Mid2'!H49+'quiz 1'!H49+'Assignment or Proposal'!H49+'Final exam'!H49+'quiz 2'!H49+'Poster or Presentation'!H49+'practical exam or OSCE'!H49,"")</f>
        <v/>
      </c>
      <c r="L50" s="57" t="str">
        <f>IF(('Mid1'!I49+'Mid2'!I49+'quiz 1'!I49+'Assignment or Proposal'!I49+'Final exam'!I49+'quiz 2'!I49+'Poster or Presentation'!I49+'practical exam or OSCE'!I49)&lt;&gt;0,'Mid1'!I49+'Mid2'!I49+'quiz 1'!I49+'Assignment or Proposal'!I49+'Final exam'!I49+'quiz 2'!I49+'Poster or Presentation'!I49+'practical exam or OSCE'!I49,"")</f>
        <v/>
      </c>
      <c r="M50" s="57" t="str">
        <f>IF(('Mid1'!J49+'Mid2'!J49+'quiz 1'!J49+'Assignment or Proposal'!J49+'Final exam'!J49+'quiz 2'!J49+'Poster or Presentation'!J49+'practical exam or OSCE'!J49)&lt;&gt;0,'Mid1'!J49+'Mid2'!J49+'quiz 1'!J49+'Assignment or Proposal'!J49+'Final exam'!J49+'quiz 2'!J49+'Poster or Presentation'!J49+'practical exam or OSCE'!J49,"")</f>
        <v/>
      </c>
      <c r="N50" s="5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O50" s="5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P50" s="57" t="str">
        <f>IF(('Mid1'!M49+'Mid2'!M49+'quiz 1'!M49+'Assignment or Proposal'!M49+'Final exam'!M49+'quiz 2'!M49+'Poster or Presentation'!M49+'practical exam or OSCE'!M49)&lt;&gt;0,'Mid1'!M49+'Mid2'!M49+'quiz 1'!M49+'Assignment or Proposal'!M49+'Final exam'!M49+'quiz 2'!M49+'Poster or Presentation'!M49+'practical exam or OSCE'!M49,"")</f>
        <v/>
      </c>
      <c r="Q50" s="136" t="str">
        <f t="shared" si="4"/>
        <v/>
      </c>
    </row>
    <row r="51" spans="1:17" ht="20.25" hidden="1" customHeight="1" x14ac:dyDescent="0.25">
      <c r="A51" s="24">
        <v>40</v>
      </c>
      <c r="B51" s="24" t="str">
        <f>IF(StList!B42&lt;&gt;"",StList!B42,"")</f>
        <v>Pharmaceutical sciences</v>
      </c>
      <c r="C51" s="24" t="str">
        <f>IF(StList!E42&lt;&gt;"",StList!E42,"")</f>
        <v/>
      </c>
      <c r="D51" s="24" t="str">
        <f>IF(StList!F42&lt;&gt;"",StList!F42,"")</f>
        <v/>
      </c>
      <c r="E51" s="57" t="str">
        <f>IF(('Mid1'!B50+'Mid2'!B50+'quiz 1'!B50+'Assignment or Proposal'!B50+'Final exam'!B50+'quiz 2'!B50+'Poster or Presentation'!B50+'practical exam or OSCE'!B50)&lt;&gt;0,'Mid1'!B50+'Mid2'!B50+'quiz 1'!B50+'Assignment or Proposal'!B50+'Final exam'!B50+'quiz 2'!B50+'Poster or Presentation'!B50+'practical exam or OSCE'!B50,"")</f>
        <v/>
      </c>
      <c r="F51" s="57" t="str">
        <f>IF(('Mid1'!C50+'Mid2'!C50+'quiz 1'!C50+'Assignment or Proposal'!C50+'Final exam'!C50+'quiz 2'!C50+'Poster or Presentation'!C50+'practical exam or OSCE'!C50)&lt;&gt;0,'Mid1'!C50+'Mid2'!C50+'quiz 1'!C50+'Assignment or Proposal'!C50+'Final exam'!C50+'quiz 2'!C50+'Poster or Presentation'!C50+'practical exam or OSCE'!C50,"")</f>
        <v/>
      </c>
      <c r="G51" s="57" t="str">
        <f>IF(('Mid1'!D50+'Mid2'!D50+'quiz 1'!D50+'Assignment or Proposal'!D50+'Final exam'!D50+'quiz 2'!D50+'Poster or Presentation'!D50+'practical exam or OSCE'!D50)&lt;&gt;0,'Mid1'!D50+'Mid2'!D50+'quiz 1'!D50+'Assignment or Proposal'!D50+'Final exam'!D50+'quiz 2'!D50+'Poster or Presentation'!D50+'practical exam or OSCE'!D50,"")</f>
        <v/>
      </c>
      <c r="H51" s="57" t="str">
        <f>IF(('Mid1'!E50+'Mid2'!E50+'quiz 1'!E50+'Assignment or Proposal'!E50+'Final exam'!E50+'quiz 2'!E50+'Poster or Presentation'!E50+'practical exam or OSCE'!E50)&lt;&gt;0,'Mid1'!E50+'Mid2'!E50+'quiz 1'!E50+'Assignment or Proposal'!E50+'Final exam'!E50+'quiz 2'!E50+'Poster or Presentation'!E50+'practical exam or OSCE'!E50,"")</f>
        <v/>
      </c>
      <c r="I51" s="57" t="str">
        <f>IF(('Mid1'!F50+'Mid2'!F50+'quiz 1'!F50+'Assignment or Proposal'!F50+'Final exam'!F50+'quiz 2'!F50+'Poster or Presentation'!F50+'practical exam or OSCE'!F50)&lt;&gt;0,'Mid1'!F50+'Mid2'!F50+'quiz 1'!F50+'Assignment or Proposal'!F50+'Final exam'!F50+'quiz 2'!F50+'Poster or Presentation'!F50+'practical exam or OSCE'!F50,"")</f>
        <v/>
      </c>
      <c r="J51" s="57" t="str">
        <f>IF(('Mid1'!G50+'Mid2'!G50+'quiz 1'!G50+'Assignment or Proposal'!G50+'Final exam'!G50+'quiz 2'!G50+'Poster or Presentation'!G50+'practical exam or OSCE'!G50)&lt;&gt;0,'Mid1'!G50+'Mid2'!G50+'quiz 1'!G50+'Assignment or Proposal'!G50+'Final exam'!G50+'quiz 2'!G50+'Poster or Presentation'!G50+'practical exam or OSCE'!G50,"")</f>
        <v/>
      </c>
      <c r="K51" s="57" t="str">
        <f>IF(('Mid1'!H50+'Mid2'!H50+'quiz 1'!H50+'Assignment or Proposal'!H50+'Final exam'!H50+'quiz 2'!H50+'Poster or Presentation'!H50+'practical exam or OSCE'!H50)&lt;&gt;0,'Mid1'!H50+'Mid2'!H50+'quiz 1'!H50+'Assignment or Proposal'!H50+'Final exam'!H50+'quiz 2'!H50+'Poster or Presentation'!H50+'practical exam or OSCE'!H50,"")</f>
        <v/>
      </c>
      <c r="L51" s="57" t="str">
        <f>IF(('Mid1'!I50+'Mid2'!I50+'quiz 1'!I50+'Assignment or Proposal'!I50+'Final exam'!I50+'quiz 2'!I50+'Poster or Presentation'!I50+'practical exam or OSCE'!I50)&lt;&gt;0,'Mid1'!I50+'Mid2'!I50+'quiz 1'!I50+'Assignment or Proposal'!I50+'Final exam'!I50+'quiz 2'!I50+'Poster or Presentation'!I50+'practical exam or OSCE'!I50,"")</f>
        <v/>
      </c>
      <c r="M51" s="57" t="str">
        <f>IF(('Mid1'!J50+'Mid2'!J50+'quiz 1'!J50+'Assignment or Proposal'!J50+'Final exam'!J50+'quiz 2'!J50+'Poster or Presentation'!J50+'practical exam or OSCE'!J50)&lt;&gt;0,'Mid1'!J50+'Mid2'!J50+'quiz 1'!J50+'Assignment or Proposal'!J50+'Final exam'!J50+'quiz 2'!J50+'Poster or Presentation'!J50+'practical exam or OSCE'!J50,"")</f>
        <v/>
      </c>
      <c r="N51" s="5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O51" s="5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P51" s="57" t="str">
        <f>IF(('Mid1'!M50+'Mid2'!M50+'quiz 1'!M50+'Assignment or Proposal'!M50+'Final exam'!M50+'quiz 2'!M50+'Poster or Presentation'!M50+'practical exam or OSCE'!M50)&lt;&gt;0,'Mid1'!M50+'Mid2'!M50+'quiz 1'!M50+'Assignment or Proposal'!M50+'Final exam'!M50+'quiz 2'!M50+'Poster or Presentation'!M50+'practical exam or OSCE'!M50,"")</f>
        <v/>
      </c>
      <c r="Q51" s="136" t="str">
        <f t="shared" si="4"/>
        <v/>
      </c>
    </row>
    <row r="52" spans="1:17" ht="20.25" hidden="1" customHeight="1" x14ac:dyDescent="0.25">
      <c r="A52" s="24">
        <v>41</v>
      </c>
      <c r="B52" s="24" t="str">
        <f>IF(StList!B43&lt;&gt;"",StList!B43,"")</f>
        <v>Pharmaceutical sciences</v>
      </c>
      <c r="C52" s="24" t="str">
        <f>IF(StList!E43&lt;&gt;"",StList!E43,"")</f>
        <v/>
      </c>
      <c r="D52" s="24" t="str">
        <f>IF(StList!F43&lt;&gt;"",StList!F43,"")</f>
        <v/>
      </c>
      <c r="E52" s="57" t="str">
        <f>IF(('Mid1'!B51+'Mid2'!B51+'quiz 1'!B51+'Assignment or Proposal'!B51+'Final exam'!B51+'quiz 2'!B51+'Poster or Presentation'!B51+'practical exam or OSCE'!B51)&lt;&gt;0,'Mid1'!B51+'Mid2'!B51+'quiz 1'!B51+'Assignment or Proposal'!B51+'Final exam'!B51+'quiz 2'!B51+'Poster or Presentation'!B51+'practical exam or OSCE'!B51,"")</f>
        <v/>
      </c>
      <c r="F52" s="57" t="str">
        <f>IF(('Mid1'!C51+'Mid2'!C51+'quiz 1'!C51+'Assignment or Proposal'!C51+'Final exam'!C51+'quiz 2'!C51+'Poster or Presentation'!C51+'practical exam or OSCE'!C51)&lt;&gt;0,'Mid1'!C51+'Mid2'!C51+'quiz 1'!C51+'Assignment or Proposal'!C51+'Final exam'!C51+'quiz 2'!C51+'Poster or Presentation'!C51+'practical exam or OSCE'!C51,"")</f>
        <v/>
      </c>
      <c r="G52" s="57" t="str">
        <f>IF(('Mid1'!D51+'Mid2'!D51+'quiz 1'!D51+'Assignment or Proposal'!D51+'Final exam'!D51+'quiz 2'!D51+'Poster or Presentation'!D51+'practical exam or OSCE'!D51)&lt;&gt;0,'Mid1'!D51+'Mid2'!D51+'quiz 1'!D51+'Assignment or Proposal'!D51+'Final exam'!D51+'quiz 2'!D51+'Poster or Presentation'!D51+'practical exam or OSCE'!D51,"")</f>
        <v/>
      </c>
      <c r="H52" s="57" t="str">
        <f>IF(('Mid1'!E51+'Mid2'!E51+'quiz 1'!E51+'Assignment or Proposal'!E51+'Final exam'!E51+'quiz 2'!E51+'Poster or Presentation'!E51+'practical exam or OSCE'!E51)&lt;&gt;0,'Mid1'!E51+'Mid2'!E51+'quiz 1'!E51+'Assignment or Proposal'!E51+'Final exam'!E51+'quiz 2'!E51+'Poster or Presentation'!E51+'practical exam or OSCE'!E51,"")</f>
        <v/>
      </c>
      <c r="I52" s="57" t="str">
        <f>IF(('Mid1'!F51+'Mid2'!F51+'quiz 1'!F51+'Assignment or Proposal'!F51+'Final exam'!F51+'quiz 2'!F51+'Poster or Presentation'!F51+'practical exam or OSCE'!F51)&lt;&gt;0,'Mid1'!F51+'Mid2'!F51+'quiz 1'!F51+'Assignment or Proposal'!F51+'Final exam'!F51+'quiz 2'!F51+'Poster or Presentation'!F51+'practical exam or OSCE'!F51,"")</f>
        <v/>
      </c>
      <c r="J52" s="57" t="str">
        <f>IF(('Mid1'!G51+'Mid2'!G51+'quiz 1'!G51+'Assignment or Proposal'!G51+'Final exam'!G51+'quiz 2'!G51+'Poster or Presentation'!G51+'practical exam or OSCE'!G51)&lt;&gt;0,'Mid1'!G51+'Mid2'!G51+'quiz 1'!G51+'Assignment or Proposal'!G51+'Final exam'!G51+'quiz 2'!G51+'Poster or Presentation'!G51+'practical exam or OSCE'!G51,"")</f>
        <v/>
      </c>
      <c r="K52" s="57" t="str">
        <f>IF(('Mid1'!H51+'Mid2'!H51+'quiz 1'!H51+'Assignment or Proposal'!H51+'Final exam'!H51+'quiz 2'!H51+'Poster or Presentation'!H51+'practical exam or OSCE'!H51)&lt;&gt;0,'Mid1'!H51+'Mid2'!H51+'quiz 1'!H51+'Assignment or Proposal'!H51+'Final exam'!H51+'quiz 2'!H51+'Poster or Presentation'!H51+'practical exam or OSCE'!H51,"")</f>
        <v/>
      </c>
      <c r="L52" s="57" t="str">
        <f>IF(('Mid1'!I51+'Mid2'!I51+'quiz 1'!I51+'Assignment or Proposal'!I51+'Final exam'!I51+'quiz 2'!I51+'Poster or Presentation'!I51+'practical exam or OSCE'!I51)&lt;&gt;0,'Mid1'!I51+'Mid2'!I51+'quiz 1'!I51+'Assignment or Proposal'!I51+'Final exam'!I51+'quiz 2'!I51+'Poster or Presentation'!I51+'practical exam or OSCE'!I51,"")</f>
        <v/>
      </c>
      <c r="M52" s="57" t="str">
        <f>IF(('Mid1'!J51+'Mid2'!J51+'quiz 1'!J51+'Assignment or Proposal'!J51+'Final exam'!J51+'quiz 2'!J51+'Poster or Presentation'!J51+'practical exam or OSCE'!J51)&lt;&gt;0,'Mid1'!J51+'Mid2'!J51+'quiz 1'!J51+'Assignment or Proposal'!J51+'Final exam'!J51+'quiz 2'!J51+'Poster or Presentation'!J51+'practical exam or OSCE'!J51,"")</f>
        <v/>
      </c>
      <c r="N52" s="5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O52" s="5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P52" s="57" t="str">
        <f>IF(('Mid1'!M51+'Mid2'!M51+'quiz 1'!M51+'Assignment or Proposal'!M51+'Final exam'!M51+'quiz 2'!M51+'Poster or Presentation'!M51+'practical exam or OSCE'!M51)&lt;&gt;0,'Mid1'!M51+'Mid2'!M51+'quiz 1'!M51+'Assignment or Proposal'!M51+'Final exam'!M51+'quiz 2'!M51+'Poster or Presentation'!M51+'practical exam or OSCE'!M51,"")</f>
        <v/>
      </c>
      <c r="Q52" s="136" t="str">
        <f t="shared" si="4"/>
        <v/>
      </c>
    </row>
    <row r="53" spans="1:17" ht="20.25" hidden="1" customHeight="1" x14ac:dyDescent="0.25">
      <c r="A53" s="24">
        <v>42</v>
      </c>
      <c r="B53" s="24" t="str">
        <f>IF(StList!B44&lt;&gt;"",StList!B44,"")</f>
        <v>Pharmaceutical sciences</v>
      </c>
      <c r="C53" s="24" t="str">
        <f>IF(StList!E44&lt;&gt;"",StList!E44,"")</f>
        <v/>
      </c>
      <c r="D53" s="24" t="str">
        <f>IF(StList!F44&lt;&gt;"",StList!F44,"")</f>
        <v/>
      </c>
      <c r="E53" s="57" t="str">
        <f>IF(('Mid1'!B52+'Mid2'!B52+'quiz 1'!B52+'Assignment or Proposal'!B52+'Final exam'!B52+'quiz 2'!B52+'Poster or Presentation'!B52+'practical exam or OSCE'!B52)&lt;&gt;0,'Mid1'!B52+'Mid2'!B52+'quiz 1'!B52+'Assignment or Proposal'!B52+'Final exam'!B52+'quiz 2'!B52+'Poster or Presentation'!B52+'practical exam or OSCE'!B52,"")</f>
        <v/>
      </c>
      <c r="F53" s="57" t="str">
        <f>IF(('Mid1'!C52+'Mid2'!C52+'quiz 1'!C52+'Assignment or Proposal'!C52+'Final exam'!C52+'quiz 2'!C52+'Poster or Presentation'!C52+'practical exam or OSCE'!C52)&lt;&gt;0,'Mid1'!C52+'Mid2'!C52+'quiz 1'!C52+'Assignment or Proposal'!C52+'Final exam'!C52+'quiz 2'!C52+'Poster or Presentation'!C52+'practical exam or OSCE'!C52,"")</f>
        <v/>
      </c>
      <c r="G53" s="57" t="str">
        <f>IF(('Mid1'!D52+'Mid2'!D52+'quiz 1'!D52+'Assignment or Proposal'!D52+'Final exam'!D52+'quiz 2'!D52+'Poster or Presentation'!D52+'practical exam or OSCE'!D52)&lt;&gt;0,'Mid1'!D52+'Mid2'!D52+'quiz 1'!D52+'Assignment or Proposal'!D52+'Final exam'!D52+'quiz 2'!D52+'Poster or Presentation'!D52+'practical exam or OSCE'!D52,"")</f>
        <v/>
      </c>
      <c r="H53" s="57" t="str">
        <f>IF(('Mid1'!E52+'Mid2'!E52+'quiz 1'!E52+'Assignment or Proposal'!E52+'Final exam'!E52+'quiz 2'!E52+'Poster or Presentation'!E52+'practical exam or OSCE'!E52)&lt;&gt;0,'Mid1'!E52+'Mid2'!E52+'quiz 1'!E52+'Assignment or Proposal'!E52+'Final exam'!E52+'quiz 2'!E52+'Poster or Presentation'!E52+'practical exam or OSCE'!E52,"")</f>
        <v/>
      </c>
      <c r="I53" s="57" t="str">
        <f>IF(('Mid1'!F52+'Mid2'!F52+'quiz 1'!F52+'Assignment or Proposal'!F52+'Final exam'!F52+'quiz 2'!F52+'Poster or Presentation'!F52+'practical exam or OSCE'!F52)&lt;&gt;0,'Mid1'!F52+'Mid2'!F52+'quiz 1'!F52+'Assignment or Proposal'!F52+'Final exam'!F52+'quiz 2'!F52+'Poster or Presentation'!F52+'practical exam or OSCE'!F52,"")</f>
        <v/>
      </c>
      <c r="J53" s="57" t="str">
        <f>IF(('Mid1'!G52+'Mid2'!G52+'quiz 1'!G52+'Assignment or Proposal'!G52+'Final exam'!G52+'quiz 2'!G52+'Poster or Presentation'!G52+'practical exam or OSCE'!G52)&lt;&gt;0,'Mid1'!G52+'Mid2'!G52+'quiz 1'!G52+'Assignment or Proposal'!G52+'Final exam'!G52+'quiz 2'!G52+'Poster or Presentation'!G52+'practical exam or OSCE'!G52,"")</f>
        <v/>
      </c>
      <c r="K53" s="57" t="str">
        <f>IF(('Mid1'!H52+'Mid2'!H52+'quiz 1'!H52+'Assignment or Proposal'!H52+'Final exam'!H52+'quiz 2'!H52+'Poster or Presentation'!H52+'practical exam or OSCE'!H52)&lt;&gt;0,'Mid1'!H52+'Mid2'!H52+'quiz 1'!H52+'Assignment or Proposal'!H52+'Final exam'!H52+'quiz 2'!H52+'Poster or Presentation'!H52+'practical exam or OSCE'!H52,"")</f>
        <v/>
      </c>
      <c r="L53" s="57" t="str">
        <f>IF(('Mid1'!I52+'Mid2'!I52+'quiz 1'!I52+'Assignment or Proposal'!I52+'Final exam'!I52+'quiz 2'!I52+'Poster or Presentation'!I52+'practical exam or OSCE'!I52)&lt;&gt;0,'Mid1'!I52+'Mid2'!I52+'quiz 1'!I52+'Assignment or Proposal'!I52+'Final exam'!I52+'quiz 2'!I52+'Poster or Presentation'!I52+'practical exam or OSCE'!I52,"")</f>
        <v/>
      </c>
      <c r="M53" s="57" t="str">
        <f>IF(('Mid1'!J52+'Mid2'!J52+'quiz 1'!J52+'Assignment or Proposal'!J52+'Final exam'!J52+'quiz 2'!J52+'Poster or Presentation'!J52+'practical exam or OSCE'!J52)&lt;&gt;0,'Mid1'!J52+'Mid2'!J52+'quiz 1'!J52+'Assignment or Proposal'!J52+'Final exam'!J52+'quiz 2'!J52+'Poster or Presentation'!J52+'practical exam or OSCE'!J52,"")</f>
        <v/>
      </c>
      <c r="N53" s="5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O53" s="5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P53" s="57" t="str">
        <f>IF(('Mid1'!M52+'Mid2'!M52+'quiz 1'!M52+'Assignment or Proposal'!M52+'Final exam'!M52+'quiz 2'!M52+'Poster or Presentation'!M52+'practical exam or OSCE'!M52)&lt;&gt;0,'Mid1'!M52+'Mid2'!M52+'quiz 1'!M52+'Assignment or Proposal'!M52+'Final exam'!M52+'quiz 2'!M52+'Poster or Presentation'!M52+'practical exam or OSCE'!M52,"")</f>
        <v/>
      </c>
      <c r="Q53" s="136" t="str">
        <f t="shared" si="4"/>
        <v/>
      </c>
    </row>
    <row r="54" spans="1:17" ht="20.25" hidden="1" customHeight="1" x14ac:dyDescent="0.25">
      <c r="A54" s="24">
        <v>43</v>
      </c>
      <c r="B54" s="24" t="str">
        <f>IF(StList!B45&lt;&gt;"",StList!B45,"")</f>
        <v>Pharmaceutical sciences</v>
      </c>
      <c r="C54" s="24" t="str">
        <f>IF(StList!E45&lt;&gt;"",StList!E45,"")</f>
        <v/>
      </c>
      <c r="D54" s="24" t="str">
        <f>IF(StList!F45&lt;&gt;"",StList!F45,"")</f>
        <v/>
      </c>
      <c r="E54" s="57" t="str">
        <f>IF(('Mid1'!B53+'Mid2'!B53+'quiz 1'!B53+'Assignment or Proposal'!B53+'Final exam'!B53+'quiz 2'!B53+'Poster or Presentation'!B53+'practical exam or OSCE'!B53)&lt;&gt;0,'Mid1'!B53+'Mid2'!B53+'quiz 1'!B53+'Assignment or Proposal'!B53+'Final exam'!B53+'quiz 2'!B53+'Poster or Presentation'!B53+'practical exam or OSCE'!B53,"")</f>
        <v/>
      </c>
      <c r="F54" s="57" t="str">
        <f>IF(('Mid1'!C53+'Mid2'!C53+'quiz 1'!C53+'Assignment or Proposal'!C53+'Final exam'!C53+'quiz 2'!C53+'Poster or Presentation'!C53+'practical exam or OSCE'!C53)&lt;&gt;0,'Mid1'!C53+'Mid2'!C53+'quiz 1'!C53+'Assignment or Proposal'!C53+'Final exam'!C53+'quiz 2'!C53+'Poster or Presentation'!C53+'practical exam or OSCE'!C53,"")</f>
        <v/>
      </c>
      <c r="G54" s="57" t="str">
        <f>IF(('Mid1'!D53+'Mid2'!D53+'quiz 1'!D53+'Assignment or Proposal'!D53+'Final exam'!D53+'quiz 2'!D53+'Poster or Presentation'!D53+'practical exam or OSCE'!D53)&lt;&gt;0,'Mid1'!D53+'Mid2'!D53+'quiz 1'!D53+'Assignment or Proposal'!D53+'Final exam'!D53+'quiz 2'!D53+'Poster or Presentation'!D53+'practical exam or OSCE'!D53,"")</f>
        <v/>
      </c>
      <c r="H54" s="57" t="str">
        <f>IF(('Mid1'!E53+'Mid2'!E53+'quiz 1'!E53+'Assignment or Proposal'!E53+'Final exam'!E53+'quiz 2'!E53+'Poster or Presentation'!E53+'practical exam or OSCE'!E53)&lt;&gt;0,'Mid1'!E53+'Mid2'!E53+'quiz 1'!E53+'Assignment or Proposal'!E53+'Final exam'!E53+'quiz 2'!E53+'Poster or Presentation'!E53+'practical exam or OSCE'!E53,"")</f>
        <v/>
      </c>
      <c r="I54" s="57" t="str">
        <f>IF(('Mid1'!F53+'Mid2'!F53+'quiz 1'!F53+'Assignment or Proposal'!F53+'Final exam'!F53+'quiz 2'!F53+'Poster or Presentation'!F53+'practical exam or OSCE'!F53)&lt;&gt;0,'Mid1'!F53+'Mid2'!F53+'quiz 1'!F53+'Assignment or Proposal'!F53+'Final exam'!F53+'quiz 2'!F53+'Poster or Presentation'!F53+'practical exam or OSCE'!F53,"")</f>
        <v/>
      </c>
      <c r="J54" s="57" t="str">
        <f>IF(('Mid1'!G53+'Mid2'!G53+'quiz 1'!G53+'Assignment or Proposal'!G53+'Final exam'!G53+'quiz 2'!G53+'Poster or Presentation'!G53+'practical exam or OSCE'!G53)&lt;&gt;0,'Mid1'!G53+'Mid2'!G53+'quiz 1'!G53+'Assignment or Proposal'!G53+'Final exam'!G53+'quiz 2'!G53+'Poster or Presentation'!G53+'practical exam or OSCE'!G53,"")</f>
        <v/>
      </c>
      <c r="K54" s="57" t="str">
        <f>IF(('Mid1'!H53+'Mid2'!H53+'quiz 1'!H53+'Assignment or Proposal'!H53+'Final exam'!H53+'quiz 2'!H53+'Poster or Presentation'!H53+'practical exam or OSCE'!H53)&lt;&gt;0,'Mid1'!H53+'Mid2'!H53+'quiz 1'!H53+'Assignment or Proposal'!H53+'Final exam'!H53+'quiz 2'!H53+'Poster or Presentation'!H53+'practical exam or OSCE'!H53,"")</f>
        <v/>
      </c>
      <c r="L54" s="57" t="str">
        <f>IF(('Mid1'!I53+'Mid2'!I53+'quiz 1'!I53+'Assignment or Proposal'!I53+'Final exam'!I53+'quiz 2'!I53+'Poster or Presentation'!I53+'practical exam or OSCE'!I53)&lt;&gt;0,'Mid1'!I53+'Mid2'!I53+'quiz 1'!I53+'Assignment or Proposal'!I53+'Final exam'!I53+'quiz 2'!I53+'Poster or Presentation'!I53+'practical exam or OSCE'!I53,"")</f>
        <v/>
      </c>
      <c r="M54" s="57" t="str">
        <f>IF(('Mid1'!J53+'Mid2'!J53+'quiz 1'!J53+'Assignment or Proposal'!J53+'Final exam'!J53+'quiz 2'!J53+'Poster or Presentation'!J53+'practical exam or OSCE'!J53)&lt;&gt;0,'Mid1'!J53+'Mid2'!J53+'quiz 1'!J53+'Assignment or Proposal'!J53+'Final exam'!J53+'quiz 2'!J53+'Poster or Presentation'!J53+'practical exam or OSCE'!J53,"")</f>
        <v/>
      </c>
      <c r="N54" s="5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O54" s="5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P54" s="57" t="str">
        <f>IF(('Mid1'!M53+'Mid2'!M53+'quiz 1'!M53+'Assignment or Proposal'!M53+'Final exam'!M53+'quiz 2'!M53+'Poster or Presentation'!M53+'practical exam or OSCE'!M53)&lt;&gt;0,'Mid1'!M53+'Mid2'!M53+'quiz 1'!M53+'Assignment or Proposal'!M53+'Final exam'!M53+'quiz 2'!M53+'Poster or Presentation'!M53+'practical exam or OSCE'!M53,"")</f>
        <v/>
      </c>
      <c r="Q54" s="136" t="str">
        <f t="shared" si="4"/>
        <v/>
      </c>
    </row>
    <row r="55" spans="1:17" ht="20.25" hidden="1" customHeight="1" x14ac:dyDescent="0.25">
      <c r="A55" s="24">
        <v>44</v>
      </c>
      <c r="B55" s="24" t="str">
        <f>IF(StList!B46&lt;&gt;"",StList!B46,"")</f>
        <v>Pharmaceutical sciences</v>
      </c>
      <c r="C55" s="24" t="str">
        <f>IF(StList!E46&lt;&gt;"",StList!E46,"")</f>
        <v/>
      </c>
      <c r="D55" s="24" t="str">
        <f>IF(StList!F46&lt;&gt;"",StList!F46,"")</f>
        <v/>
      </c>
      <c r="E55" s="57" t="str">
        <f>IF(('Mid1'!B54+'Mid2'!B54+'quiz 1'!B54+'Assignment or Proposal'!B54+'Final exam'!B54+'quiz 2'!B54+'Poster or Presentation'!B54+'practical exam or OSCE'!B54)&lt;&gt;0,'Mid1'!B54+'Mid2'!B54+'quiz 1'!B54+'Assignment or Proposal'!B54+'Final exam'!B54+'quiz 2'!B54+'Poster or Presentation'!B54+'practical exam or OSCE'!B54,"")</f>
        <v/>
      </c>
      <c r="F55" s="57" t="str">
        <f>IF(('Mid1'!C54+'Mid2'!C54+'quiz 1'!C54+'Assignment or Proposal'!C54+'Final exam'!C54+'quiz 2'!C54+'Poster or Presentation'!C54+'practical exam or OSCE'!C54)&lt;&gt;0,'Mid1'!C54+'Mid2'!C54+'quiz 1'!C54+'Assignment or Proposal'!C54+'Final exam'!C54+'quiz 2'!C54+'Poster or Presentation'!C54+'practical exam or OSCE'!C54,"")</f>
        <v/>
      </c>
      <c r="G55" s="57" t="str">
        <f>IF(('Mid1'!D54+'Mid2'!D54+'quiz 1'!D54+'Assignment or Proposal'!D54+'Final exam'!D54+'quiz 2'!D54+'Poster or Presentation'!D54+'practical exam or OSCE'!D54)&lt;&gt;0,'Mid1'!D54+'Mid2'!D54+'quiz 1'!D54+'Assignment or Proposal'!D54+'Final exam'!D54+'quiz 2'!D54+'Poster or Presentation'!D54+'practical exam or OSCE'!D54,"")</f>
        <v/>
      </c>
      <c r="H55" s="57" t="str">
        <f>IF(('Mid1'!E54+'Mid2'!E54+'quiz 1'!E54+'Assignment or Proposal'!E54+'Final exam'!E54+'quiz 2'!E54+'Poster or Presentation'!E54+'practical exam or OSCE'!E54)&lt;&gt;0,'Mid1'!E54+'Mid2'!E54+'quiz 1'!E54+'Assignment or Proposal'!E54+'Final exam'!E54+'quiz 2'!E54+'Poster or Presentation'!E54+'practical exam or OSCE'!E54,"")</f>
        <v/>
      </c>
      <c r="I55" s="57" t="str">
        <f>IF(('Mid1'!F54+'Mid2'!F54+'quiz 1'!F54+'Assignment or Proposal'!F54+'Final exam'!F54+'quiz 2'!F54+'Poster or Presentation'!F54+'practical exam or OSCE'!F54)&lt;&gt;0,'Mid1'!F54+'Mid2'!F54+'quiz 1'!F54+'Assignment or Proposal'!F54+'Final exam'!F54+'quiz 2'!F54+'Poster or Presentation'!F54+'practical exam or OSCE'!F54,"")</f>
        <v/>
      </c>
      <c r="J55" s="57" t="str">
        <f>IF(('Mid1'!G54+'Mid2'!G54+'quiz 1'!G54+'Assignment or Proposal'!G54+'Final exam'!G54+'quiz 2'!G54+'Poster or Presentation'!G54+'practical exam or OSCE'!G54)&lt;&gt;0,'Mid1'!G54+'Mid2'!G54+'quiz 1'!G54+'Assignment or Proposal'!G54+'Final exam'!G54+'quiz 2'!G54+'Poster or Presentation'!G54+'practical exam or OSCE'!G54,"")</f>
        <v/>
      </c>
      <c r="K55" s="57" t="str">
        <f>IF(('Mid1'!H54+'Mid2'!H54+'quiz 1'!H54+'Assignment or Proposal'!H54+'Final exam'!H54+'quiz 2'!H54+'Poster or Presentation'!H54+'practical exam or OSCE'!H54)&lt;&gt;0,'Mid1'!H54+'Mid2'!H54+'quiz 1'!H54+'Assignment or Proposal'!H54+'Final exam'!H54+'quiz 2'!H54+'Poster or Presentation'!H54+'practical exam or OSCE'!H54,"")</f>
        <v/>
      </c>
      <c r="L55" s="57" t="str">
        <f>IF(('Mid1'!I54+'Mid2'!I54+'quiz 1'!I54+'Assignment or Proposal'!I54+'Final exam'!I54+'quiz 2'!I54+'Poster or Presentation'!I54+'practical exam or OSCE'!I54)&lt;&gt;0,'Mid1'!I54+'Mid2'!I54+'quiz 1'!I54+'Assignment or Proposal'!I54+'Final exam'!I54+'quiz 2'!I54+'Poster or Presentation'!I54+'practical exam or OSCE'!I54,"")</f>
        <v/>
      </c>
      <c r="M55" s="57" t="str">
        <f>IF(('Mid1'!J54+'Mid2'!J54+'quiz 1'!J54+'Assignment or Proposal'!J54+'Final exam'!J54+'quiz 2'!J54+'Poster or Presentation'!J54+'practical exam or OSCE'!J54)&lt;&gt;0,'Mid1'!J54+'Mid2'!J54+'quiz 1'!J54+'Assignment or Proposal'!J54+'Final exam'!J54+'quiz 2'!J54+'Poster or Presentation'!J54+'practical exam or OSCE'!J54,"")</f>
        <v/>
      </c>
      <c r="N55" s="5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O55" s="5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P55" s="57" t="str">
        <f>IF(('Mid1'!M54+'Mid2'!M54+'quiz 1'!M54+'Assignment or Proposal'!M54+'Final exam'!M54+'quiz 2'!M54+'Poster or Presentation'!M54+'practical exam or OSCE'!M54)&lt;&gt;0,'Mid1'!M54+'Mid2'!M54+'quiz 1'!M54+'Assignment or Proposal'!M54+'Final exam'!M54+'quiz 2'!M54+'Poster or Presentation'!M54+'practical exam or OSCE'!M54,"")</f>
        <v/>
      </c>
      <c r="Q55" s="136" t="str">
        <f t="shared" si="4"/>
        <v/>
      </c>
    </row>
    <row r="56" spans="1:17" ht="20.25" hidden="1" customHeight="1" x14ac:dyDescent="0.25">
      <c r="A56" s="24">
        <v>45</v>
      </c>
      <c r="B56" s="24" t="str">
        <f>IF(StList!B47&lt;&gt;"",StList!B47,"")</f>
        <v>Pharmaceutical sciences</v>
      </c>
      <c r="C56" s="24" t="str">
        <f>IF(StList!E47&lt;&gt;"",StList!E47,"")</f>
        <v/>
      </c>
      <c r="D56" s="24" t="str">
        <f>IF(StList!F47&lt;&gt;"",StList!F47,"")</f>
        <v/>
      </c>
      <c r="E56" s="57" t="str">
        <f>IF(('Mid1'!B55+'Mid2'!B55+'quiz 1'!B55+'Assignment or Proposal'!B55+'Final exam'!B55+'quiz 2'!B55+'Poster or Presentation'!B55+'practical exam or OSCE'!B55)&lt;&gt;0,'Mid1'!B55+'Mid2'!B55+'quiz 1'!B55+'Assignment or Proposal'!B55+'Final exam'!B55+'quiz 2'!B55+'Poster or Presentation'!B55+'practical exam or OSCE'!B55,"")</f>
        <v/>
      </c>
      <c r="F56" s="57" t="str">
        <f>IF(('Mid1'!C55+'Mid2'!C55+'quiz 1'!C55+'Assignment or Proposal'!C55+'Final exam'!C55+'quiz 2'!C55+'Poster or Presentation'!C55+'practical exam or OSCE'!C55)&lt;&gt;0,'Mid1'!C55+'Mid2'!C55+'quiz 1'!C55+'Assignment or Proposal'!C55+'Final exam'!C55+'quiz 2'!C55+'Poster or Presentation'!C55+'practical exam or OSCE'!C55,"")</f>
        <v/>
      </c>
      <c r="G56" s="57" t="str">
        <f>IF(('Mid1'!D55+'Mid2'!D55+'quiz 1'!D55+'Assignment or Proposal'!D55+'Final exam'!D55+'quiz 2'!D55+'Poster or Presentation'!D55+'practical exam or OSCE'!D55)&lt;&gt;0,'Mid1'!D55+'Mid2'!D55+'quiz 1'!D55+'Assignment or Proposal'!D55+'Final exam'!D55+'quiz 2'!D55+'Poster or Presentation'!D55+'practical exam or OSCE'!D55,"")</f>
        <v/>
      </c>
      <c r="H56" s="57" t="str">
        <f>IF(('Mid1'!E55+'Mid2'!E55+'quiz 1'!E55+'Assignment or Proposal'!E55+'Final exam'!E55+'quiz 2'!E55+'Poster or Presentation'!E55+'practical exam or OSCE'!E55)&lt;&gt;0,'Mid1'!E55+'Mid2'!E55+'quiz 1'!E55+'Assignment or Proposal'!E55+'Final exam'!E55+'quiz 2'!E55+'Poster or Presentation'!E55+'practical exam or OSCE'!E55,"")</f>
        <v/>
      </c>
      <c r="I56" s="57" t="str">
        <f>IF(('Mid1'!F55+'Mid2'!F55+'quiz 1'!F55+'Assignment or Proposal'!F55+'Final exam'!F55+'quiz 2'!F55+'Poster or Presentation'!F55+'practical exam or OSCE'!F55)&lt;&gt;0,'Mid1'!F55+'Mid2'!F55+'quiz 1'!F55+'Assignment or Proposal'!F55+'Final exam'!F55+'quiz 2'!F55+'Poster or Presentation'!F55+'practical exam or OSCE'!F55,"")</f>
        <v/>
      </c>
      <c r="J56" s="57" t="str">
        <f>IF(('Mid1'!G55+'Mid2'!G55+'quiz 1'!G55+'Assignment or Proposal'!G55+'Final exam'!G55+'quiz 2'!G55+'Poster or Presentation'!G55+'practical exam or OSCE'!G55)&lt;&gt;0,'Mid1'!G55+'Mid2'!G55+'quiz 1'!G55+'Assignment or Proposal'!G55+'Final exam'!G55+'quiz 2'!G55+'Poster or Presentation'!G55+'practical exam or OSCE'!G55,"")</f>
        <v/>
      </c>
      <c r="K56" s="57" t="str">
        <f>IF(('Mid1'!H55+'Mid2'!H55+'quiz 1'!H55+'Assignment or Proposal'!H55+'Final exam'!H55+'quiz 2'!H55+'Poster or Presentation'!H55+'practical exam or OSCE'!H55)&lt;&gt;0,'Mid1'!H55+'Mid2'!H55+'quiz 1'!H55+'Assignment or Proposal'!H55+'Final exam'!H55+'quiz 2'!H55+'Poster or Presentation'!H55+'practical exam or OSCE'!H55,"")</f>
        <v/>
      </c>
      <c r="L56" s="57" t="str">
        <f>IF(('Mid1'!I55+'Mid2'!I55+'quiz 1'!I55+'Assignment or Proposal'!I55+'Final exam'!I55+'quiz 2'!I55+'Poster or Presentation'!I55+'practical exam or OSCE'!I55)&lt;&gt;0,'Mid1'!I55+'Mid2'!I55+'quiz 1'!I55+'Assignment or Proposal'!I55+'Final exam'!I55+'quiz 2'!I55+'Poster or Presentation'!I55+'practical exam or OSCE'!I55,"")</f>
        <v/>
      </c>
      <c r="M56" s="57" t="str">
        <f>IF(('Mid1'!J55+'Mid2'!J55+'quiz 1'!J55+'Assignment or Proposal'!J55+'Final exam'!J55+'quiz 2'!J55+'Poster or Presentation'!J55+'practical exam or OSCE'!J55)&lt;&gt;0,'Mid1'!J55+'Mid2'!J55+'quiz 1'!J55+'Assignment or Proposal'!J55+'Final exam'!J55+'quiz 2'!J55+'Poster or Presentation'!J55+'practical exam or OSCE'!J55,"")</f>
        <v/>
      </c>
      <c r="N56" s="5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O56" s="5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P56" s="57" t="str">
        <f>IF(('Mid1'!M55+'Mid2'!M55+'quiz 1'!M55+'Assignment or Proposal'!M55+'Final exam'!M55+'quiz 2'!M55+'Poster or Presentation'!M55+'practical exam or OSCE'!M55)&lt;&gt;0,'Mid1'!M55+'Mid2'!M55+'quiz 1'!M55+'Assignment or Proposal'!M55+'Final exam'!M55+'quiz 2'!M55+'Poster or Presentation'!M55+'practical exam or OSCE'!M55,"")</f>
        <v/>
      </c>
      <c r="Q56" s="136" t="str">
        <f t="shared" si="4"/>
        <v/>
      </c>
    </row>
    <row r="57" spans="1:17" ht="20.25" hidden="1" customHeight="1" x14ac:dyDescent="0.25">
      <c r="A57" s="24">
        <v>46</v>
      </c>
      <c r="B57" s="24" t="str">
        <f>IF(StList!B48&lt;&gt;"",StList!B48,"")</f>
        <v>Pharmaceutical sciences</v>
      </c>
      <c r="C57" s="24" t="str">
        <f>IF(StList!E48&lt;&gt;"",StList!E48,"")</f>
        <v/>
      </c>
      <c r="D57" s="24" t="str">
        <f>IF(StList!F48&lt;&gt;"",StList!F48,"")</f>
        <v/>
      </c>
      <c r="E57" s="57" t="str">
        <f>IF(('Mid1'!B56+'Mid2'!B56+'quiz 1'!B56+'Assignment or Proposal'!B56+'Final exam'!B56+'quiz 2'!B56+'Poster or Presentation'!B56+'practical exam or OSCE'!B56)&lt;&gt;0,'Mid1'!B56+'Mid2'!B56+'quiz 1'!B56+'Assignment or Proposal'!B56+'Final exam'!B56+'quiz 2'!B56+'Poster or Presentation'!B56+'practical exam or OSCE'!B56,"")</f>
        <v/>
      </c>
      <c r="F57" s="57" t="str">
        <f>IF(('Mid1'!C56+'Mid2'!C56+'quiz 1'!C56+'Assignment or Proposal'!C56+'Final exam'!C56+'quiz 2'!C56+'Poster or Presentation'!C56+'practical exam or OSCE'!C56)&lt;&gt;0,'Mid1'!C56+'Mid2'!C56+'quiz 1'!C56+'Assignment or Proposal'!C56+'Final exam'!C56+'quiz 2'!C56+'Poster or Presentation'!C56+'practical exam or OSCE'!C56,"")</f>
        <v/>
      </c>
      <c r="G57" s="57" t="str">
        <f>IF(('Mid1'!D56+'Mid2'!D56+'quiz 1'!D56+'Assignment or Proposal'!D56+'Final exam'!D56+'quiz 2'!D56+'Poster or Presentation'!D56+'practical exam or OSCE'!D56)&lt;&gt;0,'Mid1'!D56+'Mid2'!D56+'quiz 1'!D56+'Assignment or Proposal'!D56+'Final exam'!D56+'quiz 2'!D56+'Poster or Presentation'!D56+'practical exam or OSCE'!D56,"")</f>
        <v/>
      </c>
      <c r="H57" s="57" t="str">
        <f>IF(('Mid1'!E56+'Mid2'!E56+'quiz 1'!E56+'Assignment or Proposal'!E56+'Final exam'!E56+'quiz 2'!E56+'Poster or Presentation'!E56+'practical exam or OSCE'!E56)&lt;&gt;0,'Mid1'!E56+'Mid2'!E56+'quiz 1'!E56+'Assignment or Proposal'!E56+'Final exam'!E56+'quiz 2'!E56+'Poster or Presentation'!E56+'practical exam or OSCE'!E56,"")</f>
        <v/>
      </c>
      <c r="I57" s="57" t="str">
        <f>IF(('Mid1'!F56+'Mid2'!F56+'quiz 1'!F56+'Assignment or Proposal'!F56+'Final exam'!F56+'quiz 2'!F56+'Poster or Presentation'!F56+'practical exam or OSCE'!F56)&lt;&gt;0,'Mid1'!F56+'Mid2'!F56+'quiz 1'!F56+'Assignment or Proposal'!F56+'Final exam'!F56+'quiz 2'!F56+'Poster or Presentation'!F56+'practical exam or OSCE'!F56,"")</f>
        <v/>
      </c>
      <c r="J57" s="57" t="str">
        <f>IF(('Mid1'!G56+'Mid2'!G56+'quiz 1'!G56+'Assignment or Proposal'!G56+'Final exam'!G56+'quiz 2'!G56+'Poster or Presentation'!G56+'practical exam or OSCE'!G56)&lt;&gt;0,'Mid1'!G56+'Mid2'!G56+'quiz 1'!G56+'Assignment or Proposal'!G56+'Final exam'!G56+'quiz 2'!G56+'Poster or Presentation'!G56+'practical exam or OSCE'!G56,"")</f>
        <v/>
      </c>
      <c r="K57" s="57" t="str">
        <f>IF(('Mid1'!H56+'Mid2'!H56+'quiz 1'!H56+'Assignment or Proposal'!H56+'Final exam'!H56+'quiz 2'!H56+'Poster or Presentation'!H56+'practical exam or OSCE'!H56)&lt;&gt;0,'Mid1'!H56+'Mid2'!H56+'quiz 1'!H56+'Assignment or Proposal'!H56+'Final exam'!H56+'quiz 2'!H56+'Poster or Presentation'!H56+'practical exam or OSCE'!H56,"")</f>
        <v/>
      </c>
      <c r="L57" s="57" t="str">
        <f>IF(('Mid1'!I56+'Mid2'!I56+'quiz 1'!I56+'Assignment or Proposal'!I56+'Final exam'!I56+'quiz 2'!I56+'Poster or Presentation'!I56+'practical exam or OSCE'!I56)&lt;&gt;0,'Mid1'!I56+'Mid2'!I56+'quiz 1'!I56+'Assignment or Proposal'!I56+'Final exam'!I56+'quiz 2'!I56+'Poster or Presentation'!I56+'practical exam or OSCE'!I56,"")</f>
        <v/>
      </c>
      <c r="M57" s="57" t="str">
        <f>IF(('Mid1'!J56+'Mid2'!J56+'quiz 1'!J56+'Assignment or Proposal'!J56+'Final exam'!J56+'quiz 2'!J56+'Poster or Presentation'!J56+'practical exam or OSCE'!J56)&lt;&gt;0,'Mid1'!J56+'Mid2'!J56+'quiz 1'!J56+'Assignment or Proposal'!J56+'Final exam'!J56+'quiz 2'!J56+'Poster or Presentation'!J56+'practical exam or OSCE'!J56,"")</f>
        <v/>
      </c>
      <c r="N57" s="5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O57" s="5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P57" s="57" t="str">
        <f>IF(('Mid1'!M56+'Mid2'!M56+'quiz 1'!M56+'Assignment or Proposal'!M56+'Final exam'!M56+'quiz 2'!M56+'Poster or Presentation'!M56+'practical exam or OSCE'!M56)&lt;&gt;0,'Mid1'!M56+'Mid2'!M56+'quiz 1'!M56+'Assignment or Proposal'!M56+'Final exam'!M56+'quiz 2'!M56+'Poster or Presentation'!M56+'practical exam or OSCE'!M56,"")</f>
        <v/>
      </c>
      <c r="Q57" s="136" t="str">
        <f t="shared" si="4"/>
        <v/>
      </c>
    </row>
    <row r="58" spans="1:17" ht="20.25" hidden="1" customHeight="1" x14ac:dyDescent="0.25">
      <c r="A58" s="24">
        <v>47</v>
      </c>
      <c r="B58" s="24" t="str">
        <f>IF(StList!B49&lt;&gt;"",StList!B49,"")</f>
        <v>Pharmaceutical sciences</v>
      </c>
      <c r="C58" s="24" t="str">
        <f>IF(StList!E49&lt;&gt;"",StList!E49,"")</f>
        <v/>
      </c>
      <c r="D58" s="24" t="str">
        <f>IF(StList!F49&lt;&gt;"",StList!F49,"")</f>
        <v/>
      </c>
      <c r="E58" s="57" t="str">
        <f>IF(('Mid1'!B57+'Mid2'!B57+'quiz 1'!B57+'Assignment or Proposal'!B57+'Final exam'!B57+'quiz 2'!B57+'Poster or Presentation'!B57+'practical exam or OSCE'!B57)&lt;&gt;0,'Mid1'!B57+'Mid2'!B57+'quiz 1'!B57+'Assignment or Proposal'!B57+'Final exam'!B57+'quiz 2'!B57+'Poster or Presentation'!B57+'practical exam or OSCE'!B57,"")</f>
        <v/>
      </c>
      <c r="F58" s="57" t="str">
        <f>IF(('Mid1'!C57+'Mid2'!C57+'quiz 1'!C57+'Assignment or Proposal'!C57+'Final exam'!C57+'quiz 2'!C57+'Poster or Presentation'!C57+'practical exam or OSCE'!C57)&lt;&gt;0,'Mid1'!C57+'Mid2'!C57+'quiz 1'!C57+'Assignment or Proposal'!C57+'Final exam'!C57+'quiz 2'!C57+'Poster or Presentation'!C57+'practical exam or OSCE'!C57,"")</f>
        <v/>
      </c>
      <c r="G58" s="57" t="str">
        <f>IF(('Mid1'!D57+'Mid2'!D57+'quiz 1'!D57+'Assignment or Proposal'!D57+'Final exam'!D57+'quiz 2'!D57+'Poster or Presentation'!D57+'practical exam or OSCE'!D57)&lt;&gt;0,'Mid1'!D57+'Mid2'!D57+'quiz 1'!D57+'Assignment or Proposal'!D57+'Final exam'!D57+'quiz 2'!D57+'Poster or Presentation'!D57+'practical exam or OSCE'!D57,"")</f>
        <v/>
      </c>
      <c r="H58" s="57" t="str">
        <f>IF(('Mid1'!E57+'Mid2'!E57+'quiz 1'!E57+'Assignment or Proposal'!E57+'Final exam'!E57+'quiz 2'!E57+'Poster or Presentation'!E57+'practical exam or OSCE'!E57)&lt;&gt;0,'Mid1'!E57+'Mid2'!E57+'quiz 1'!E57+'Assignment or Proposal'!E57+'Final exam'!E57+'quiz 2'!E57+'Poster or Presentation'!E57+'practical exam or OSCE'!E57,"")</f>
        <v/>
      </c>
      <c r="I58" s="57" t="str">
        <f>IF(('Mid1'!F57+'Mid2'!F57+'quiz 1'!F57+'Assignment or Proposal'!F57+'Final exam'!F57+'quiz 2'!F57+'Poster or Presentation'!F57+'practical exam or OSCE'!F57)&lt;&gt;0,'Mid1'!F57+'Mid2'!F57+'quiz 1'!F57+'Assignment or Proposal'!F57+'Final exam'!F57+'quiz 2'!F57+'Poster or Presentation'!F57+'practical exam or OSCE'!F57,"")</f>
        <v/>
      </c>
      <c r="J58" s="57" t="str">
        <f>IF(('Mid1'!G57+'Mid2'!G57+'quiz 1'!G57+'Assignment or Proposal'!G57+'Final exam'!G57+'quiz 2'!G57+'Poster or Presentation'!G57+'practical exam or OSCE'!G57)&lt;&gt;0,'Mid1'!G57+'Mid2'!G57+'quiz 1'!G57+'Assignment or Proposal'!G57+'Final exam'!G57+'quiz 2'!G57+'Poster or Presentation'!G57+'practical exam or OSCE'!G57,"")</f>
        <v/>
      </c>
      <c r="K58" s="57" t="str">
        <f>IF(('Mid1'!H57+'Mid2'!H57+'quiz 1'!H57+'Assignment or Proposal'!H57+'Final exam'!H57+'quiz 2'!H57+'Poster or Presentation'!H57+'practical exam or OSCE'!H57)&lt;&gt;0,'Mid1'!H57+'Mid2'!H57+'quiz 1'!H57+'Assignment or Proposal'!H57+'Final exam'!H57+'quiz 2'!H57+'Poster or Presentation'!H57+'practical exam or OSCE'!H57,"")</f>
        <v/>
      </c>
      <c r="L58" s="57" t="str">
        <f>IF(('Mid1'!I57+'Mid2'!I57+'quiz 1'!I57+'Assignment or Proposal'!I57+'Final exam'!I57+'quiz 2'!I57+'Poster or Presentation'!I57+'practical exam or OSCE'!I57)&lt;&gt;0,'Mid1'!I57+'Mid2'!I57+'quiz 1'!I57+'Assignment or Proposal'!I57+'Final exam'!I57+'quiz 2'!I57+'Poster or Presentation'!I57+'practical exam or OSCE'!I57,"")</f>
        <v/>
      </c>
      <c r="M58" s="57" t="str">
        <f>IF(('Mid1'!J57+'Mid2'!J57+'quiz 1'!J57+'Assignment or Proposal'!J57+'Final exam'!J57+'quiz 2'!J57+'Poster or Presentation'!J57+'practical exam or OSCE'!J57)&lt;&gt;0,'Mid1'!J57+'Mid2'!J57+'quiz 1'!J57+'Assignment or Proposal'!J57+'Final exam'!J57+'quiz 2'!J57+'Poster or Presentation'!J57+'practical exam or OSCE'!J57,"")</f>
        <v/>
      </c>
      <c r="N58" s="5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O58" s="5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P58" s="57" t="str">
        <f>IF(('Mid1'!M57+'Mid2'!M57+'quiz 1'!M57+'Assignment or Proposal'!M57+'Final exam'!M57+'quiz 2'!M57+'Poster or Presentation'!M57+'practical exam or OSCE'!M57)&lt;&gt;0,'Mid1'!M57+'Mid2'!M57+'quiz 1'!M57+'Assignment or Proposal'!M57+'Final exam'!M57+'quiz 2'!M57+'Poster or Presentation'!M57+'practical exam or OSCE'!M57,"")</f>
        <v/>
      </c>
      <c r="Q58" s="136" t="str">
        <f t="shared" si="4"/>
        <v/>
      </c>
    </row>
    <row r="59" spans="1:17" ht="20.25" hidden="1" customHeight="1" x14ac:dyDescent="0.25">
      <c r="A59" s="24">
        <v>48</v>
      </c>
      <c r="B59" s="24" t="str">
        <f>IF(StList!B50&lt;&gt;"",StList!B50,"")</f>
        <v>Pharmaceutical sciences</v>
      </c>
      <c r="C59" s="24" t="str">
        <f>IF(StList!E50&lt;&gt;"",StList!E50,"")</f>
        <v/>
      </c>
      <c r="D59" s="24" t="str">
        <f>IF(StList!F50&lt;&gt;"",StList!F50,"")</f>
        <v/>
      </c>
      <c r="E59" s="57" t="str">
        <f>IF(('Mid1'!B58+'Mid2'!B58+'quiz 1'!B58+'Assignment or Proposal'!B58+'Final exam'!B58+'quiz 2'!B58+'Poster or Presentation'!B58+'practical exam or OSCE'!B58)&lt;&gt;0,'Mid1'!B58+'Mid2'!B58+'quiz 1'!B58+'Assignment or Proposal'!B58+'Final exam'!B58+'quiz 2'!B58+'Poster or Presentation'!B58+'practical exam or OSCE'!B58,"")</f>
        <v/>
      </c>
      <c r="F59" s="57" t="str">
        <f>IF(('Mid1'!C58+'Mid2'!C58+'quiz 1'!C58+'Assignment or Proposal'!C58+'Final exam'!C58+'quiz 2'!C58+'Poster or Presentation'!C58+'practical exam or OSCE'!C58)&lt;&gt;0,'Mid1'!C58+'Mid2'!C58+'quiz 1'!C58+'Assignment or Proposal'!C58+'Final exam'!C58+'quiz 2'!C58+'Poster or Presentation'!C58+'practical exam or OSCE'!C58,"")</f>
        <v/>
      </c>
      <c r="G59" s="57" t="str">
        <f>IF(('Mid1'!D58+'Mid2'!D58+'quiz 1'!D58+'Assignment or Proposal'!D58+'Final exam'!D58+'quiz 2'!D58+'Poster or Presentation'!D58+'practical exam or OSCE'!D58)&lt;&gt;0,'Mid1'!D58+'Mid2'!D58+'quiz 1'!D58+'Assignment or Proposal'!D58+'Final exam'!D58+'quiz 2'!D58+'Poster or Presentation'!D58+'practical exam or OSCE'!D58,"")</f>
        <v/>
      </c>
      <c r="H59" s="57" t="str">
        <f>IF(('Mid1'!E58+'Mid2'!E58+'quiz 1'!E58+'Assignment or Proposal'!E58+'Final exam'!E58+'quiz 2'!E58+'Poster or Presentation'!E58+'practical exam or OSCE'!E58)&lt;&gt;0,'Mid1'!E58+'Mid2'!E58+'quiz 1'!E58+'Assignment or Proposal'!E58+'Final exam'!E58+'quiz 2'!E58+'Poster or Presentation'!E58+'practical exam or OSCE'!E58,"")</f>
        <v/>
      </c>
      <c r="I59" s="57" t="str">
        <f>IF(('Mid1'!F58+'Mid2'!F58+'quiz 1'!F58+'Assignment or Proposal'!F58+'Final exam'!F58+'quiz 2'!F58+'Poster or Presentation'!F58+'practical exam or OSCE'!F58)&lt;&gt;0,'Mid1'!F58+'Mid2'!F58+'quiz 1'!F58+'Assignment or Proposal'!F58+'Final exam'!F58+'quiz 2'!F58+'Poster or Presentation'!F58+'practical exam or OSCE'!F58,"")</f>
        <v/>
      </c>
      <c r="J59" s="57" t="str">
        <f>IF(('Mid1'!G58+'Mid2'!G58+'quiz 1'!G58+'Assignment or Proposal'!G58+'Final exam'!G58+'quiz 2'!G58+'Poster or Presentation'!G58+'practical exam or OSCE'!G58)&lt;&gt;0,'Mid1'!G58+'Mid2'!G58+'quiz 1'!G58+'Assignment or Proposal'!G58+'Final exam'!G58+'quiz 2'!G58+'Poster or Presentation'!G58+'practical exam or OSCE'!G58,"")</f>
        <v/>
      </c>
      <c r="K59" s="57" t="str">
        <f>IF(('Mid1'!H58+'Mid2'!H58+'quiz 1'!H58+'Assignment or Proposal'!H58+'Final exam'!H58+'quiz 2'!H58+'Poster or Presentation'!H58+'practical exam or OSCE'!H58)&lt;&gt;0,'Mid1'!H58+'Mid2'!H58+'quiz 1'!H58+'Assignment or Proposal'!H58+'Final exam'!H58+'quiz 2'!H58+'Poster or Presentation'!H58+'practical exam or OSCE'!H58,"")</f>
        <v/>
      </c>
      <c r="L59" s="57" t="str">
        <f>IF(('Mid1'!I58+'Mid2'!I58+'quiz 1'!I58+'Assignment or Proposal'!I58+'Final exam'!I58+'quiz 2'!I58+'Poster or Presentation'!I58+'practical exam or OSCE'!I58)&lt;&gt;0,'Mid1'!I58+'Mid2'!I58+'quiz 1'!I58+'Assignment or Proposal'!I58+'Final exam'!I58+'quiz 2'!I58+'Poster or Presentation'!I58+'practical exam or OSCE'!I58,"")</f>
        <v/>
      </c>
      <c r="M59" s="57" t="str">
        <f>IF(('Mid1'!J58+'Mid2'!J58+'quiz 1'!J58+'Assignment or Proposal'!J58+'Final exam'!J58+'quiz 2'!J58+'Poster or Presentation'!J58+'practical exam or OSCE'!J58)&lt;&gt;0,'Mid1'!J58+'Mid2'!J58+'quiz 1'!J58+'Assignment or Proposal'!J58+'Final exam'!J58+'quiz 2'!J58+'Poster or Presentation'!J58+'practical exam or OSCE'!J58,"")</f>
        <v/>
      </c>
      <c r="N59" s="5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O59" s="5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P59" s="57" t="str">
        <f>IF(('Mid1'!M58+'Mid2'!M58+'quiz 1'!M58+'Assignment or Proposal'!M58+'Final exam'!M58+'quiz 2'!M58+'Poster or Presentation'!M58+'practical exam or OSCE'!M58)&lt;&gt;0,'Mid1'!M58+'Mid2'!M58+'quiz 1'!M58+'Assignment or Proposal'!M58+'Final exam'!M58+'quiz 2'!M58+'Poster or Presentation'!M58+'practical exam or OSCE'!M58,"")</f>
        <v/>
      </c>
      <c r="Q59" s="136" t="str">
        <f t="shared" si="4"/>
        <v/>
      </c>
    </row>
    <row r="60" spans="1:17" ht="20.25" hidden="1" customHeight="1" x14ac:dyDescent="0.25">
      <c r="A60" s="24">
        <v>49</v>
      </c>
      <c r="B60" s="24" t="str">
        <f>IF(StList!B51&lt;&gt;"",StList!B51,"")</f>
        <v>Pharmaceutical sciences</v>
      </c>
      <c r="C60" s="24" t="str">
        <f>IF(StList!E51&lt;&gt;"",StList!E51,"")</f>
        <v/>
      </c>
      <c r="D60" s="24" t="str">
        <f>IF(StList!F51&lt;&gt;"",StList!F51,"")</f>
        <v/>
      </c>
      <c r="E60" s="57" t="str">
        <f>IF(('Mid1'!B59+'Mid2'!B59+'quiz 1'!B59+'Assignment or Proposal'!B59+'Final exam'!B59+'quiz 2'!B59+'Poster or Presentation'!B59+'practical exam or OSCE'!B59)&lt;&gt;0,'Mid1'!B59+'Mid2'!B59+'quiz 1'!B59+'Assignment or Proposal'!B59+'Final exam'!B59+'quiz 2'!B59+'Poster or Presentation'!B59+'practical exam or OSCE'!B59,"")</f>
        <v/>
      </c>
      <c r="F60" s="57" t="str">
        <f>IF(('Mid1'!C59+'Mid2'!C59+'quiz 1'!C59+'Assignment or Proposal'!C59+'Final exam'!C59+'quiz 2'!C59+'Poster or Presentation'!C59+'practical exam or OSCE'!C59)&lt;&gt;0,'Mid1'!C59+'Mid2'!C59+'quiz 1'!C59+'Assignment or Proposal'!C59+'Final exam'!C59+'quiz 2'!C59+'Poster or Presentation'!C59+'practical exam or OSCE'!C59,"")</f>
        <v/>
      </c>
      <c r="G60" s="57" t="str">
        <f>IF(('Mid1'!D59+'Mid2'!D59+'quiz 1'!D59+'Assignment or Proposal'!D59+'Final exam'!D59+'quiz 2'!D59+'Poster or Presentation'!D59+'practical exam or OSCE'!D59)&lt;&gt;0,'Mid1'!D59+'Mid2'!D59+'quiz 1'!D59+'Assignment or Proposal'!D59+'Final exam'!D59+'quiz 2'!D59+'Poster or Presentation'!D59+'practical exam or OSCE'!D59,"")</f>
        <v/>
      </c>
      <c r="H60" s="57" t="str">
        <f>IF(('Mid1'!E59+'Mid2'!E59+'quiz 1'!E59+'Assignment or Proposal'!E59+'Final exam'!E59+'quiz 2'!E59+'Poster or Presentation'!E59+'practical exam or OSCE'!E59)&lt;&gt;0,'Mid1'!E59+'Mid2'!E59+'quiz 1'!E59+'Assignment or Proposal'!E59+'Final exam'!E59+'quiz 2'!E59+'Poster or Presentation'!E59+'practical exam or OSCE'!E59,"")</f>
        <v/>
      </c>
      <c r="I60" s="57" t="str">
        <f>IF(('Mid1'!F59+'Mid2'!F59+'quiz 1'!F59+'Assignment or Proposal'!F59+'Final exam'!F59+'quiz 2'!F59+'Poster or Presentation'!F59+'practical exam or OSCE'!F59)&lt;&gt;0,'Mid1'!F59+'Mid2'!F59+'quiz 1'!F59+'Assignment or Proposal'!F59+'Final exam'!F59+'quiz 2'!F59+'Poster or Presentation'!F59+'practical exam or OSCE'!F59,"")</f>
        <v/>
      </c>
      <c r="J60" s="57" t="str">
        <f>IF(('Mid1'!G59+'Mid2'!G59+'quiz 1'!G59+'Assignment or Proposal'!G59+'Final exam'!G59+'quiz 2'!G59+'Poster or Presentation'!G59+'practical exam or OSCE'!G59)&lt;&gt;0,'Mid1'!G59+'Mid2'!G59+'quiz 1'!G59+'Assignment or Proposal'!G59+'Final exam'!G59+'quiz 2'!G59+'Poster or Presentation'!G59+'practical exam or OSCE'!G59,"")</f>
        <v/>
      </c>
      <c r="K60" s="57" t="str">
        <f>IF(('Mid1'!H59+'Mid2'!H59+'quiz 1'!H59+'Assignment or Proposal'!H59+'Final exam'!H59+'quiz 2'!H59+'Poster or Presentation'!H59+'practical exam or OSCE'!H59)&lt;&gt;0,'Mid1'!H59+'Mid2'!H59+'quiz 1'!H59+'Assignment or Proposal'!H59+'Final exam'!H59+'quiz 2'!H59+'Poster or Presentation'!H59+'practical exam or OSCE'!H59,"")</f>
        <v/>
      </c>
      <c r="L60" s="57" t="str">
        <f>IF(('Mid1'!I59+'Mid2'!I59+'quiz 1'!I59+'Assignment or Proposal'!I59+'Final exam'!I59+'quiz 2'!I59+'Poster or Presentation'!I59+'practical exam or OSCE'!I59)&lt;&gt;0,'Mid1'!I59+'Mid2'!I59+'quiz 1'!I59+'Assignment or Proposal'!I59+'Final exam'!I59+'quiz 2'!I59+'Poster or Presentation'!I59+'practical exam or OSCE'!I59,"")</f>
        <v/>
      </c>
      <c r="M60" s="57" t="str">
        <f>IF(('Mid1'!J59+'Mid2'!J59+'quiz 1'!J59+'Assignment or Proposal'!J59+'Final exam'!J59+'quiz 2'!J59+'Poster or Presentation'!J59+'practical exam or OSCE'!J59)&lt;&gt;0,'Mid1'!J59+'Mid2'!J59+'quiz 1'!J59+'Assignment or Proposal'!J59+'Final exam'!J59+'quiz 2'!J59+'Poster or Presentation'!J59+'practical exam or OSCE'!J59,"")</f>
        <v/>
      </c>
      <c r="N60" s="5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O60" s="5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P60" s="57" t="str">
        <f>IF(('Mid1'!M59+'Mid2'!M59+'quiz 1'!M59+'Assignment or Proposal'!M59+'Final exam'!M59+'quiz 2'!M59+'Poster or Presentation'!M59+'practical exam or OSCE'!M59)&lt;&gt;0,'Mid1'!M59+'Mid2'!M59+'quiz 1'!M59+'Assignment or Proposal'!M59+'Final exam'!M59+'quiz 2'!M59+'Poster or Presentation'!M59+'practical exam or OSCE'!M59,"")</f>
        <v/>
      </c>
      <c r="Q60" s="136" t="str">
        <f t="shared" si="4"/>
        <v/>
      </c>
    </row>
    <row r="61" spans="1:17" ht="20.25" hidden="1" customHeight="1" x14ac:dyDescent="0.25">
      <c r="A61" s="24">
        <v>50</v>
      </c>
      <c r="B61" s="24" t="str">
        <f>IF(StList!B52&lt;&gt;"",StList!B52,"")</f>
        <v>Pharmaceutical sciences</v>
      </c>
      <c r="C61" s="24" t="str">
        <f>IF(StList!E52&lt;&gt;"",StList!E52,"")</f>
        <v/>
      </c>
      <c r="D61" s="24" t="str">
        <f>IF(StList!F52&lt;&gt;"",StList!F52,"")</f>
        <v/>
      </c>
      <c r="E61" s="57" t="str">
        <f>IF(('Mid1'!B60+'Mid2'!B60+'quiz 1'!B60+'Assignment or Proposal'!B60+'Final exam'!B60+'quiz 2'!B60+'Poster or Presentation'!B60+'practical exam or OSCE'!B60)&lt;&gt;0,'Mid1'!B60+'Mid2'!B60+'quiz 1'!B60+'Assignment or Proposal'!B60+'Final exam'!B60+'quiz 2'!B60+'Poster or Presentation'!B60+'practical exam or OSCE'!B60,"")</f>
        <v/>
      </c>
      <c r="F61" s="57" t="str">
        <f>IF(('Mid1'!C60+'Mid2'!C60+'quiz 1'!C60+'Assignment or Proposal'!C60+'Final exam'!C60+'quiz 2'!C60+'Poster or Presentation'!C60+'practical exam or OSCE'!C60)&lt;&gt;0,'Mid1'!C60+'Mid2'!C60+'quiz 1'!C60+'Assignment or Proposal'!C60+'Final exam'!C60+'quiz 2'!C60+'Poster or Presentation'!C60+'practical exam or OSCE'!C60,"")</f>
        <v/>
      </c>
      <c r="G61" s="57" t="str">
        <f>IF(('Mid1'!D60+'Mid2'!D60+'quiz 1'!D60+'Assignment or Proposal'!D60+'Final exam'!D60+'quiz 2'!D60+'Poster or Presentation'!D60+'practical exam or OSCE'!D60)&lt;&gt;0,'Mid1'!D60+'Mid2'!D60+'quiz 1'!D60+'Assignment or Proposal'!D60+'Final exam'!D60+'quiz 2'!D60+'Poster or Presentation'!D60+'practical exam or OSCE'!D60,"")</f>
        <v/>
      </c>
      <c r="H61" s="57" t="str">
        <f>IF(('Mid1'!E60+'Mid2'!E60+'quiz 1'!E60+'Assignment or Proposal'!E60+'Final exam'!E60+'quiz 2'!E60+'Poster or Presentation'!E60+'practical exam or OSCE'!E60)&lt;&gt;0,'Mid1'!E60+'Mid2'!E60+'quiz 1'!E60+'Assignment or Proposal'!E60+'Final exam'!E60+'quiz 2'!E60+'Poster or Presentation'!E60+'practical exam or OSCE'!E60,"")</f>
        <v/>
      </c>
      <c r="I61" s="57" t="str">
        <f>IF(('Mid1'!F60+'Mid2'!F60+'quiz 1'!F60+'Assignment or Proposal'!F60+'Final exam'!F60+'quiz 2'!F60+'Poster or Presentation'!F60+'practical exam or OSCE'!F60)&lt;&gt;0,'Mid1'!F60+'Mid2'!F60+'quiz 1'!F60+'Assignment or Proposal'!F60+'Final exam'!F60+'quiz 2'!F60+'Poster or Presentation'!F60+'practical exam or OSCE'!F60,"")</f>
        <v/>
      </c>
      <c r="J61" s="57" t="str">
        <f>IF(('Mid1'!G60+'Mid2'!G60+'quiz 1'!G60+'Assignment or Proposal'!G60+'Final exam'!G60+'quiz 2'!G60+'Poster or Presentation'!G60+'practical exam or OSCE'!G60)&lt;&gt;0,'Mid1'!G60+'Mid2'!G60+'quiz 1'!G60+'Assignment or Proposal'!G60+'Final exam'!G60+'quiz 2'!G60+'Poster or Presentation'!G60+'practical exam or OSCE'!G60,"")</f>
        <v/>
      </c>
      <c r="K61" s="57" t="str">
        <f>IF(('Mid1'!H60+'Mid2'!H60+'quiz 1'!H60+'Assignment or Proposal'!H60+'Final exam'!H60+'quiz 2'!H60+'Poster or Presentation'!H60+'practical exam or OSCE'!H60)&lt;&gt;0,'Mid1'!H60+'Mid2'!H60+'quiz 1'!H60+'Assignment or Proposal'!H60+'Final exam'!H60+'quiz 2'!H60+'Poster or Presentation'!H60+'practical exam or OSCE'!H60,"")</f>
        <v/>
      </c>
      <c r="L61" s="57" t="str">
        <f>IF(('Mid1'!I60+'Mid2'!I60+'quiz 1'!I60+'Assignment or Proposal'!I60+'Final exam'!I60+'quiz 2'!I60+'Poster or Presentation'!I60+'practical exam or OSCE'!I60)&lt;&gt;0,'Mid1'!I60+'Mid2'!I60+'quiz 1'!I60+'Assignment or Proposal'!I60+'Final exam'!I60+'quiz 2'!I60+'Poster or Presentation'!I60+'practical exam or OSCE'!I60,"")</f>
        <v/>
      </c>
      <c r="M61" s="57" t="str">
        <f>IF(('Mid1'!J60+'Mid2'!J60+'quiz 1'!J60+'Assignment or Proposal'!J60+'Final exam'!J60+'quiz 2'!J60+'Poster or Presentation'!J60+'practical exam or OSCE'!J60)&lt;&gt;0,'Mid1'!J60+'Mid2'!J60+'quiz 1'!J60+'Assignment or Proposal'!J60+'Final exam'!J60+'quiz 2'!J60+'Poster or Presentation'!J60+'practical exam or OSCE'!J60,"")</f>
        <v/>
      </c>
      <c r="N61" s="5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O61" s="5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P61" s="57" t="str">
        <f>IF(('Mid1'!M60+'Mid2'!M60+'quiz 1'!M60+'Assignment or Proposal'!M60+'Final exam'!M60+'quiz 2'!M60+'Poster or Presentation'!M60+'practical exam or OSCE'!M60)&lt;&gt;0,'Mid1'!M60+'Mid2'!M60+'quiz 1'!M60+'Assignment or Proposal'!M60+'Final exam'!M60+'quiz 2'!M60+'Poster or Presentation'!M60+'practical exam or OSCE'!M60,"")</f>
        <v/>
      </c>
      <c r="Q61" s="136" t="str">
        <f t="shared" si="4"/>
        <v/>
      </c>
    </row>
    <row r="62" spans="1:17" ht="20.25" hidden="1" customHeight="1" x14ac:dyDescent="0.25">
      <c r="A62" s="24">
        <v>51</v>
      </c>
      <c r="B62" s="24" t="str">
        <f>IF(StList!B53&lt;&gt;"",StList!B53,"")</f>
        <v>Pharmaceutical sciences</v>
      </c>
      <c r="C62" s="24" t="str">
        <f>IF(StList!E53&lt;&gt;"",StList!E53,"")</f>
        <v/>
      </c>
      <c r="D62" s="24" t="str">
        <f>IF(StList!F53&lt;&gt;"",StList!F53,"")</f>
        <v/>
      </c>
      <c r="E62" s="57" t="str">
        <f>IF(('Mid1'!B61+'Mid2'!B61+'quiz 1'!B61+'Assignment or Proposal'!B61+'Final exam'!B61+'quiz 2'!B61+'Poster or Presentation'!B61+'practical exam or OSCE'!B61)&lt;&gt;0,'Mid1'!B61+'Mid2'!B61+'quiz 1'!B61+'Assignment or Proposal'!B61+'Final exam'!B61+'quiz 2'!B61+'Poster or Presentation'!B61+'practical exam or OSCE'!B61,"")</f>
        <v/>
      </c>
      <c r="F62" s="57" t="str">
        <f>IF(('Mid1'!C61+'Mid2'!C61+'quiz 1'!C61+'Assignment or Proposal'!C61+'Final exam'!C61+'quiz 2'!C61+'Poster or Presentation'!C61+'practical exam or OSCE'!C61)&lt;&gt;0,'Mid1'!C61+'Mid2'!C61+'quiz 1'!C61+'Assignment or Proposal'!C61+'Final exam'!C61+'quiz 2'!C61+'Poster or Presentation'!C61+'practical exam or OSCE'!C61,"")</f>
        <v/>
      </c>
      <c r="G62" s="57" t="str">
        <f>IF(('Mid1'!D61+'Mid2'!D61+'quiz 1'!D61+'Assignment or Proposal'!D61+'Final exam'!D61+'quiz 2'!D61+'Poster or Presentation'!D61+'practical exam or OSCE'!D61)&lt;&gt;0,'Mid1'!D61+'Mid2'!D61+'quiz 1'!D61+'Assignment or Proposal'!D61+'Final exam'!D61+'quiz 2'!D61+'Poster or Presentation'!D61+'practical exam or OSCE'!D61,"")</f>
        <v/>
      </c>
      <c r="H62" s="57" t="str">
        <f>IF(('Mid1'!E61+'Mid2'!E61+'quiz 1'!E61+'Assignment or Proposal'!E61+'Final exam'!E61+'quiz 2'!E61+'Poster or Presentation'!E61+'practical exam or OSCE'!E61)&lt;&gt;0,'Mid1'!E61+'Mid2'!E61+'quiz 1'!E61+'Assignment or Proposal'!E61+'Final exam'!E61+'quiz 2'!E61+'Poster or Presentation'!E61+'practical exam or OSCE'!E61,"")</f>
        <v/>
      </c>
      <c r="I62" s="57" t="str">
        <f>IF(('Mid1'!F61+'Mid2'!F61+'quiz 1'!F61+'Assignment or Proposal'!F61+'Final exam'!F61+'quiz 2'!F61+'Poster or Presentation'!F61+'practical exam or OSCE'!F61)&lt;&gt;0,'Mid1'!F61+'Mid2'!F61+'quiz 1'!F61+'Assignment or Proposal'!F61+'Final exam'!F61+'quiz 2'!F61+'Poster or Presentation'!F61+'practical exam or OSCE'!F61,"")</f>
        <v/>
      </c>
      <c r="J62" s="57" t="str">
        <f>IF(('Mid1'!G61+'Mid2'!G61+'quiz 1'!G61+'Assignment or Proposal'!G61+'Final exam'!G61+'quiz 2'!G61+'Poster or Presentation'!G61+'practical exam or OSCE'!G61)&lt;&gt;0,'Mid1'!G61+'Mid2'!G61+'quiz 1'!G61+'Assignment or Proposal'!G61+'Final exam'!G61+'quiz 2'!G61+'Poster or Presentation'!G61+'practical exam or OSCE'!G61,"")</f>
        <v/>
      </c>
      <c r="K62" s="57" t="str">
        <f>IF(('Mid1'!H61+'Mid2'!H61+'quiz 1'!H61+'Assignment or Proposal'!H61+'Final exam'!H61+'quiz 2'!H61+'Poster or Presentation'!H61+'practical exam or OSCE'!H61)&lt;&gt;0,'Mid1'!H61+'Mid2'!H61+'quiz 1'!H61+'Assignment or Proposal'!H61+'Final exam'!H61+'quiz 2'!H61+'Poster or Presentation'!H61+'practical exam or OSCE'!H61,"")</f>
        <v/>
      </c>
      <c r="L62" s="57" t="str">
        <f>IF(('Mid1'!I61+'Mid2'!I61+'quiz 1'!I61+'Assignment or Proposal'!I61+'Final exam'!I61+'quiz 2'!I61+'Poster or Presentation'!I61+'practical exam or OSCE'!I61)&lt;&gt;0,'Mid1'!I61+'Mid2'!I61+'quiz 1'!I61+'Assignment or Proposal'!I61+'Final exam'!I61+'quiz 2'!I61+'Poster or Presentation'!I61+'practical exam or OSCE'!I61,"")</f>
        <v/>
      </c>
      <c r="M62" s="57" t="str">
        <f>IF(('Mid1'!J61+'Mid2'!J61+'quiz 1'!J61+'Assignment or Proposal'!J61+'Final exam'!J61+'quiz 2'!J61+'Poster or Presentation'!J61+'practical exam or OSCE'!J61)&lt;&gt;0,'Mid1'!J61+'Mid2'!J61+'quiz 1'!J61+'Assignment or Proposal'!J61+'Final exam'!J61+'quiz 2'!J61+'Poster or Presentation'!J61+'practical exam or OSCE'!J61,"")</f>
        <v/>
      </c>
      <c r="N62" s="5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O62" s="5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P62" s="57" t="str">
        <f>IF(('Mid1'!M61+'Mid2'!M61+'quiz 1'!M61+'Assignment or Proposal'!M61+'Final exam'!M61+'quiz 2'!M61+'Poster or Presentation'!M61+'practical exam or OSCE'!M61)&lt;&gt;0,'Mid1'!M61+'Mid2'!M61+'quiz 1'!M61+'Assignment or Proposal'!M61+'Final exam'!M61+'quiz 2'!M61+'Poster or Presentation'!M61+'practical exam or OSCE'!M61,"")</f>
        <v/>
      </c>
      <c r="Q62" s="136" t="str">
        <f t="shared" si="4"/>
        <v/>
      </c>
    </row>
    <row r="63" spans="1:17" ht="20.25" hidden="1" customHeight="1" x14ac:dyDescent="0.25">
      <c r="A63" s="24">
        <v>52</v>
      </c>
      <c r="B63" s="24" t="str">
        <f>IF(StList!B54&lt;&gt;"",StList!B54,"")</f>
        <v>Pharmaceutical sciences</v>
      </c>
      <c r="C63" s="24" t="str">
        <f>IF(StList!E54&lt;&gt;"",StList!E54,"")</f>
        <v/>
      </c>
      <c r="D63" s="24" t="str">
        <f>IF(StList!F54&lt;&gt;"",StList!F54,"")</f>
        <v/>
      </c>
      <c r="E63" s="57" t="str">
        <f>IF(('Mid1'!B62+'Mid2'!B62+'quiz 1'!B62+'Assignment or Proposal'!B62+'Final exam'!B62+'quiz 2'!B62+'Poster or Presentation'!B62+'practical exam or OSCE'!B62)&lt;&gt;0,'Mid1'!B62+'Mid2'!B62+'quiz 1'!B62+'Assignment or Proposal'!B62+'Final exam'!B62+'quiz 2'!B62+'Poster or Presentation'!B62+'practical exam or OSCE'!B62,"")</f>
        <v/>
      </c>
      <c r="F63" s="57" t="str">
        <f>IF(('Mid1'!C62+'Mid2'!C62+'quiz 1'!C62+'Assignment or Proposal'!C62+'Final exam'!C62+'quiz 2'!C62+'Poster or Presentation'!C62+'practical exam or OSCE'!C62)&lt;&gt;0,'Mid1'!C62+'Mid2'!C62+'quiz 1'!C62+'Assignment or Proposal'!C62+'Final exam'!C62+'quiz 2'!C62+'Poster or Presentation'!C62+'practical exam or OSCE'!C62,"")</f>
        <v/>
      </c>
      <c r="G63" s="57" t="str">
        <f>IF(('Mid1'!D62+'Mid2'!D62+'quiz 1'!D62+'Assignment or Proposal'!D62+'Final exam'!D62+'quiz 2'!D62+'Poster or Presentation'!D62+'practical exam or OSCE'!D62)&lt;&gt;0,'Mid1'!D62+'Mid2'!D62+'quiz 1'!D62+'Assignment or Proposal'!D62+'Final exam'!D62+'quiz 2'!D62+'Poster or Presentation'!D62+'practical exam or OSCE'!D62,"")</f>
        <v/>
      </c>
      <c r="H63" s="57" t="str">
        <f>IF(('Mid1'!E62+'Mid2'!E62+'quiz 1'!E62+'Assignment or Proposal'!E62+'Final exam'!E62+'quiz 2'!E62+'Poster or Presentation'!E62+'practical exam or OSCE'!E62)&lt;&gt;0,'Mid1'!E62+'Mid2'!E62+'quiz 1'!E62+'Assignment or Proposal'!E62+'Final exam'!E62+'quiz 2'!E62+'Poster or Presentation'!E62+'practical exam or OSCE'!E62,"")</f>
        <v/>
      </c>
      <c r="I63" s="57" t="str">
        <f>IF(('Mid1'!F62+'Mid2'!F62+'quiz 1'!F62+'Assignment or Proposal'!F62+'Final exam'!F62+'quiz 2'!F62+'Poster or Presentation'!F62+'practical exam or OSCE'!F62)&lt;&gt;0,'Mid1'!F62+'Mid2'!F62+'quiz 1'!F62+'Assignment or Proposal'!F62+'Final exam'!F62+'quiz 2'!F62+'Poster or Presentation'!F62+'practical exam or OSCE'!F62,"")</f>
        <v/>
      </c>
      <c r="J63" s="57" t="str">
        <f>IF(('Mid1'!G62+'Mid2'!G62+'quiz 1'!G62+'Assignment or Proposal'!G62+'Final exam'!G62+'quiz 2'!G62+'Poster or Presentation'!G62+'practical exam or OSCE'!G62)&lt;&gt;0,'Mid1'!G62+'Mid2'!G62+'quiz 1'!G62+'Assignment or Proposal'!G62+'Final exam'!G62+'quiz 2'!G62+'Poster or Presentation'!G62+'practical exam or OSCE'!G62,"")</f>
        <v/>
      </c>
      <c r="K63" s="57" t="str">
        <f>IF(('Mid1'!H62+'Mid2'!H62+'quiz 1'!H62+'Assignment or Proposal'!H62+'Final exam'!H62+'quiz 2'!H62+'Poster or Presentation'!H62+'practical exam or OSCE'!H62)&lt;&gt;0,'Mid1'!H62+'Mid2'!H62+'quiz 1'!H62+'Assignment or Proposal'!H62+'Final exam'!H62+'quiz 2'!H62+'Poster or Presentation'!H62+'practical exam or OSCE'!H62,"")</f>
        <v/>
      </c>
      <c r="L63" s="57" t="str">
        <f>IF(('Mid1'!I62+'Mid2'!I62+'quiz 1'!I62+'Assignment or Proposal'!I62+'Final exam'!I62+'quiz 2'!I62+'Poster or Presentation'!I62+'practical exam or OSCE'!I62)&lt;&gt;0,'Mid1'!I62+'Mid2'!I62+'quiz 1'!I62+'Assignment or Proposal'!I62+'Final exam'!I62+'quiz 2'!I62+'Poster or Presentation'!I62+'practical exam or OSCE'!I62,"")</f>
        <v/>
      </c>
      <c r="M63" s="57" t="str">
        <f>IF(('Mid1'!J62+'Mid2'!J62+'quiz 1'!J62+'Assignment or Proposal'!J62+'Final exam'!J62+'quiz 2'!J62+'Poster or Presentation'!J62+'practical exam or OSCE'!J62)&lt;&gt;0,'Mid1'!J62+'Mid2'!J62+'quiz 1'!J62+'Assignment or Proposal'!J62+'Final exam'!J62+'quiz 2'!J62+'Poster or Presentation'!J62+'practical exam or OSCE'!J62,"")</f>
        <v/>
      </c>
      <c r="N63" s="5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O63" s="5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P63" s="57" t="str">
        <f>IF(('Mid1'!M62+'Mid2'!M62+'quiz 1'!M62+'Assignment or Proposal'!M62+'Final exam'!M62+'quiz 2'!M62+'Poster or Presentation'!M62+'practical exam or OSCE'!M62)&lt;&gt;0,'Mid1'!M62+'Mid2'!M62+'quiz 1'!M62+'Assignment or Proposal'!M62+'Final exam'!M62+'quiz 2'!M62+'Poster or Presentation'!M62+'practical exam or OSCE'!M62,"")</f>
        <v/>
      </c>
      <c r="Q63" s="136" t="str">
        <f t="shared" si="4"/>
        <v/>
      </c>
    </row>
    <row r="64" spans="1:17" ht="20.25" hidden="1" customHeight="1" x14ac:dyDescent="0.25">
      <c r="A64" s="24">
        <v>53</v>
      </c>
      <c r="B64" s="24" t="str">
        <f>IF(StList!B55&lt;&gt;"",StList!B55,"")</f>
        <v>Pharmaceutical sciences</v>
      </c>
      <c r="C64" s="24" t="str">
        <f>IF(StList!E55&lt;&gt;"",StList!E55,"")</f>
        <v/>
      </c>
      <c r="D64" s="24" t="str">
        <f>IF(StList!F55&lt;&gt;"",StList!F55,"")</f>
        <v/>
      </c>
      <c r="E64" s="57" t="str">
        <f>IF(('Mid1'!B63+'Mid2'!B63+'quiz 1'!B63+'Assignment or Proposal'!B63+'Final exam'!B63+'quiz 2'!B63+'Poster or Presentation'!B63+'practical exam or OSCE'!B63)&lt;&gt;0,'Mid1'!B63+'Mid2'!B63+'quiz 1'!B63+'Assignment or Proposal'!B63+'Final exam'!B63+'quiz 2'!B63+'Poster or Presentation'!B63+'practical exam or OSCE'!B63,"")</f>
        <v/>
      </c>
      <c r="F64" s="57" t="str">
        <f>IF(('Mid1'!C63+'Mid2'!C63+'quiz 1'!C63+'Assignment or Proposal'!C63+'Final exam'!C63+'quiz 2'!C63+'Poster or Presentation'!C63+'practical exam or OSCE'!C63)&lt;&gt;0,'Mid1'!C63+'Mid2'!C63+'quiz 1'!C63+'Assignment or Proposal'!C63+'Final exam'!C63+'quiz 2'!C63+'Poster or Presentation'!C63+'practical exam or OSCE'!C63,"")</f>
        <v/>
      </c>
      <c r="G64" s="57" t="str">
        <f>IF(('Mid1'!D63+'Mid2'!D63+'quiz 1'!D63+'Assignment or Proposal'!D63+'Final exam'!D63+'quiz 2'!D63+'Poster or Presentation'!D63+'practical exam or OSCE'!D63)&lt;&gt;0,'Mid1'!D63+'Mid2'!D63+'quiz 1'!D63+'Assignment or Proposal'!D63+'Final exam'!D63+'quiz 2'!D63+'Poster or Presentation'!D63+'practical exam or OSCE'!D63,"")</f>
        <v/>
      </c>
      <c r="H64" s="57" t="str">
        <f>IF(('Mid1'!E63+'Mid2'!E63+'quiz 1'!E63+'Assignment or Proposal'!E63+'Final exam'!E63+'quiz 2'!E63+'Poster or Presentation'!E63+'practical exam or OSCE'!E63)&lt;&gt;0,'Mid1'!E63+'Mid2'!E63+'quiz 1'!E63+'Assignment or Proposal'!E63+'Final exam'!E63+'quiz 2'!E63+'Poster or Presentation'!E63+'practical exam or OSCE'!E63,"")</f>
        <v/>
      </c>
      <c r="I64" s="57" t="str">
        <f>IF(('Mid1'!F63+'Mid2'!F63+'quiz 1'!F63+'Assignment or Proposal'!F63+'Final exam'!F63+'quiz 2'!F63+'Poster or Presentation'!F63+'practical exam or OSCE'!F63)&lt;&gt;0,'Mid1'!F63+'Mid2'!F63+'quiz 1'!F63+'Assignment or Proposal'!F63+'Final exam'!F63+'quiz 2'!F63+'Poster or Presentation'!F63+'practical exam or OSCE'!F63,"")</f>
        <v/>
      </c>
      <c r="J64" s="57" t="str">
        <f>IF(('Mid1'!G63+'Mid2'!G63+'quiz 1'!G63+'Assignment or Proposal'!G63+'Final exam'!G63+'quiz 2'!G63+'Poster or Presentation'!G63+'practical exam or OSCE'!G63)&lt;&gt;0,'Mid1'!G63+'Mid2'!G63+'quiz 1'!G63+'Assignment or Proposal'!G63+'Final exam'!G63+'quiz 2'!G63+'Poster or Presentation'!G63+'practical exam or OSCE'!G63,"")</f>
        <v/>
      </c>
      <c r="K64" s="57" t="str">
        <f>IF(('Mid1'!H63+'Mid2'!H63+'quiz 1'!H63+'Assignment or Proposal'!H63+'Final exam'!H63+'quiz 2'!H63+'Poster or Presentation'!H63+'practical exam or OSCE'!H63)&lt;&gt;0,'Mid1'!H63+'Mid2'!H63+'quiz 1'!H63+'Assignment or Proposal'!H63+'Final exam'!H63+'quiz 2'!H63+'Poster or Presentation'!H63+'practical exam or OSCE'!H63,"")</f>
        <v/>
      </c>
      <c r="L64" s="57" t="str">
        <f>IF(('Mid1'!I63+'Mid2'!I63+'quiz 1'!I63+'Assignment or Proposal'!I63+'Final exam'!I63+'quiz 2'!I63+'Poster or Presentation'!I63+'practical exam or OSCE'!I63)&lt;&gt;0,'Mid1'!I63+'Mid2'!I63+'quiz 1'!I63+'Assignment or Proposal'!I63+'Final exam'!I63+'quiz 2'!I63+'Poster or Presentation'!I63+'practical exam or OSCE'!I63,"")</f>
        <v/>
      </c>
      <c r="M64" s="57" t="str">
        <f>IF(('Mid1'!J63+'Mid2'!J63+'quiz 1'!J63+'Assignment or Proposal'!J63+'Final exam'!J63+'quiz 2'!J63+'Poster or Presentation'!J63+'practical exam or OSCE'!J63)&lt;&gt;0,'Mid1'!J63+'Mid2'!J63+'quiz 1'!J63+'Assignment or Proposal'!J63+'Final exam'!J63+'quiz 2'!J63+'Poster or Presentation'!J63+'practical exam or OSCE'!J63,"")</f>
        <v/>
      </c>
      <c r="N64" s="5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O64" s="5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P64" s="57" t="str">
        <f>IF(('Mid1'!M63+'Mid2'!M63+'quiz 1'!M63+'Assignment or Proposal'!M63+'Final exam'!M63+'quiz 2'!M63+'Poster or Presentation'!M63+'practical exam or OSCE'!M63)&lt;&gt;0,'Mid1'!M63+'Mid2'!M63+'quiz 1'!M63+'Assignment or Proposal'!M63+'Final exam'!M63+'quiz 2'!M63+'Poster or Presentation'!M63+'practical exam or OSCE'!M63,"")</f>
        <v/>
      </c>
      <c r="Q64" s="136" t="str">
        <f t="shared" si="4"/>
        <v/>
      </c>
    </row>
    <row r="65" spans="1:17" ht="20.25" hidden="1" customHeight="1" x14ac:dyDescent="0.25">
      <c r="A65" s="24">
        <v>54</v>
      </c>
      <c r="B65" s="24" t="str">
        <f>IF(StList!B56&lt;&gt;"",StList!B56,"")</f>
        <v>Pharmaceutical sciences</v>
      </c>
      <c r="C65" s="24" t="str">
        <f>IF(StList!E56&lt;&gt;"",StList!E56,"")</f>
        <v/>
      </c>
      <c r="D65" s="24" t="str">
        <f>IF(StList!F56&lt;&gt;"",StList!F56,"")</f>
        <v/>
      </c>
      <c r="E65" s="57" t="str">
        <f>IF(('Mid1'!B64+'Mid2'!B64+'quiz 1'!B64+'Assignment or Proposal'!B64+'Final exam'!B64+'quiz 2'!B64+'Poster or Presentation'!B64+'practical exam or OSCE'!B64)&lt;&gt;0,'Mid1'!B64+'Mid2'!B64+'quiz 1'!B64+'Assignment or Proposal'!B64+'Final exam'!B64+'quiz 2'!B64+'Poster or Presentation'!B64+'practical exam or OSCE'!B64,"")</f>
        <v/>
      </c>
      <c r="F65" s="57" t="str">
        <f>IF(('Mid1'!C64+'Mid2'!C64+'quiz 1'!C64+'Assignment or Proposal'!C64+'Final exam'!C64+'quiz 2'!C64+'Poster or Presentation'!C64+'practical exam or OSCE'!C64)&lt;&gt;0,'Mid1'!C64+'Mid2'!C64+'quiz 1'!C64+'Assignment or Proposal'!C64+'Final exam'!C64+'quiz 2'!C64+'Poster or Presentation'!C64+'practical exam or OSCE'!C64,"")</f>
        <v/>
      </c>
      <c r="G65" s="57" t="str">
        <f>IF(('Mid1'!D64+'Mid2'!D64+'quiz 1'!D64+'Assignment or Proposal'!D64+'Final exam'!D64+'quiz 2'!D64+'Poster or Presentation'!D64+'practical exam or OSCE'!D64)&lt;&gt;0,'Mid1'!D64+'Mid2'!D64+'quiz 1'!D64+'Assignment or Proposal'!D64+'Final exam'!D64+'quiz 2'!D64+'Poster or Presentation'!D64+'practical exam or OSCE'!D64,"")</f>
        <v/>
      </c>
      <c r="H65" s="57" t="str">
        <f>IF(('Mid1'!E64+'Mid2'!E64+'quiz 1'!E64+'Assignment or Proposal'!E64+'Final exam'!E64+'quiz 2'!E64+'Poster or Presentation'!E64+'practical exam or OSCE'!E64)&lt;&gt;0,'Mid1'!E64+'Mid2'!E64+'quiz 1'!E64+'Assignment or Proposal'!E64+'Final exam'!E64+'quiz 2'!E64+'Poster or Presentation'!E64+'practical exam or OSCE'!E64,"")</f>
        <v/>
      </c>
      <c r="I65" s="57" t="str">
        <f>IF(('Mid1'!F64+'Mid2'!F64+'quiz 1'!F64+'Assignment or Proposal'!F64+'Final exam'!F64+'quiz 2'!F64+'Poster or Presentation'!F64+'practical exam or OSCE'!F64)&lt;&gt;0,'Mid1'!F64+'Mid2'!F64+'quiz 1'!F64+'Assignment or Proposal'!F64+'Final exam'!F64+'quiz 2'!F64+'Poster or Presentation'!F64+'practical exam or OSCE'!F64,"")</f>
        <v/>
      </c>
      <c r="J65" s="57" t="str">
        <f>IF(('Mid1'!G64+'Mid2'!G64+'quiz 1'!G64+'Assignment or Proposal'!G64+'Final exam'!G64+'quiz 2'!G64+'Poster or Presentation'!G64+'practical exam or OSCE'!G64)&lt;&gt;0,'Mid1'!G64+'Mid2'!G64+'quiz 1'!G64+'Assignment or Proposal'!G64+'Final exam'!G64+'quiz 2'!G64+'Poster or Presentation'!G64+'practical exam or OSCE'!G64,"")</f>
        <v/>
      </c>
      <c r="K65" s="57" t="str">
        <f>IF(('Mid1'!H64+'Mid2'!H64+'quiz 1'!H64+'Assignment or Proposal'!H64+'Final exam'!H64+'quiz 2'!H64+'Poster or Presentation'!H64+'practical exam or OSCE'!H64)&lt;&gt;0,'Mid1'!H64+'Mid2'!H64+'quiz 1'!H64+'Assignment or Proposal'!H64+'Final exam'!H64+'quiz 2'!H64+'Poster or Presentation'!H64+'practical exam or OSCE'!H64,"")</f>
        <v/>
      </c>
      <c r="L65" s="57" t="str">
        <f>IF(('Mid1'!I64+'Mid2'!I64+'quiz 1'!I64+'Assignment or Proposal'!I64+'Final exam'!I64+'quiz 2'!I64+'Poster or Presentation'!I64+'practical exam or OSCE'!I64)&lt;&gt;0,'Mid1'!I64+'Mid2'!I64+'quiz 1'!I64+'Assignment or Proposal'!I64+'Final exam'!I64+'quiz 2'!I64+'Poster or Presentation'!I64+'practical exam or OSCE'!I64,"")</f>
        <v/>
      </c>
      <c r="M65" s="57" t="str">
        <f>IF(('Mid1'!J64+'Mid2'!J64+'quiz 1'!J64+'Assignment or Proposal'!J64+'Final exam'!J64+'quiz 2'!J64+'Poster or Presentation'!J64+'practical exam or OSCE'!J64)&lt;&gt;0,'Mid1'!J64+'Mid2'!J64+'quiz 1'!J64+'Assignment or Proposal'!J64+'Final exam'!J64+'quiz 2'!J64+'Poster or Presentation'!J64+'practical exam or OSCE'!J64,"")</f>
        <v/>
      </c>
      <c r="N65" s="5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O65" s="5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P65" s="57" t="str">
        <f>IF(('Mid1'!M64+'Mid2'!M64+'quiz 1'!M64+'Assignment or Proposal'!M64+'Final exam'!M64+'quiz 2'!M64+'Poster or Presentation'!M64+'practical exam or OSCE'!M64)&lt;&gt;0,'Mid1'!M64+'Mid2'!M64+'quiz 1'!M64+'Assignment or Proposal'!M64+'Final exam'!M64+'quiz 2'!M64+'Poster or Presentation'!M64+'practical exam or OSCE'!M64,"")</f>
        <v/>
      </c>
      <c r="Q65" s="136" t="str">
        <f t="shared" si="4"/>
        <v/>
      </c>
    </row>
    <row r="66" spans="1:17" ht="20.25" hidden="1" customHeight="1" x14ac:dyDescent="0.25">
      <c r="A66" s="24">
        <v>55</v>
      </c>
      <c r="B66" s="24" t="str">
        <f>IF(StList!B57&lt;&gt;"",StList!B57,"")</f>
        <v>Pharmaceutical sciences</v>
      </c>
      <c r="C66" s="24" t="str">
        <f>IF(StList!E57&lt;&gt;"",StList!E57,"")</f>
        <v/>
      </c>
      <c r="D66" s="24" t="str">
        <f>IF(StList!F57&lt;&gt;"",StList!F57,"")</f>
        <v/>
      </c>
      <c r="E66" s="57" t="str">
        <f>IF(('Mid1'!B65+'Mid2'!B65+'quiz 1'!B65+'Assignment or Proposal'!B65+'Final exam'!B65+'quiz 2'!B65+'Poster or Presentation'!B65+'practical exam or OSCE'!B65)&lt;&gt;0,'Mid1'!B65+'Mid2'!B65+'quiz 1'!B65+'Assignment or Proposal'!B65+'Final exam'!B65+'quiz 2'!B65+'Poster or Presentation'!B65+'practical exam or OSCE'!B65,"")</f>
        <v/>
      </c>
      <c r="F66" s="57" t="str">
        <f>IF(('Mid1'!C65+'Mid2'!C65+'quiz 1'!C65+'Assignment or Proposal'!C65+'Final exam'!C65+'quiz 2'!C65+'Poster or Presentation'!C65+'practical exam or OSCE'!C65)&lt;&gt;0,'Mid1'!C65+'Mid2'!C65+'quiz 1'!C65+'Assignment or Proposal'!C65+'Final exam'!C65+'quiz 2'!C65+'Poster or Presentation'!C65+'practical exam or OSCE'!C65,"")</f>
        <v/>
      </c>
      <c r="G66" s="57" t="str">
        <f>IF(('Mid1'!D65+'Mid2'!D65+'quiz 1'!D65+'Assignment or Proposal'!D65+'Final exam'!D65+'quiz 2'!D65+'Poster or Presentation'!D65+'practical exam or OSCE'!D65)&lt;&gt;0,'Mid1'!D65+'Mid2'!D65+'quiz 1'!D65+'Assignment or Proposal'!D65+'Final exam'!D65+'quiz 2'!D65+'Poster or Presentation'!D65+'practical exam or OSCE'!D65,"")</f>
        <v/>
      </c>
      <c r="H66" s="57" t="str">
        <f>IF(('Mid1'!E65+'Mid2'!E65+'quiz 1'!E65+'Assignment or Proposal'!E65+'Final exam'!E65+'quiz 2'!E65+'Poster or Presentation'!E65+'practical exam or OSCE'!E65)&lt;&gt;0,'Mid1'!E65+'Mid2'!E65+'quiz 1'!E65+'Assignment or Proposal'!E65+'Final exam'!E65+'quiz 2'!E65+'Poster or Presentation'!E65+'practical exam or OSCE'!E65,"")</f>
        <v/>
      </c>
      <c r="I66" s="57" t="str">
        <f>IF(('Mid1'!F65+'Mid2'!F65+'quiz 1'!F65+'Assignment or Proposal'!F65+'Final exam'!F65+'quiz 2'!F65+'Poster or Presentation'!F65+'practical exam or OSCE'!F65)&lt;&gt;0,'Mid1'!F65+'Mid2'!F65+'quiz 1'!F65+'Assignment or Proposal'!F65+'Final exam'!F65+'quiz 2'!F65+'Poster or Presentation'!F65+'practical exam or OSCE'!F65,"")</f>
        <v/>
      </c>
      <c r="J66" s="57" t="str">
        <f>IF(('Mid1'!G65+'Mid2'!G65+'quiz 1'!G65+'Assignment or Proposal'!G65+'Final exam'!G65+'quiz 2'!G65+'Poster or Presentation'!G65+'practical exam or OSCE'!G65)&lt;&gt;0,'Mid1'!G65+'Mid2'!G65+'quiz 1'!G65+'Assignment or Proposal'!G65+'Final exam'!G65+'quiz 2'!G65+'Poster or Presentation'!G65+'practical exam or OSCE'!G65,"")</f>
        <v/>
      </c>
      <c r="K66" s="57" t="str">
        <f>IF(('Mid1'!H65+'Mid2'!H65+'quiz 1'!H65+'Assignment or Proposal'!H65+'Final exam'!H65+'quiz 2'!H65+'Poster or Presentation'!H65+'practical exam or OSCE'!H65)&lt;&gt;0,'Mid1'!H65+'Mid2'!H65+'quiz 1'!H65+'Assignment or Proposal'!H65+'Final exam'!H65+'quiz 2'!H65+'Poster or Presentation'!H65+'practical exam or OSCE'!H65,"")</f>
        <v/>
      </c>
      <c r="L66" s="57" t="str">
        <f>IF(('Mid1'!I65+'Mid2'!I65+'quiz 1'!I65+'Assignment or Proposal'!I65+'Final exam'!I65+'quiz 2'!I65+'Poster or Presentation'!I65+'practical exam or OSCE'!I65)&lt;&gt;0,'Mid1'!I65+'Mid2'!I65+'quiz 1'!I65+'Assignment or Proposal'!I65+'Final exam'!I65+'quiz 2'!I65+'Poster or Presentation'!I65+'practical exam or OSCE'!I65,"")</f>
        <v/>
      </c>
      <c r="M66" s="57" t="str">
        <f>IF(('Mid1'!J65+'Mid2'!J65+'quiz 1'!J65+'Assignment or Proposal'!J65+'Final exam'!J65+'quiz 2'!J65+'Poster or Presentation'!J65+'practical exam or OSCE'!J65)&lt;&gt;0,'Mid1'!J65+'Mid2'!J65+'quiz 1'!J65+'Assignment or Proposal'!J65+'Final exam'!J65+'quiz 2'!J65+'Poster or Presentation'!J65+'practical exam or OSCE'!J65,"")</f>
        <v/>
      </c>
      <c r="N66" s="5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O66" s="5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P66" s="57" t="str">
        <f>IF(('Mid1'!M65+'Mid2'!M65+'quiz 1'!M65+'Assignment or Proposal'!M65+'Final exam'!M65+'quiz 2'!M65+'Poster or Presentation'!M65+'practical exam or OSCE'!M65)&lt;&gt;0,'Mid1'!M65+'Mid2'!M65+'quiz 1'!M65+'Assignment or Proposal'!M65+'Final exam'!M65+'quiz 2'!M65+'Poster or Presentation'!M65+'practical exam or OSCE'!M65,"")</f>
        <v/>
      </c>
      <c r="Q66" s="136" t="str">
        <f t="shared" si="4"/>
        <v/>
      </c>
    </row>
    <row r="67" spans="1:17" ht="20.25" hidden="1" customHeight="1" x14ac:dyDescent="0.25">
      <c r="A67" s="24">
        <v>56</v>
      </c>
      <c r="B67" s="24" t="str">
        <f>IF(StList!B58&lt;&gt;"",StList!B58,"")</f>
        <v>Pharmaceutical sciences</v>
      </c>
      <c r="C67" s="24" t="str">
        <f>IF(StList!E58&lt;&gt;"",StList!E58,"")</f>
        <v/>
      </c>
      <c r="D67" s="24" t="str">
        <f>IF(StList!F58&lt;&gt;"",StList!F58,"")</f>
        <v/>
      </c>
      <c r="E67" s="57" t="str">
        <f>IF(('Mid1'!B66+'Mid2'!B66+'quiz 1'!B66+'Assignment or Proposal'!B66+'Final exam'!B66+'quiz 2'!B66+'Poster or Presentation'!B66+'practical exam or OSCE'!B66)&lt;&gt;0,'Mid1'!B66+'Mid2'!B66+'quiz 1'!B66+'Assignment or Proposal'!B66+'Final exam'!B66+'quiz 2'!B66+'Poster or Presentation'!B66+'practical exam or OSCE'!B66,"")</f>
        <v/>
      </c>
      <c r="F67" s="57" t="str">
        <f>IF(('Mid1'!C66+'Mid2'!C66+'quiz 1'!C66+'Assignment or Proposal'!C66+'Final exam'!C66+'quiz 2'!C66+'Poster or Presentation'!C66+'practical exam or OSCE'!C66)&lt;&gt;0,'Mid1'!C66+'Mid2'!C66+'quiz 1'!C66+'Assignment or Proposal'!C66+'Final exam'!C66+'quiz 2'!C66+'Poster or Presentation'!C66+'practical exam or OSCE'!C66,"")</f>
        <v/>
      </c>
      <c r="G67" s="57" t="str">
        <f>IF(('Mid1'!D66+'Mid2'!D66+'quiz 1'!D66+'Assignment or Proposal'!D66+'Final exam'!D66+'quiz 2'!D66+'Poster or Presentation'!D66+'practical exam or OSCE'!D66)&lt;&gt;0,'Mid1'!D66+'Mid2'!D66+'quiz 1'!D66+'Assignment or Proposal'!D66+'Final exam'!D66+'quiz 2'!D66+'Poster or Presentation'!D66+'practical exam or OSCE'!D66,"")</f>
        <v/>
      </c>
      <c r="H67" s="57" t="str">
        <f>IF(('Mid1'!E66+'Mid2'!E66+'quiz 1'!E66+'Assignment or Proposal'!E66+'Final exam'!E66+'quiz 2'!E66+'Poster or Presentation'!E66+'practical exam or OSCE'!E66)&lt;&gt;0,'Mid1'!E66+'Mid2'!E66+'quiz 1'!E66+'Assignment or Proposal'!E66+'Final exam'!E66+'quiz 2'!E66+'Poster or Presentation'!E66+'practical exam or OSCE'!E66,"")</f>
        <v/>
      </c>
      <c r="I67" s="57" t="str">
        <f>IF(('Mid1'!F66+'Mid2'!F66+'quiz 1'!F66+'Assignment or Proposal'!F66+'Final exam'!F66+'quiz 2'!F66+'Poster or Presentation'!F66+'practical exam or OSCE'!F66)&lt;&gt;0,'Mid1'!F66+'Mid2'!F66+'quiz 1'!F66+'Assignment or Proposal'!F66+'Final exam'!F66+'quiz 2'!F66+'Poster or Presentation'!F66+'practical exam or OSCE'!F66,"")</f>
        <v/>
      </c>
      <c r="J67" s="57" t="str">
        <f>IF(('Mid1'!G66+'Mid2'!G66+'quiz 1'!G66+'Assignment or Proposal'!G66+'Final exam'!G66+'quiz 2'!G66+'Poster or Presentation'!G66+'practical exam or OSCE'!G66)&lt;&gt;0,'Mid1'!G66+'Mid2'!G66+'quiz 1'!G66+'Assignment or Proposal'!G66+'Final exam'!G66+'quiz 2'!G66+'Poster or Presentation'!G66+'practical exam or OSCE'!G66,"")</f>
        <v/>
      </c>
      <c r="K67" s="57" t="str">
        <f>IF(('Mid1'!H66+'Mid2'!H66+'quiz 1'!H66+'Assignment or Proposal'!H66+'Final exam'!H66+'quiz 2'!H66+'Poster or Presentation'!H66+'practical exam or OSCE'!H66)&lt;&gt;0,'Mid1'!H66+'Mid2'!H66+'quiz 1'!H66+'Assignment or Proposal'!H66+'Final exam'!H66+'quiz 2'!H66+'Poster or Presentation'!H66+'practical exam or OSCE'!H66,"")</f>
        <v/>
      </c>
      <c r="L67" s="57" t="str">
        <f>IF(('Mid1'!I66+'Mid2'!I66+'quiz 1'!I66+'Assignment or Proposal'!I66+'Final exam'!I66+'quiz 2'!I66+'Poster or Presentation'!I66+'practical exam or OSCE'!I66)&lt;&gt;0,'Mid1'!I66+'Mid2'!I66+'quiz 1'!I66+'Assignment or Proposal'!I66+'Final exam'!I66+'quiz 2'!I66+'Poster or Presentation'!I66+'practical exam or OSCE'!I66,"")</f>
        <v/>
      </c>
      <c r="M67" s="57" t="str">
        <f>IF(('Mid1'!J66+'Mid2'!J66+'quiz 1'!J66+'Assignment or Proposal'!J66+'Final exam'!J66+'quiz 2'!J66+'Poster or Presentation'!J66+'practical exam or OSCE'!J66)&lt;&gt;0,'Mid1'!J66+'Mid2'!J66+'quiz 1'!J66+'Assignment or Proposal'!J66+'Final exam'!J66+'quiz 2'!J66+'Poster or Presentation'!J66+'practical exam or OSCE'!J66,"")</f>
        <v/>
      </c>
      <c r="N67" s="5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O67" s="5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P67" s="57" t="str">
        <f>IF(('Mid1'!M66+'Mid2'!M66+'quiz 1'!M66+'Assignment or Proposal'!M66+'Final exam'!M66+'quiz 2'!M66+'Poster or Presentation'!M66+'practical exam or OSCE'!M66)&lt;&gt;0,'Mid1'!M66+'Mid2'!M66+'quiz 1'!M66+'Assignment or Proposal'!M66+'Final exam'!M66+'quiz 2'!M66+'Poster or Presentation'!M66+'practical exam or OSCE'!M66,"")</f>
        <v/>
      </c>
      <c r="Q67" s="136" t="str">
        <f t="shared" si="4"/>
        <v/>
      </c>
    </row>
    <row r="68" spans="1:17" ht="20.25" hidden="1" customHeight="1" x14ac:dyDescent="0.25">
      <c r="A68" s="24">
        <v>57</v>
      </c>
      <c r="B68" s="24" t="str">
        <f>IF(StList!B59&lt;&gt;"",StList!B59,"")</f>
        <v>Pharmaceutical sciences</v>
      </c>
      <c r="C68" s="24" t="str">
        <f>IF(StList!E59&lt;&gt;"",StList!E59,"")</f>
        <v/>
      </c>
      <c r="D68" s="24" t="str">
        <f>IF(StList!F59&lt;&gt;"",StList!F59,"")</f>
        <v/>
      </c>
      <c r="E68" s="57" t="str">
        <f>IF(('Mid1'!B67+'Mid2'!B67+'quiz 1'!B67+'Assignment or Proposal'!B67+'Final exam'!B67+'quiz 2'!B67+'Poster or Presentation'!B67+'practical exam or OSCE'!B67)&lt;&gt;0,'Mid1'!B67+'Mid2'!B67+'quiz 1'!B67+'Assignment or Proposal'!B67+'Final exam'!B67+'quiz 2'!B67+'Poster or Presentation'!B67+'practical exam or OSCE'!B67,"")</f>
        <v/>
      </c>
      <c r="F68" s="57" t="str">
        <f>IF(('Mid1'!C67+'Mid2'!C67+'quiz 1'!C67+'Assignment or Proposal'!C67+'Final exam'!C67+'quiz 2'!C67+'Poster or Presentation'!C67+'practical exam or OSCE'!C67)&lt;&gt;0,'Mid1'!C67+'Mid2'!C67+'quiz 1'!C67+'Assignment or Proposal'!C67+'Final exam'!C67+'quiz 2'!C67+'Poster or Presentation'!C67+'practical exam or OSCE'!C67,"")</f>
        <v/>
      </c>
      <c r="G68" s="57" t="str">
        <f>IF(('Mid1'!D67+'Mid2'!D67+'quiz 1'!D67+'Assignment or Proposal'!D67+'Final exam'!D67+'quiz 2'!D67+'Poster or Presentation'!D67+'practical exam or OSCE'!D67)&lt;&gt;0,'Mid1'!D67+'Mid2'!D67+'quiz 1'!D67+'Assignment or Proposal'!D67+'Final exam'!D67+'quiz 2'!D67+'Poster or Presentation'!D67+'practical exam or OSCE'!D67,"")</f>
        <v/>
      </c>
      <c r="H68" s="57" t="str">
        <f>IF(('Mid1'!E67+'Mid2'!E67+'quiz 1'!E67+'Assignment or Proposal'!E67+'Final exam'!E67+'quiz 2'!E67+'Poster or Presentation'!E67+'practical exam or OSCE'!E67)&lt;&gt;0,'Mid1'!E67+'Mid2'!E67+'quiz 1'!E67+'Assignment or Proposal'!E67+'Final exam'!E67+'quiz 2'!E67+'Poster or Presentation'!E67+'practical exam or OSCE'!E67,"")</f>
        <v/>
      </c>
      <c r="I68" s="57" t="str">
        <f>IF(('Mid1'!F67+'Mid2'!F67+'quiz 1'!F67+'Assignment or Proposal'!F67+'Final exam'!F67+'quiz 2'!F67+'Poster or Presentation'!F67+'practical exam or OSCE'!F67)&lt;&gt;0,'Mid1'!F67+'Mid2'!F67+'quiz 1'!F67+'Assignment or Proposal'!F67+'Final exam'!F67+'quiz 2'!F67+'Poster or Presentation'!F67+'practical exam or OSCE'!F67,"")</f>
        <v/>
      </c>
      <c r="J68" s="57" t="str">
        <f>IF(('Mid1'!G67+'Mid2'!G67+'quiz 1'!G67+'Assignment or Proposal'!G67+'Final exam'!G67+'quiz 2'!G67+'Poster or Presentation'!G67+'practical exam or OSCE'!G67)&lt;&gt;0,'Mid1'!G67+'Mid2'!G67+'quiz 1'!G67+'Assignment or Proposal'!G67+'Final exam'!G67+'quiz 2'!G67+'Poster or Presentation'!G67+'practical exam or OSCE'!G67,"")</f>
        <v/>
      </c>
      <c r="K68" s="57" t="str">
        <f>IF(('Mid1'!H67+'Mid2'!H67+'quiz 1'!H67+'Assignment or Proposal'!H67+'Final exam'!H67+'quiz 2'!H67+'Poster or Presentation'!H67+'practical exam or OSCE'!H67)&lt;&gt;0,'Mid1'!H67+'Mid2'!H67+'quiz 1'!H67+'Assignment or Proposal'!H67+'Final exam'!H67+'quiz 2'!H67+'Poster or Presentation'!H67+'practical exam or OSCE'!H67,"")</f>
        <v/>
      </c>
      <c r="L68" s="57" t="str">
        <f>IF(('Mid1'!I67+'Mid2'!I67+'quiz 1'!I67+'Assignment or Proposal'!I67+'Final exam'!I67+'quiz 2'!I67+'Poster or Presentation'!I67+'practical exam or OSCE'!I67)&lt;&gt;0,'Mid1'!I67+'Mid2'!I67+'quiz 1'!I67+'Assignment or Proposal'!I67+'Final exam'!I67+'quiz 2'!I67+'Poster or Presentation'!I67+'practical exam or OSCE'!I67,"")</f>
        <v/>
      </c>
      <c r="M68" s="57" t="str">
        <f>IF(('Mid1'!J67+'Mid2'!J67+'quiz 1'!J67+'Assignment or Proposal'!J67+'Final exam'!J67+'quiz 2'!J67+'Poster or Presentation'!J67+'practical exam or OSCE'!J67)&lt;&gt;0,'Mid1'!J67+'Mid2'!J67+'quiz 1'!J67+'Assignment or Proposal'!J67+'Final exam'!J67+'quiz 2'!J67+'Poster or Presentation'!J67+'practical exam or OSCE'!J67,"")</f>
        <v/>
      </c>
      <c r="N68" s="5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O68" s="5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P68" s="57" t="str">
        <f>IF(('Mid1'!M67+'Mid2'!M67+'quiz 1'!M67+'Assignment or Proposal'!M67+'Final exam'!M67+'quiz 2'!M67+'Poster or Presentation'!M67+'practical exam or OSCE'!M67)&lt;&gt;0,'Mid1'!M67+'Mid2'!M67+'quiz 1'!M67+'Assignment or Proposal'!M67+'Final exam'!M67+'quiz 2'!M67+'Poster or Presentation'!M67+'practical exam or OSCE'!M67,"")</f>
        <v/>
      </c>
      <c r="Q68" s="136" t="str">
        <f t="shared" si="4"/>
        <v/>
      </c>
    </row>
    <row r="69" spans="1:17" ht="20.25" hidden="1" customHeight="1" x14ac:dyDescent="0.25">
      <c r="A69" s="24">
        <v>58</v>
      </c>
      <c r="B69" s="24" t="str">
        <f>IF(StList!B60&lt;&gt;"",StList!B60,"")</f>
        <v>Pharmaceutical sciences</v>
      </c>
      <c r="C69" s="24" t="str">
        <f>IF(StList!E60&lt;&gt;"",StList!E60,"")</f>
        <v/>
      </c>
      <c r="D69" s="24" t="str">
        <f>IF(StList!F60&lt;&gt;"",StList!F60,"")</f>
        <v/>
      </c>
      <c r="E69" s="57" t="str">
        <f>IF(('Mid1'!B68+'Mid2'!B68+'quiz 1'!B68+'Assignment or Proposal'!B68+'Final exam'!B68+'quiz 2'!B68+'Poster or Presentation'!B68+'practical exam or OSCE'!B68)&lt;&gt;0,'Mid1'!B68+'Mid2'!B68+'quiz 1'!B68+'Assignment or Proposal'!B68+'Final exam'!B68+'quiz 2'!B68+'Poster or Presentation'!B68+'practical exam or OSCE'!B68,"")</f>
        <v/>
      </c>
      <c r="F69" s="57" t="str">
        <f>IF(('Mid1'!C68+'Mid2'!C68+'quiz 1'!C68+'Assignment or Proposal'!C68+'Final exam'!C68+'quiz 2'!C68+'Poster or Presentation'!C68+'practical exam or OSCE'!C68)&lt;&gt;0,'Mid1'!C68+'Mid2'!C68+'quiz 1'!C68+'Assignment or Proposal'!C68+'Final exam'!C68+'quiz 2'!C68+'Poster or Presentation'!C68+'practical exam or OSCE'!C68,"")</f>
        <v/>
      </c>
      <c r="G69" s="57" t="str">
        <f>IF(('Mid1'!D68+'Mid2'!D68+'quiz 1'!D68+'Assignment or Proposal'!D68+'Final exam'!D68+'quiz 2'!D68+'Poster or Presentation'!D68+'practical exam or OSCE'!D68)&lt;&gt;0,'Mid1'!D68+'Mid2'!D68+'quiz 1'!D68+'Assignment or Proposal'!D68+'Final exam'!D68+'quiz 2'!D68+'Poster or Presentation'!D68+'practical exam or OSCE'!D68,"")</f>
        <v/>
      </c>
      <c r="H69" s="57" t="str">
        <f>IF(('Mid1'!E68+'Mid2'!E68+'quiz 1'!E68+'Assignment or Proposal'!E68+'Final exam'!E68+'quiz 2'!E68+'Poster or Presentation'!E68+'practical exam or OSCE'!E68)&lt;&gt;0,'Mid1'!E68+'Mid2'!E68+'quiz 1'!E68+'Assignment or Proposal'!E68+'Final exam'!E68+'quiz 2'!E68+'Poster or Presentation'!E68+'practical exam or OSCE'!E68,"")</f>
        <v/>
      </c>
      <c r="I69" s="57" t="str">
        <f>IF(('Mid1'!F68+'Mid2'!F68+'quiz 1'!F68+'Assignment or Proposal'!F68+'Final exam'!F68+'quiz 2'!F68+'Poster or Presentation'!F68+'practical exam or OSCE'!F68)&lt;&gt;0,'Mid1'!F68+'Mid2'!F68+'quiz 1'!F68+'Assignment or Proposal'!F68+'Final exam'!F68+'quiz 2'!F68+'Poster or Presentation'!F68+'practical exam or OSCE'!F68,"")</f>
        <v/>
      </c>
      <c r="J69" s="57" t="str">
        <f>IF(('Mid1'!G68+'Mid2'!G68+'quiz 1'!G68+'Assignment or Proposal'!G68+'Final exam'!G68+'quiz 2'!G68+'Poster or Presentation'!G68+'practical exam or OSCE'!G68)&lt;&gt;0,'Mid1'!G68+'Mid2'!G68+'quiz 1'!G68+'Assignment or Proposal'!G68+'Final exam'!G68+'quiz 2'!G68+'Poster or Presentation'!G68+'practical exam or OSCE'!G68,"")</f>
        <v/>
      </c>
      <c r="K69" s="57" t="str">
        <f>IF(('Mid1'!H68+'Mid2'!H68+'quiz 1'!H68+'Assignment or Proposal'!H68+'Final exam'!H68+'quiz 2'!H68+'Poster or Presentation'!H68+'practical exam or OSCE'!H68)&lt;&gt;0,'Mid1'!H68+'Mid2'!H68+'quiz 1'!H68+'Assignment or Proposal'!H68+'Final exam'!H68+'quiz 2'!H68+'Poster or Presentation'!H68+'practical exam or OSCE'!H68,"")</f>
        <v/>
      </c>
      <c r="L69" s="57" t="str">
        <f>IF(('Mid1'!I68+'Mid2'!I68+'quiz 1'!I68+'Assignment or Proposal'!I68+'Final exam'!I68+'quiz 2'!I68+'Poster or Presentation'!I68+'practical exam or OSCE'!I68)&lt;&gt;0,'Mid1'!I68+'Mid2'!I68+'quiz 1'!I68+'Assignment or Proposal'!I68+'Final exam'!I68+'quiz 2'!I68+'Poster or Presentation'!I68+'practical exam or OSCE'!I68,"")</f>
        <v/>
      </c>
      <c r="M69" s="57" t="str">
        <f>IF(('Mid1'!J68+'Mid2'!J68+'quiz 1'!J68+'Assignment or Proposal'!J68+'Final exam'!J68+'quiz 2'!J68+'Poster or Presentation'!J68+'practical exam or OSCE'!J68)&lt;&gt;0,'Mid1'!J68+'Mid2'!J68+'quiz 1'!J68+'Assignment or Proposal'!J68+'Final exam'!J68+'quiz 2'!J68+'Poster or Presentation'!J68+'practical exam or OSCE'!J68,"")</f>
        <v/>
      </c>
      <c r="N69" s="5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O69" s="5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P69" s="57" t="str">
        <f>IF(('Mid1'!M68+'Mid2'!M68+'quiz 1'!M68+'Assignment or Proposal'!M68+'Final exam'!M68+'quiz 2'!M68+'Poster or Presentation'!M68+'practical exam or OSCE'!M68)&lt;&gt;0,'Mid1'!M68+'Mid2'!M68+'quiz 1'!M68+'Assignment or Proposal'!M68+'Final exam'!M68+'quiz 2'!M68+'Poster or Presentation'!M68+'practical exam or OSCE'!M68,"")</f>
        <v/>
      </c>
      <c r="Q69" s="136" t="str">
        <f t="shared" si="4"/>
        <v/>
      </c>
    </row>
    <row r="70" spans="1:17" ht="20.25" hidden="1" customHeight="1" x14ac:dyDescent="0.25">
      <c r="A70" s="24">
        <v>59</v>
      </c>
      <c r="B70" s="24" t="str">
        <f>IF(StList!B61&lt;&gt;"",StList!B61,"")</f>
        <v>Pharmaceutical sciences</v>
      </c>
      <c r="C70" s="24" t="str">
        <f>IF(StList!E61&lt;&gt;"",StList!E61,"")</f>
        <v/>
      </c>
      <c r="D70" s="24" t="str">
        <f>IF(StList!F61&lt;&gt;"",StList!F61,"")</f>
        <v/>
      </c>
      <c r="E70" s="57" t="str">
        <f>IF(('Mid1'!B69+'Mid2'!B69+'quiz 1'!B69+'Assignment or Proposal'!B69+'Final exam'!B69+'quiz 2'!B69+'Poster or Presentation'!B69+'practical exam or OSCE'!B69)&lt;&gt;0,'Mid1'!B69+'Mid2'!B69+'quiz 1'!B69+'Assignment or Proposal'!B69+'Final exam'!B69+'quiz 2'!B69+'Poster or Presentation'!B69+'practical exam or OSCE'!B69,"")</f>
        <v/>
      </c>
      <c r="F70" s="57" t="str">
        <f>IF(('Mid1'!C69+'Mid2'!C69+'quiz 1'!C69+'Assignment or Proposal'!C69+'Final exam'!C69+'quiz 2'!C69+'Poster or Presentation'!C69+'practical exam or OSCE'!C69)&lt;&gt;0,'Mid1'!C69+'Mid2'!C69+'quiz 1'!C69+'Assignment or Proposal'!C69+'Final exam'!C69+'quiz 2'!C69+'Poster or Presentation'!C69+'practical exam or OSCE'!C69,"")</f>
        <v/>
      </c>
      <c r="G70" s="57" t="str">
        <f>IF(('Mid1'!D69+'Mid2'!D69+'quiz 1'!D69+'Assignment or Proposal'!D69+'Final exam'!D69+'quiz 2'!D69+'Poster or Presentation'!D69+'practical exam or OSCE'!D69)&lt;&gt;0,'Mid1'!D69+'Mid2'!D69+'quiz 1'!D69+'Assignment or Proposal'!D69+'Final exam'!D69+'quiz 2'!D69+'Poster or Presentation'!D69+'practical exam or OSCE'!D69,"")</f>
        <v/>
      </c>
      <c r="H70" s="57" t="str">
        <f>IF(('Mid1'!E69+'Mid2'!E69+'quiz 1'!E69+'Assignment or Proposal'!E69+'Final exam'!E69+'quiz 2'!E69+'Poster or Presentation'!E69+'practical exam or OSCE'!E69)&lt;&gt;0,'Mid1'!E69+'Mid2'!E69+'quiz 1'!E69+'Assignment or Proposal'!E69+'Final exam'!E69+'quiz 2'!E69+'Poster or Presentation'!E69+'practical exam or OSCE'!E69,"")</f>
        <v/>
      </c>
      <c r="I70" s="57" t="str">
        <f>IF(('Mid1'!F69+'Mid2'!F69+'quiz 1'!F69+'Assignment or Proposal'!F69+'Final exam'!F69+'quiz 2'!F69+'Poster or Presentation'!F69+'practical exam or OSCE'!F69)&lt;&gt;0,'Mid1'!F69+'Mid2'!F69+'quiz 1'!F69+'Assignment or Proposal'!F69+'Final exam'!F69+'quiz 2'!F69+'Poster or Presentation'!F69+'practical exam or OSCE'!F69,"")</f>
        <v/>
      </c>
      <c r="J70" s="57" t="str">
        <f>IF(('Mid1'!G69+'Mid2'!G69+'quiz 1'!G69+'Assignment or Proposal'!G69+'Final exam'!G69+'quiz 2'!G69+'Poster or Presentation'!G69+'practical exam or OSCE'!G69)&lt;&gt;0,'Mid1'!G69+'Mid2'!G69+'quiz 1'!G69+'Assignment or Proposal'!G69+'Final exam'!G69+'quiz 2'!G69+'Poster or Presentation'!G69+'practical exam or OSCE'!G69,"")</f>
        <v/>
      </c>
      <c r="K70" s="57" t="str">
        <f>IF(('Mid1'!H69+'Mid2'!H69+'quiz 1'!H69+'Assignment or Proposal'!H69+'Final exam'!H69+'quiz 2'!H69+'Poster or Presentation'!H69+'practical exam or OSCE'!H69)&lt;&gt;0,'Mid1'!H69+'Mid2'!H69+'quiz 1'!H69+'Assignment or Proposal'!H69+'Final exam'!H69+'quiz 2'!H69+'Poster or Presentation'!H69+'practical exam or OSCE'!H69,"")</f>
        <v/>
      </c>
      <c r="L70" s="57" t="str">
        <f>IF(('Mid1'!I69+'Mid2'!I69+'quiz 1'!I69+'Assignment or Proposal'!I69+'Final exam'!I69+'quiz 2'!I69+'Poster or Presentation'!I69+'practical exam or OSCE'!I69)&lt;&gt;0,'Mid1'!I69+'Mid2'!I69+'quiz 1'!I69+'Assignment or Proposal'!I69+'Final exam'!I69+'quiz 2'!I69+'Poster or Presentation'!I69+'practical exam or OSCE'!I69,"")</f>
        <v/>
      </c>
      <c r="M70" s="57" t="str">
        <f>IF(('Mid1'!J69+'Mid2'!J69+'quiz 1'!J69+'Assignment or Proposal'!J69+'Final exam'!J69+'quiz 2'!J69+'Poster or Presentation'!J69+'practical exam or OSCE'!J69)&lt;&gt;0,'Mid1'!J69+'Mid2'!J69+'quiz 1'!J69+'Assignment or Proposal'!J69+'Final exam'!J69+'quiz 2'!J69+'Poster or Presentation'!J69+'practical exam or OSCE'!J69,"")</f>
        <v/>
      </c>
      <c r="N70" s="5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O70" s="5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P70" s="57" t="str">
        <f>IF(('Mid1'!M69+'Mid2'!M69+'quiz 1'!M69+'Assignment or Proposal'!M69+'Final exam'!M69+'quiz 2'!M69+'Poster or Presentation'!M69+'practical exam or OSCE'!M69)&lt;&gt;0,'Mid1'!M69+'Mid2'!M69+'quiz 1'!M69+'Assignment or Proposal'!M69+'Final exam'!M69+'quiz 2'!M69+'Poster or Presentation'!M69+'practical exam or OSCE'!M69,"")</f>
        <v/>
      </c>
      <c r="Q70" s="136" t="str">
        <f t="shared" si="4"/>
        <v/>
      </c>
    </row>
    <row r="71" spans="1:17" ht="20.25" hidden="1" customHeight="1" x14ac:dyDescent="0.25">
      <c r="A71" s="24">
        <v>60</v>
      </c>
      <c r="B71" s="24" t="str">
        <f>IF(StList!B62&lt;&gt;"",StList!B62,"")</f>
        <v>Pharmaceutical sciences</v>
      </c>
      <c r="C71" s="24" t="str">
        <f>IF(StList!E62&lt;&gt;"",StList!E62,"")</f>
        <v/>
      </c>
      <c r="D71" s="24" t="str">
        <f>IF(StList!F62&lt;&gt;"",StList!F62,"")</f>
        <v/>
      </c>
      <c r="E71" s="57" t="str">
        <f>IF(('Mid1'!B70+'Mid2'!B70+'quiz 1'!B70+'Assignment or Proposal'!B70+'Final exam'!B70+'quiz 2'!B70+'Poster or Presentation'!B70+'practical exam or OSCE'!B70)&lt;&gt;0,'Mid1'!B70+'Mid2'!B70+'quiz 1'!B70+'Assignment or Proposal'!B70+'Final exam'!B70+'quiz 2'!B70+'Poster or Presentation'!B70+'practical exam or OSCE'!B70,"")</f>
        <v/>
      </c>
      <c r="F71" s="57" t="str">
        <f>IF(('Mid1'!C70+'Mid2'!C70+'quiz 1'!C70+'Assignment or Proposal'!C70+'Final exam'!C70+'quiz 2'!C70+'Poster or Presentation'!C70+'practical exam or OSCE'!C70)&lt;&gt;0,'Mid1'!C70+'Mid2'!C70+'quiz 1'!C70+'Assignment or Proposal'!C70+'Final exam'!C70+'quiz 2'!C70+'Poster or Presentation'!C70+'practical exam or OSCE'!C70,"")</f>
        <v/>
      </c>
      <c r="G71" s="57" t="str">
        <f>IF(('Mid1'!D70+'Mid2'!D70+'quiz 1'!D70+'Assignment or Proposal'!D70+'Final exam'!D70+'quiz 2'!D70+'Poster or Presentation'!D70+'practical exam or OSCE'!D70)&lt;&gt;0,'Mid1'!D70+'Mid2'!D70+'quiz 1'!D70+'Assignment or Proposal'!D70+'Final exam'!D70+'quiz 2'!D70+'Poster or Presentation'!D70+'practical exam or OSCE'!D70,"")</f>
        <v/>
      </c>
      <c r="H71" s="57" t="str">
        <f>IF(('Mid1'!E70+'Mid2'!E70+'quiz 1'!E70+'Assignment or Proposal'!E70+'Final exam'!E70+'quiz 2'!E70+'Poster or Presentation'!E70+'practical exam or OSCE'!E70)&lt;&gt;0,'Mid1'!E70+'Mid2'!E70+'quiz 1'!E70+'Assignment or Proposal'!E70+'Final exam'!E70+'quiz 2'!E70+'Poster or Presentation'!E70+'practical exam or OSCE'!E70,"")</f>
        <v/>
      </c>
      <c r="I71" s="57" t="str">
        <f>IF(('Mid1'!F70+'Mid2'!F70+'quiz 1'!F70+'Assignment or Proposal'!F70+'Final exam'!F70+'quiz 2'!F70+'Poster or Presentation'!F70+'practical exam or OSCE'!F70)&lt;&gt;0,'Mid1'!F70+'Mid2'!F70+'quiz 1'!F70+'Assignment or Proposal'!F70+'Final exam'!F70+'quiz 2'!F70+'Poster or Presentation'!F70+'practical exam or OSCE'!F70,"")</f>
        <v/>
      </c>
      <c r="J71" s="57" t="str">
        <f>IF(('Mid1'!G70+'Mid2'!G70+'quiz 1'!G70+'Assignment or Proposal'!G70+'Final exam'!G70+'quiz 2'!G70+'Poster or Presentation'!G70+'practical exam or OSCE'!G70)&lt;&gt;0,'Mid1'!G70+'Mid2'!G70+'quiz 1'!G70+'Assignment or Proposal'!G70+'Final exam'!G70+'quiz 2'!G70+'Poster or Presentation'!G70+'practical exam or OSCE'!G70,"")</f>
        <v/>
      </c>
      <c r="K71" s="57" t="str">
        <f>IF(('Mid1'!H70+'Mid2'!H70+'quiz 1'!H70+'Assignment or Proposal'!H70+'Final exam'!H70+'quiz 2'!H70+'Poster or Presentation'!H70+'practical exam or OSCE'!H70)&lt;&gt;0,'Mid1'!H70+'Mid2'!H70+'quiz 1'!H70+'Assignment or Proposal'!H70+'Final exam'!H70+'quiz 2'!H70+'Poster or Presentation'!H70+'practical exam or OSCE'!H70,"")</f>
        <v/>
      </c>
      <c r="L71" s="57" t="str">
        <f>IF(('Mid1'!I70+'Mid2'!I70+'quiz 1'!I70+'Assignment or Proposal'!I70+'Final exam'!I70+'quiz 2'!I70+'Poster or Presentation'!I70+'practical exam or OSCE'!I70)&lt;&gt;0,'Mid1'!I70+'Mid2'!I70+'quiz 1'!I70+'Assignment or Proposal'!I70+'Final exam'!I70+'quiz 2'!I70+'Poster or Presentation'!I70+'practical exam or OSCE'!I70,"")</f>
        <v/>
      </c>
      <c r="M71" s="57" t="str">
        <f>IF(('Mid1'!J70+'Mid2'!J70+'quiz 1'!J70+'Assignment or Proposal'!J70+'Final exam'!J70+'quiz 2'!J70+'Poster or Presentation'!J70+'practical exam or OSCE'!J70)&lt;&gt;0,'Mid1'!J70+'Mid2'!J70+'quiz 1'!J70+'Assignment or Proposal'!J70+'Final exam'!J70+'quiz 2'!J70+'Poster or Presentation'!J70+'practical exam or OSCE'!J70,"")</f>
        <v/>
      </c>
      <c r="N71" s="5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O71" s="5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P71" s="57" t="str">
        <f>IF(('Mid1'!M70+'Mid2'!M70+'quiz 1'!M70+'Assignment or Proposal'!M70+'Final exam'!M70+'quiz 2'!M70+'Poster or Presentation'!M70+'practical exam or OSCE'!M70)&lt;&gt;0,'Mid1'!M70+'Mid2'!M70+'quiz 1'!M70+'Assignment or Proposal'!M70+'Final exam'!M70+'quiz 2'!M70+'Poster or Presentation'!M70+'practical exam or OSCE'!M70,"")</f>
        <v/>
      </c>
      <c r="Q71" s="136" t="str">
        <f t="shared" si="4"/>
        <v/>
      </c>
    </row>
    <row r="72" spans="1:17" ht="20.25" hidden="1" customHeight="1" x14ac:dyDescent="0.25">
      <c r="A72" s="24">
        <v>61</v>
      </c>
      <c r="B72" s="24" t="str">
        <f>IF(StList!B63&lt;&gt;"",StList!B63,"")</f>
        <v>Pharmaceutical sciences</v>
      </c>
      <c r="C72" s="24" t="str">
        <f>IF(StList!E63&lt;&gt;"",StList!E63,"")</f>
        <v/>
      </c>
      <c r="D72" s="24" t="str">
        <f>IF(StList!F63&lt;&gt;"",StList!F63,"")</f>
        <v/>
      </c>
      <c r="E72" s="57" t="str">
        <f>IF(('Mid1'!B71+'Mid2'!B71+'quiz 1'!B71+'Assignment or Proposal'!B71+'Final exam'!B71+'quiz 2'!B71+'Poster or Presentation'!B71+'practical exam or OSCE'!B71)&lt;&gt;0,'Mid1'!B71+'Mid2'!B71+'quiz 1'!B71+'Assignment or Proposal'!B71+'Final exam'!B71+'quiz 2'!B71+'Poster or Presentation'!B71+'practical exam or OSCE'!B71,"")</f>
        <v/>
      </c>
      <c r="F72" s="57" t="str">
        <f>IF(('Mid1'!C71+'Mid2'!C71+'quiz 1'!C71+'Assignment or Proposal'!C71+'Final exam'!C71+'quiz 2'!C71+'Poster or Presentation'!C71+'practical exam or OSCE'!C71)&lt;&gt;0,'Mid1'!C71+'Mid2'!C71+'quiz 1'!C71+'Assignment or Proposal'!C71+'Final exam'!C71+'quiz 2'!C71+'Poster or Presentation'!C71+'practical exam or OSCE'!C71,"")</f>
        <v/>
      </c>
      <c r="G72" s="57" t="str">
        <f>IF(('Mid1'!D71+'Mid2'!D71+'quiz 1'!D71+'Assignment or Proposal'!D71+'Final exam'!D71+'quiz 2'!D71+'Poster or Presentation'!D71+'practical exam or OSCE'!D71)&lt;&gt;0,'Mid1'!D71+'Mid2'!D71+'quiz 1'!D71+'Assignment or Proposal'!D71+'Final exam'!D71+'quiz 2'!D71+'Poster or Presentation'!D71+'practical exam or OSCE'!D71,"")</f>
        <v/>
      </c>
      <c r="H72" s="57" t="str">
        <f>IF(('Mid1'!E71+'Mid2'!E71+'quiz 1'!E71+'Assignment or Proposal'!E71+'Final exam'!E71+'quiz 2'!E71+'Poster or Presentation'!E71+'practical exam or OSCE'!E71)&lt;&gt;0,'Mid1'!E71+'Mid2'!E71+'quiz 1'!E71+'Assignment or Proposal'!E71+'Final exam'!E71+'quiz 2'!E71+'Poster or Presentation'!E71+'practical exam or OSCE'!E71,"")</f>
        <v/>
      </c>
      <c r="I72" s="57" t="str">
        <f>IF(('Mid1'!F71+'Mid2'!F71+'quiz 1'!F71+'Assignment or Proposal'!F71+'Final exam'!F71+'quiz 2'!F71+'Poster or Presentation'!F71+'practical exam or OSCE'!F71)&lt;&gt;0,'Mid1'!F71+'Mid2'!F71+'quiz 1'!F71+'Assignment or Proposal'!F71+'Final exam'!F71+'quiz 2'!F71+'Poster or Presentation'!F71+'practical exam or OSCE'!F71,"")</f>
        <v/>
      </c>
      <c r="J72" s="57" t="str">
        <f>IF(('Mid1'!G71+'Mid2'!G71+'quiz 1'!G71+'Assignment or Proposal'!G71+'Final exam'!G71+'quiz 2'!G71+'Poster or Presentation'!G71+'practical exam or OSCE'!G71)&lt;&gt;0,'Mid1'!G71+'Mid2'!G71+'quiz 1'!G71+'Assignment or Proposal'!G71+'Final exam'!G71+'quiz 2'!G71+'Poster or Presentation'!G71+'practical exam or OSCE'!G71,"")</f>
        <v/>
      </c>
      <c r="K72" s="57" t="str">
        <f>IF(('Mid1'!H71+'Mid2'!H71+'quiz 1'!H71+'Assignment or Proposal'!H71+'Final exam'!H71+'quiz 2'!H71+'Poster or Presentation'!H71+'practical exam or OSCE'!H71)&lt;&gt;0,'Mid1'!H71+'Mid2'!H71+'quiz 1'!H71+'Assignment or Proposal'!H71+'Final exam'!H71+'quiz 2'!H71+'Poster or Presentation'!H71+'practical exam or OSCE'!H71,"")</f>
        <v/>
      </c>
      <c r="L72" s="57" t="str">
        <f>IF(('Mid1'!I71+'Mid2'!I71+'quiz 1'!I71+'Assignment or Proposal'!I71+'Final exam'!I71+'quiz 2'!I71+'Poster or Presentation'!I71+'practical exam or OSCE'!I71)&lt;&gt;0,'Mid1'!I71+'Mid2'!I71+'quiz 1'!I71+'Assignment or Proposal'!I71+'Final exam'!I71+'quiz 2'!I71+'Poster or Presentation'!I71+'practical exam or OSCE'!I71,"")</f>
        <v/>
      </c>
      <c r="M72" s="57" t="str">
        <f>IF(('Mid1'!J71+'Mid2'!J71+'quiz 1'!J71+'Assignment or Proposal'!J71+'Final exam'!J71+'quiz 2'!J71+'Poster or Presentation'!J71+'practical exam or OSCE'!J71)&lt;&gt;0,'Mid1'!J71+'Mid2'!J71+'quiz 1'!J71+'Assignment or Proposal'!J71+'Final exam'!J71+'quiz 2'!J71+'Poster or Presentation'!J71+'practical exam or OSCE'!J71,"")</f>
        <v/>
      </c>
      <c r="N72" s="5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O72" s="5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P72" s="57" t="str">
        <f>IF(('Mid1'!M71+'Mid2'!M71+'quiz 1'!M71+'Assignment or Proposal'!M71+'Final exam'!M71+'quiz 2'!M71+'Poster or Presentation'!M71+'practical exam or OSCE'!M71)&lt;&gt;0,'Mid1'!M71+'Mid2'!M71+'quiz 1'!M71+'Assignment or Proposal'!M71+'Final exam'!M71+'quiz 2'!M71+'Poster or Presentation'!M71+'practical exam or OSCE'!M71,"")</f>
        <v/>
      </c>
      <c r="Q72" s="136" t="str">
        <f t="shared" si="4"/>
        <v/>
      </c>
    </row>
    <row r="73" spans="1:17" ht="20.25" hidden="1" customHeight="1" x14ac:dyDescent="0.25">
      <c r="A73" s="24">
        <v>62</v>
      </c>
      <c r="B73" s="24" t="str">
        <f>IF(StList!B64&lt;&gt;"",StList!B64,"")</f>
        <v>Pharmaceutical sciences</v>
      </c>
      <c r="C73" s="24" t="str">
        <f>IF(StList!E64&lt;&gt;"",StList!E64,"")</f>
        <v/>
      </c>
      <c r="D73" s="24" t="str">
        <f>IF(StList!F64&lt;&gt;"",StList!F64,"")</f>
        <v/>
      </c>
      <c r="E73" s="57" t="str">
        <f>IF(('Mid1'!B72+'Mid2'!B72+'quiz 1'!B72+'Assignment or Proposal'!B72+'Final exam'!B72+'quiz 2'!B72+'Poster or Presentation'!B72+'practical exam or OSCE'!B72)&lt;&gt;0,'Mid1'!B72+'Mid2'!B72+'quiz 1'!B72+'Assignment or Proposal'!B72+'Final exam'!B72+'quiz 2'!B72+'Poster or Presentation'!B72+'practical exam or OSCE'!B72,"")</f>
        <v/>
      </c>
      <c r="F73" s="57" t="str">
        <f>IF(('Mid1'!C72+'Mid2'!C72+'quiz 1'!C72+'Assignment or Proposal'!C72+'Final exam'!C72+'quiz 2'!C72+'Poster or Presentation'!C72+'practical exam or OSCE'!C72)&lt;&gt;0,'Mid1'!C72+'Mid2'!C72+'quiz 1'!C72+'Assignment or Proposal'!C72+'Final exam'!C72+'quiz 2'!C72+'Poster or Presentation'!C72+'practical exam or OSCE'!C72,"")</f>
        <v/>
      </c>
      <c r="G73" s="57" t="str">
        <f>IF(('Mid1'!D72+'Mid2'!D72+'quiz 1'!D72+'Assignment or Proposal'!D72+'Final exam'!D72+'quiz 2'!D72+'Poster or Presentation'!D72+'practical exam or OSCE'!D72)&lt;&gt;0,'Mid1'!D72+'Mid2'!D72+'quiz 1'!D72+'Assignment or Proposal'!D72+'Final exam'!D72+'quiz 2'!D72+'Poster or Presentation'!D72+'practical exam or OSCE'!D72,"")</f>
        <v/>
      </c>
      <c r="H73" s="57" t="str">
        <f>IF(('Mid1'!E72+'Mid2'!E72+'quiz 1'!E72+'Assignment or Proposal'!E72+'Final exam'!E72+'quiz 2'!E72+'Poster or Presentation'!E72+'practical exam or OSCE'!E72)&lt;&gt;0,'Mid1'!E72+'Mid2'!E72+'quiz 1'!E72+'Assignment or Proposal'!E72+'Final exam'!E72+'quiz 2'!E72+'Poster or Presentation'!E72+'practical exam or OSCE'!E72,"")</f>
        <v/>
      </c>
      <c r="I73" s="57" t="str">
        <f>IF(('Mid1'!F72+'Mid2'!F72+'quiz 1'!F72+'Assignment or Proposal'!F72+'Final exam'!F72+'quiz 2'!F72+'Poster or Presentation'!F72+'practical exam or OSCE'!F72)&lt;&gt;0,'Mid1'!F72+'Mid2'!F72+'quiz 1'!F72+'Assignment or Proposal'!F72+'Final exam'!F72+'quiz 2'!F72+'Poster or Presentation'!F72+'practical exam or OSCE'!F72,"")</f>
        <v/>
      </c>
      <c r="J73" s="57" t="str">
        <f>IF(('Mid1'!G72+'Mid2'!G72+'quiz 1'!G72+'Assignment or Proposal'!G72+'Final exam'!G72+'quiz 2'!G72+'Poster or Presentation'!G72+'practical exam or OSCE'!G72)&lt;&gt;0,'Mid1'!G72+'Mid2'!G72+'quiz 1'!G72+'Assignment or Proposal'!G72+'Final exam'!G72+'quiz 2'!G72+'Poster or Presentation'!G72+'practical exam or OSCE'!G72,"")</f>
        <v/>
      </c>
      <c r="K73" s="57" t="str">
        <f>IF(('Mid1'!H72+'Mid2'!H72+'quiz 1'!H72+'Assignment or Proposal'!H72+'Final exam'!H72+'quiz 2'!H72+'Poster or Presentation'!H72+'practical exam or OSCE'!H72)&lt;&gt;0,'Mid1'!H72+'Mid2'!H72+'quiz 1'!H72+'Assignment or Proposal'!H72+'Final exam'!H72+'quiz 2'!H72+'Poster or Presentation'!H72+'practical exam or OSCE'!H72,"")</f>
        <v/>
      </c>
      <c r="L73" s="57" t="str">
        <f>IF(('Mid1'!I72+'Mid2'!I72+'quiz 1'!I72+'Assignment or Proposal'!I72+'Final exam'!I72+'quiz 2'!I72+'Poster or Presentation'!I72+'practical exam or OSCE'!I72)&lt;&gt;0,'Mid1'!I72+'Mid2'!I72+'quiz 1'!I72+'Assignment or Proposal'!I72+'Final exam'!I72+'quiz 2'!I72+'Poster or Presentation'!I72+'practical exam or OSCE'!I72,"")</f>
        <v/>
      </c>
      <c r="M73" s="57" t="str">
        <f>IF(('Mid1'!J72+'Mid2'!J72+'quiz 1'!J72+'Assignment or Proposal'!J72+'Final exam'!J72+'quiz 2'!J72+'Poster or Presentation'!J72+'practical exam or OSCE'!J72)&lt;&gt;0,'Mid1'!J72+'Mid2'!J72+'quiz 1'!J72+'Assignment or Proposal'!J72+'Final exam'!J72+'quiz 2'!J72+'Poster or Presentation'!J72+'practical exam or OSCE'!J72,"")</f>
        <v/>
      </c>
      <c r="N73" s="5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O73" s="5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P73" s="57" t="str">
        <f>IF(('Mid1'!M72+'Mid2'!M72+'quiz 1'!M72+'Assignment or Proposal'!M72+'Final exam'!M72+'quiz 2'!M72+'Poster or Presentation'!M72+'practical exam or OSCE'!M72)&lt;&gt;0,'Mid1'!M72+'Mid2'!M72+'quiz 1'!M72+'Assignment or Proposal'!M72+'Final exam'!M72+'quiz 2'!M72+'Poster or Presentation'!M72+'practical exam or OSCE'!M72,"")</f>
        <v/>
      </c>
      <c r="Q73" s="136" t="str">
        <f t="shared" si="4"/>
        <v/>
      </c>
    </row>
    <row r="74" spans="1:17" ht="20.25" hidden="1" customHeight="1" x14ac:dyDescent="0.25">
      <c r="A74" s="24">
        <v>63</v>
      </c>
      <c r="B74" s="24" t="str">
        <f>IF(StList!B65&lt;&gt;"",StList!B65,"")</f>
        <v>Pharmaceutical sciences</v>
      </c>
      <c r="C74" s="24" t="str">
        <f>IF(StList!E65&lt;&gt;"",StList!E65,"")</f>
        <v/>
      </c>
      <c r="D74" s="24" t="str">
        <f>IF(StList!F65&lt;&gt;"",StList!F65,"")</f>
        <v/>
      </c>
      <c r="E74" s="57" t="str">
        <f>IF(('Mid1'!B73+'Mid2'!B73+'quiz 1'!B73+'Assignment or Proposal'!B73+'Final exam'!B73+'quiz 2'!B73+'Poster or Presentation'!B73+'practical exam or OSCE'!B73)&lt;&gt;0,'Mid1'!B73+'Mid2'!B73+'quiz 1'!B73+'Assignment or Proposal'!B73+'Final exam'!B73+'quiz 2'!B73+'Poster or Presentation'!B73+'practical exam or OSCE'!B73,"")</f>
        <v/>
      </c>
      <c r="F74" s="57" t="str">
        <f>IF(('Mid1'!C73+'Mid2'!C73+'quiz 1'!C73+'Assignment or Proposal'!C73+'Final exam'!C73+'quiz 2'!C73+'Poster or Presentation'!C73+'practical exam or OSCE'!C73)&lt;&gt;0,'Mid1'!C73+'Mid2'!C73+'quiz 1'!C73+'Assignment or Proposal'!C73+'Final exam'!C73+'quiz 2'!C73+'Poster or Presentation'!C73+'practical exam or OSCE'!C73,"")</f>
        <v/>
      </c>
      <c r="G74" s="57" t="str">
        <f>IF(('Mid1'!D73+'Mid2'!D73+'quiz 1'!D73+'Assignment or Proposal'!D73+'Final exam'!D73+'quiz 2'!D73+'Poster or Presentation'!D73+'practical exam or OSCE'!D73)&lt;&gt;0,'Mid1'!D73+'Mid2'!D73+'quiz 1'!D73+'Assignment or Proposal'!D73+'Final exam'!D73+'quiz 2'!D73+'Poster or Presentation'!D73+'practical exam or OSCE'!D73,"")</f>
        <v/>
      </c>
      <c r="H74" s="57" t="str">
        <f>IF(('Mid1'!E73+'Mid2'!E73+'quiz 1'!E73+'Assignment or Proposal'!E73+'Final exam'!E73+'quiz 2'!E73+'Poster or Presentation'!E73+'practical exam or OSCE'!E73)&lt;&gt;0,'Mid1'!E73+'Mid2'!E73+'quiz 1'!E73+'Assignment or Proposal'!E73+'Final exam'!E73+'quiz 2'!E73+'Poster or Presentation'!E73+'practical exam or OSCE'!E73,"")</f>
        <v/>
      </c>
      <c r="I74" s="57" t="str">
        <f>IF(('Mid1'!F73+'Mid2'!F73+'quiz 1'!F73+'Assignment or Proposal'!F73+'Final exam'!F73+'quiz 2'!F73+'Poster or Presentation'!F73+'practical exam or OSCE'!F73)&lt;&gt;0,'Mid1'!F73+'Mid2'!F73+'quiz 1'!F73+'Assignment or Proposal'!F73+'Final exam'!F73+'quiz 2'!F73+'Poster or Presentation'!F73+'practical exam or OSCE'!F73,"")</f>
        <v/>
      </c>
      <c r="J74" s="57" t="str">
        <f>IF(('Mid1'!G73+'Mid2'!G73+'quiz 1'!G73+'Assignment or Proposal'!G73+'Final exam'!G73+'quiz 2'!G73+'Poster or Presentation'!G73+'practical exam or OSCE'!G73)&lt;&gt;0,'Mid1'!G73+'Mid2'!G73+'quiz 1'!G73+'Assignment or Proposal'!G73+'Final exam'!G73+'quiz 2'!G73+'Poster or Presentation'!G73+'practical exam or OSCE'!G73,"")</f>
        <v/>
      </c>
      <c r="K74" s="57" t="str">
        <f>IF(('Mid1'!H73+'Mid2'!H73+'quiz 1'!H73+'Assignment or Proposal'!H73+'Final exam'!H73+'quiz 2'!H73+'Poster or Presentation'!H73+'practical exam or OSCE'!H73)&lt;&gt;0,'Mid1'!H73+'Mid2'!H73+'quiz 1'!H73+'Assignment or Proposal'!H73+'Final exam'!H73+'quiz 2'!H73+'Poster or Presentation'!H73+'practical exam or OSCE'!H73,"")</f>
        <v/>
      </c>
      <c r="L74" s="57" t="str">
        <f>IF(('Mid1'!I73+'Mid2'!I73+'quiz 1'!I73+'Assignment or Proposal'!I73+'Final exam'!I73+'quiz 2'!I73+'Poster or Presentation'!I73+'practical exam or OSCE'!I73)&lt;&gt;0,'Mid1'!I73+'Mid2'!I73+'quiz 1'!I73+'Assignment or Proposal'!I73+'Final exam'!I73+'quiz 2'!I73+'Poster or Presentation'!I73+'practical exam or OSCE'!I73,"")</f>
        <v/>
      </c>
      <c r="M74" s="57" t="str">
        <f>IF(('Mid1'!J73+'Mid2'!J73+'quiz 1'!J73+'Assignment or Proposal'!J73+'Final exam'!J73+'quiz 2'!J73+'Poster or Presentation'!J73+'practical exam or OSCE'!J73)&lt;&gt;0,'Mid1'!J73+'Mid2'!J73+'quiz 1'!J73+'Assignment or Proposal'!J73+'Final exam'!J73+'quiz 2'!J73+'Poster or Presentation'!J73+'practical exam or OSCE'!J73,"")</f>
        <v/>
      </c>
      <c r="N74" s="5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O74" s="5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P74" s="57" t="str">
        <f>IF(('Mid1'!M73+'Mid2'!M73+'quiz 1'!M73+'Assignment or Proposal'!M73+'Final exam'!M73+'quiz 2'!M73+'Poster or Presentation'!M73+'practical exam or OSCE'!M73)&lt;&gt;0,'Mid1'!M73+'Mid2'!M73+'quiz 1'!M73+'Assignment or Proposal'!M73+'Final exam'!M73+'quiz 2'!M73+'Poster or Presentation'!M73+'practical exam or OSCE'!M73,"")</f>
        <v/>
      </c>
      <c r="Q74" s="136" t="str">
        <f t="shared" si="4"/>
        <v/>
      </c>
    </row>
    <row r="75" spans="1:17" ht="20.25" hidden="1" customHeight="1" x14ac:dyDescent="0.25">
      <c r="A75" s="24">
        <v>64</v>
      </c>
      <c r="B75" s="24" t="str">
        <f>IF(StList!B66&lt;&gt;"",StList!B66,"")</f>
        <v>Pharmaceutical sciences</v>
      </c>
      <c r="C75" s="24" t="str">
        <f>IF(StList!E66&lt;&gt;"",StList!E66,"")</f>
        <v/>
      </c>
      <c r="D75" s="24" t="str">
        <f>IF(StList!F66&lt;&gt;"",StList!F66,"")</f>
        <v/>
      </c>
      <c r="E75" s="57" t="str">
        <f>IF(('Mid1'!B74+'Mid2'!B74+'quiz 1'!B74+'Assignment or Proposal'!B74+'Final exam'!B74+'quiz 2'!B74+'Poster or Presentation'!B74+'practical exam or OSCE'!B74)&lt;&gt;0,'Mid1'!B74+'Mid2'!B74+'quiz 1'!B74+'Assignment or Proposal'!B74+'Final exam'!B74+'quiz 2'!B74+'Poster or Presentation'!B74+'practical exam or OSCE'!B74,"")</f>
        <v/>
      </c>
      <c r="F75" s="57" t="str">
        <f>IF(('Mid1'!C74+'Mid2'!C74+'quiz 1'!C74+'Assignment or Proposal'!C74+'Final exam'!C74+'quiz 2'!C74+'Poster or Presentation'!C74+'practical exam or OSCE'!C74)&lt;&gt;0,'Mid1'!C74+'Mid2'!C74+'quiz 1'!C74+'Assignment or Proposal'!C74+'Final exam'!C74+'quiz 2'!C74+'Poster or Presentation'!C74+'practical exam or OSCE'!C74,"")</f>
        <v/>
      </c>
      <c r="G75" s="57" t="str">
        <f>IF(('Mid1'!D74+'Mid2'!D74+'quiz 1'!D74+'Assignment or Proposal'!D74+'Final exam'!D74+'quiz 2'!D74+'Poster or Presentation'!D74+'practical exam or OSCE'!D74)&lt;&gt;0,'Mid1'!D74+'Mid2'!D74+'quiz 1'!D74+'Assignment or Proposal'!D74+'Final exam'!D74+'quiz 2'!D74+'Poster or Presentation'!D74+'practical exam or OSCE'!D74,"")</f>
        <v/>
      </c>
      <c r="H75" s="57" t="str">
        <f>IF(('Mid1'!E74+'Mid2'!E74+'quiz 1'!E74+'Assignment or Proposal'!E74+'Final exam'!E74+'quiz 2'!E74+'Poster or Presentation'!E74+'practical exam or OSCE'!E74)&lt;&gt;0,'Mid1'!E74+'Mid2'!E74+'quiz 1'!E74+'Assignment or Proposal'!E74+'Final exam'!E74+'quiz 2'!E74+'Poster or Presentation'!E74+'practical exam or OSCE'!E74,"")</f>
        <v/>
      </c>
      <c r="I75" s="57" t="str">
        <f>IF(('Mid1'!F74+'Mid2'!F74+'quiz 1'!F74+'Assignment or Proposal'!F74+'Final exam'!F74+'quiz 2'!F74+'Poster or Presentation'!F74+'practical exam or OSCE'!F74)&lt;&gt;0,'Mid1'!F74+'Mid2'!F74+'quiz 1'!F74+'Assignment or Proposal'!F74+'Final exam'!F74+'quiz 2'!F74+'Poster or Presentation'!F74+'practical exam or OSCE'!F74,"")</f>
        <v/>
      </c>
      <c r="J75" s="57" t="str">
        <f>IF(('Mid1'!G74+'Mid2'!G74+'quiz 1'!G74+'Assignment or Proposal'!G74+'Final exam'!G74+'quiz 2'!G74+'Poster or Presentation'!G74+'practical exam or OSCE'!G74)&lt;&gt;0,'Mid1'!G74+'Mid2'!G74+'quiz 1'!G74+'Assignment or Proposal'!G74+'Final exam'!G74+'quiz 2'!G74+'Poster or Presentation'!G74+'practical exam or OSCE'!G74,"")</f>
        <v/>
      </c>
      <c r="K75" s="57" t="str">
        <f>IF(('Mid1'!H74+'Mid2'!H74+'quiz 1'!H74+'Assignment or Proposal'!H74+'Final exam'!H74+'quiz 2'!H74+'Poster or Presentation'!H74+'practical exam or OSCE'!H74)&lt;&gt;0,'Mid1'!H74+'Mid2'!H74+'quiz 1'!H74+'Assignment or Proposal'!H74+'Final exam'!H74+'quiz 2'!H74+'Poster or Presentation'!H74+'practical exam or OSCE'!H74,"")</f>
        <v/>
      </c>
      <c r="L75" s="57" t="str">
        <f>IF(('Mid1'!I74+'Mid2'!I74+'quiz 1'!I74+'Assignment or Proposal'!I74+'Final exam'!I74+'quiz 2'!I74+'Poster or Presentation'!I74+'practical exam or OSCE'!I74)&lt;&gt;0,'Mid1'!I74+'Mid2'!I74+'quiz 1'!I74+'Assignment or Proposal'!I74+'Final exam'!I74+'quiz 2'!I74+'Poster or Presentation'!I74+'practical exam or OSCE'!I74,"")</f>
        <v/>
      </c>
      <c r="M75" s="57" t="str">
        <f>IF(('Mid1'!J74+'Mid2'!J74+'quiz 1'!J74+'Assignment or Proposal'!J74+'Final exam'!J74+'quiz 2'!J74+'Poster or Presentation'!J74+'practical exam or OSCE'!J74)&lt;&gt;0,'Mid1'!J74+'Mid2'!J74+'quiz 1'!J74+'Assignment or Proposal'!J74+'Final exam'!J74+'quiz 2'!J74+'Poster or Presentation'!J74+'practical exam or OSCE'!J74,"")</f>
        <v/>
      </c>
      <c r="N75" s="5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O75" s="5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P75" s="57" t="str">
        <f>IF(('Mid1'!M74+'Mid2'!M74+'quiz 1'!M74+'Assignment or Proposal'!M74+'Final exam'!M74+'quiz 2'!M74+'Poster or Presentation'!M74+'practical exam or OSCE'!M74)&lt;&gt;0,'Mid1'!M74+'Mid2'!M74+'quiz 1'!M74+'Assignment or Proposal'!M74+'Final exam'!M74+'quiz 2'!M74+'Poster or Presentation'!M74+'practical exam or OSCE'!M74,"")</f>
        <v/>
      </c>
      <c r="Q75" s="136" t="str">
        <f t="shared" si="4"/>
        <v/>
      </c>
    </row>
    <row r="76" spans="1:17" ht="20.25" hidden="1" customHeight="1" x14ac:dyDescent="0.25">
      <c r="A76" s="24">
        <v>65</v>
      </c>
      <c r="B76" s="24" t="str">
        <f>IF(StList!B67&lt;&gt;"",StList!B67,"")</f>
        <v>Pharmaceutical sciences</v>
      </c>
      <c r="C76" s="24" t="str">
        <f>IF(StList!E67&lt;&gt;"",StList!E67,"")</f>
        <v/>
      </c>
      <c r="D76" s="24" t="str">
        <f>IF(StList!F67&lt;&gt;"",StList!F67,"")</f>
        <v/>
      </c>
      <c r="E76" s="57" t="str">
        <f>IF(('Mid1'!B75+'Mid2'!B75+'quiz 1'!B75+'Assignment or Proposal'!B75+'Final exam'!B75+'quiz 2'!B75+'Poster or Presentation'!B75+'practical exam or OSCE'!B75)&lt;&gt;0,'Mid1'!B75+'Mid2'!B75+'quiz 1'!B75+'Assignment or Proposal'!B75+'Final exam'!B75+'quiz 2'!B75+'Poster or Presentation'!B75+'practical exam or OSCE'!B75,"")</f>
        <v/>
      </c>
      <c r="F76" s="57" t="str">
        <f>IF(('Mid1'!C75+'Mid2'!C75+'quiz 1'!C75+'Assignment or Proposal'!C75+'Final exam'!C75+'quiz 2'!C75+'Poster or Presentation'!C75+'practical exam or OSCE'!C75)&lt;&gt;0,'Mid1'!C75+'Mid2'!C75+'quiz 1'!C75+'Assignment or Proposal'!C75+'Final exam'!C75+'quiz 2'!C75+'Poster or Presentation'!C75+'practical exam or OSCE'!C75,"")</f>
        <v/>
      </c>
      <c r="G76" s="57" t="str">
        <f>IF(('Mid1'!D75+'Mid2'!D75+'quiz 1'!D75+'Assignment or Proposal'!D75+'Final exam'!D75+'quiz 2'!D75+'Poster or Presentation'!D75+'practical exam or OSCE'!D75)&lt;&gt;0,'Mid1'!D75+'Mid2'!D75+'quiz 1'!D75+'Assignment or Proposal'!D75+'Final exam'!D75+'quiz 2'!D75+'Poster or Presentation'!D75+'practical exam or OSCE'!D75,"")</f>
        <v/>
      </c>
      <c r="H76" s="57" t="str">
        <f>IF(('Mid1'!E75+'Mid2'!E75+'quiz 1'!E75+'Assignment or Proposal'!E75+'Final exam'!E75+'quiz 2'!E75+'Poster or Presentation'!E75+'practical exam or OSCE'!E75)&lt;&gt;0,'Mid1'!E75+'Mid2'!E75+'quiz 1'!E75+'Assignment or Proposal'!E75+'Final exam'!E75+'quiz 2'!E75+'Poster or Presentation'!E75+'practical exam or OSCE'!E75,"")</f>
        <v/>
      </c>
      <c r="I76" s="57" t="str">
        <f>IF(('Mid1'!F75+'Mid2'!F75+'quiz 1'!F75+'Assignment or Proposal'!F75+'Final exam'!F75+'quiz 2'!F75+'Poster or Presentation'!F75+'practical exam or OSCE'!F75)&lt;&gt;0,'Mid1'!F75+'Mid2'!F75+'quiz 1'!F75+'Assignment or Proposal'!F75+'Final exam'!F75+'quiz 2'!F75+'Poster or Presentation'!F75+'practical exam or OSCE'!F75,"")</f>
        <v/>
      </c>
      <c r="J76" s="57" t="str">
        <f>IF(('Mid1'!G75+'Mid2'!G75+'quiz 1'!G75+'Assignment or Proposal'!G75+'Final exam'!G75+'quiz 2'!G75+'Poster or Presentation'!G75+'practical exam or OSCE'!G75)&lt;&gt;0,'Mid1'!G75+'Mid2'!G75+'quiz 1'!G75+'Assignment or Proposal'!G75+'Final exam'!G75+'quiz 2'!G75+'Poster or Presentation'!G75+'practical exam or OSCE'!G75,"")</f>
        <v/>
      </c>
      <c r="K76" s="57" t="str">
        <f>IF(('Mid1'!H75+'Mid2'!H75+'quiz 1'!H75+'Assignment or Proposal'!H75+'Final exam'!H75+'quiz 2'!H75+'Poster or Presentation'!H75+'practical exam or OSCE'!H75)&lt;&gt;0,'Mid1'!H75+'Mid2'!H75+'quiz 1'!H75+'Assignment or Proposal'!H75+'Final exam'!H75+'quiz 2'!H75+'Poster or Presentation'!H75+'practical exam or OSCE'!H75,"")</f>
        <v/>
      </c>
      <c r="L76" s="57" t="str">
        <f>IF(('Mid1'!I75+'Mid2'!I75+'quiz 1'!I75+'Assignment or Proposal'!I75+'Final exam'!I75+'quiz 2'!I75+'Poster or Presentation'!I75+'practical exam or OSCE'!I75)&lt;&gt;0,'Mid1'!I75+'Mid2'!I75+'quiz 1'!I75+'Assignment or Proposal'!I75+'Final exam'!I75+'quiz 2'!I75+'Poster or Presentation'!I75+'practical exam or OSCE'!I75,"")</f>
        <v/>
      </c>
      <c r="M76" s="57" t="str">
        <f>IF(('Mid1'!J75+'Mid2'!J75+'quiz 1'!J75+'Assignment or Proposal'!J75+'Final exam'!J75+'quiz 2'!J75+'Poster or Presentation'!J75+'practical exam or OSCE'!J75)&lt;&gt;0,'Mid1'!J75+'Mid2'!J75+'quiz 1'!J75+'Assignment or Proposal'!J75+'Final exam'!J75+'quiz 2'!J75+'Poster or Presentation'!J75+'practical exam or OSCE'!J75,"")</f>
        <v/>
      </c>
      <c r="N76" s="5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O76" s="5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P76" s="57" t="str">
        <f>IF(('Mid1'!M75+'Mid2'!M75+'quiz 1'!M75+'Assignment or Proposal'!M75+'Final exam'!M75+'quiz 2'!M75+'Poster or Presentation'!M75+'practical exam or OSCE'!M75)&lt;&gt;0,'Mid1'!M75+'Mid2'!M75+'quiz 1'!M75+'Assignment or Proposal'!M75+'Final exam'!M75+'quiz 2'!M75+'Poster or Presentation'!M75+'practical exam or OSCE'!M75,"")</f>
        <v/>
      </c>
      <c r="Q76" s="136" t="str">
        <f t="shared" si="4"/>
        <v/>
      </c>
    </row>
    <row r="77" spans="1:17" ht="20.25" hidden="1" customHeight="1" x14ac:dyDescent="0.25">
      <c r="A77" s="24">
        <v>66</v>
      </c>
      <c r="B77" s="24" t="str">
        <f>IF(StList!B68&lt;&gt;"",StList!B68,"")</f>
        <v>Pharmaceutical sciences</v>
      </c>
      <c r="C77" s="24" t="str">
        <f>IF(StList!E68&lt;&gt;"",StList!E68,"")</f>
        <v/>
      </c>
      <c r="D77" s="24" t="str">
        <f>IF(StList!F68&lt;&gt;"",StList!F68,"")</f>
        <v/>
      </c>
      <c r="E77" s="57" t="str">
        <f>IF(('Mid1'!B76+'Mid2'!B76+'quiz 1'!B76+'Assignment or Proposal'!B76+'Final exam'!B76+'quiz 2'!B76+'Poster or Presentation'!B76+'practical exam or OSCE'!B76)&lt;&gt;0,'Mid1'!B76+'Mid2'!B76+'quiz 1'!B76+'Assignment or Proposal'!B76+'Final exam'!B76+'quiz 2'!B76+'Poster or Presentation'!B76+'practical exam or OSCE'!B76,"")</f>
        <v/>
      </c>
      <c r="F77" s="57" t="str">
        <f>IF(('Mid1'!C76+'Mid2'!C76+'quiz 1'!C76+'Assignment or Proposal'!C76+'Final exam'!C76+'quiz 2'!C76+'Poster or Presentation'!C76+'practical exam or OSCE'!C76)&lt;&gt;0,'Mid1'!C76+'Mid2'!C76+'quiz 1'!C76+'Assignment or Proposal'!C76+'Final exam'!C76+'quiz 2'!C76+'Poster or Presentation'!C76+'practical exam or OSCE'!C76,"")</f>
        <v/>
      </c>
      <c r="G77" s="57" t="str">
        <f>IF(('Mid1'!D76+'Mid2'!D76+'quiz 1'!D76+'Assignment or Proposal'!D76+'Final exam'!D76+'quiz 2'!D76+'Poster or Presentation'!D76+'practical exam or OSCE'!D76)&lt;&gt;0,'Mid1'!D76+'Mid2'!D76+'quiz 1'!D76+'Assignment or Proposal'!D76+'Final exam'!D76+'quiz 2'!D76+'Poster or Presentation'!D76+'practical exam or OSCE'!D76,"")</f>
        <v/>
      </c>
      <c r="H77" s="57" t="str">
        <f>IF(('Mid1'!E76+'Mid2'!E76+'quiz 1'!E76+'Assignment or Proposal'!E76+'Final exam'!E76+'quiz 2'!E76+'Poster or Presentation'!E76+'practical exam or OSCE'!E76)&lt;&gt;0,'Mid1'!E76+'Mid2'!E76+'quiz 1'!E76+'Assignment or Proposal'!E76+'Final exam'!E76+'quiz 2'!E76+'Poster or Presentation'!E76+'practical exam or OSCE'!E76,"")</f>
        <v/>
      </c>
      <c r="I77" s="57" t="str">
        <f>IF(('Mid1'!F76+'Mid2'!F76+'quiz 1'!F76+'Assignment or Proposal'!F76+'Final exam'!F76+'quiz 2'!F76+'Poster or Presentation'!F76+'practical exam or OSCE'!F76)&lt;&gt;0,'Mid1'!F76+'Mid2'!F76+'quiz 1'!F76+'Assignment or Proposal'!F76+'Final exam'!F76+'quiz 2'!F76+'Poster or Presentation'!F76+'practical exam or OSCE'!F76,"")</f>
        <v/>
      </c>
      <c r="J77" s="57" t="str">
        <f>IF(('Mid1'!G76+'Mid2'!G76+'quiz 1'!G76+'Assignment or Proposal'!G76+'Final exam'!G76+'quiz 2'!G76+'Poster or Presentation'!G76+'practical exam or OSCE'!G76)&lt;&gt;0,'Mid1'!G76+'Mid2'!G76+'quiz 1'!G76+'Assignment or Proposal'!G76+'Final exam'!G76+'quiz 2'!G76+'Poster or Presentation'!G76+'practical exam or OSCE'!G76,"")</f>
        <v/>
      </c>
      <c r="K77" s="57" t="str">
        <f>IF(('Mid1'!H76+'Mid2'!H76+'quiz 1'!H76+'Assignment or Proposal'!H76+'Final exam'!H76+'quiz 2'!H76+'Poster or Presentation'!H76+'practical exam or OSCE'!H76)&lt;&gt;0,'Mid1'!H76+'Mid2'!H76+'quiz 1'!H76+'Assignment or Proposal'!H76+'Final exam'!H76+'quiz 2'!H76+'Poster or Presentation'!H76+'practical exam or OSCE'!H76,"")</f>
        <v/>
      </c>
      <c r="L77" s="57" t="str">
        <f>IF(('Mid1'!I76+'Mid2'!I76+'quiz 1'!I76+'Assignment or Proposal'!I76+'Final exam'!I76+'quiz 2'!I76+'Poster or Presentation'!I76+'practical exam or OSCE'!I76)&lt;&gt;0,'Mid1'!I76+'Mid2'!I76+'quiz 1'!I76+'Assignment or Proposal'!I76+'Final exam'!I76+'quiz 2'!I76+'Poster or Presentation'!I76+'practical exam or OSCE'!I76,"")</f>
        <v/>
      </c>
      <c r="M77" s="57" t="str">
        <f>IF(('Mid1'!J76+'Mid2'!J76+'quiz 1'!J76+'Assignment or Proposal'!J76+'Final exam'!J76+'quiz 2'!J76+'Poster or Presentation'!J76+'practical exam or OSCE'!J76)&lt;&gt;0,'Mid1'!J76+'Mid2'!J76+'quiz 1'!J76+'Assignment or Proposal'!J76+'Final exam'!J76+'quiz 2'!J76+'Poster or Presentation'!J76+'practical exam or OSCE'!J76,"")</f>
        <v/>
      </c>
      <c r="N77" s="5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O77" s="5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P77" s="57" t="str">
        <f>IF(('Mid1'!M76+'Mid2'!M76+'quiz 1'!M76+'Assignment or Proposal'!M76+'Final exam'!M76+'quiz 2'!M76+'Poster or Presentation'!M76+'practical exam or OSCE'!M76)&lt;&gt;0,'Mid1'!M76+'Mid2'!M76+'quiz 1'!M76+'Assignment or Proposal'!M76+'Final exam'!M76+'quiz 2'!M76+'Poster or Presentation'!M76+'practical exam or OSCE'!M76,"")</f>
        <v/>
      </c>
      <c r="Q77" s="136" t="str">
        <f t="shared" si="4"/>
        <v/>
      </c>
    </row>
    <row r="78" spans="1:17" ht="20.25" hidden="1" customHeight="1" x14ac:dyDescent="0.25">
      <c r="A78" s="24">
        <v>67</v>
      </c>
      <c r="B78" s="24" t="str">
        <f>IF(StList!B69&lt;&gt;"",StList!B69,"")</f>
        <v>Pharmaceutical sciences</v>
      </c>
      <c r="C78" s="24" t="str">
        <f>IF(StList!E69&lt;&gt;"",StList!E69,"")</f>
        <v/>
      </c>
      <c r="D78" s="24" t="str">
        <f>IF(StList!F69&lt;&gt;"",StList!F69,"")</f>
        <v/>
      </c>
      <c r="E78" s="57" t="str">
        <f>IF(('Mid1'!B77+'Mid2'!B77+'quiz 1'!B77+'Assignment or Proposal'!B77+'Final exam'!B77+'quiz 2'!B77+'Poster or Presentation'!B77+'practical exam or OSCE'!B77)&lt;&gt;0,'Mid1'!B77+'Mid2'!B77+'quiz 1'!B77+'Assignment or Proposal'!B77+'Final exam'!B77+'quiz 2'!B77+'Poster or Presentation'!B77+'practical exam or OSCE'!B77,"")</f>
        <v/>
      </c>
      <c r="F78" s="57" t="str">
        <f>IF(('Mid1'!C77+'Mid2'!C77+'quiz 1'!C77+'Assignment or Proposal'!C77+'Final exam'!C77+'quiz 2'!C77+'Poster or Presentation'!C77+'practical exam or OSCE'!C77)&lt;&gt;0,'Mid1'!C77+'Mid2'!C77+'quiz 1'!C77+'Assignment or Proposal'!C77+'Final exam'!C77+'quiz 2'!C77+'Poster or Presentation'!C77+'practical exam or OSCE'!C77,"")</f>
        <v/>
      </c>
      <c r="G78" s="57" t="str">
        <f>IF(('Mid1'!D77+'Mid2'!D77+'quiz 1'!D77+'Assignment or Proposal'!D77+'Final exam'!D77+'quiz 2'!D77+'Poster or Presentation'!D77+'practical exam or OSCE'!D77)&lt;&gt;0,'Mid1'!D77+'Mid2'!D77+'quiz 1'!D77+'Assignment or Proposal'!D77+'Final exam'!D77+'quiz 2'!D77+'Poster or Presentation'!D77+'practical exam or OSCE'!D77,"")</f>
        <v/>
      </c>
      <c r="H78" s="57" t="str">
        <f>IF(('Mid1'!E77+'Mid2'!E77+'quiz 1'!E77+'Assignment or Proposal'!E77+'Final exam'!E77+'quiz 2'!E77+'Poster or Presentation'!E77+'practical exam or OSCE'!E77)&lt;&gt;0,'Mid1'!E77+'Mid2'!E77+'quiz 1'!E77+'Assignment or Proposal'!E77+'Final exam'!E77+'quiz 2'!E77+'Poster or Presentation'!E77+'practical exam or OSCE'!E77,"")</f>
        <v/>
      </c>
      <c r="I78" s="57" t="str">
        <f>IF(('Mid1'!F77+'Mid2'!F77+'quiz 1'!F77+'Assignment or Proposal'!F77+'Final exam'!F77+'quiz 2'!F77+'Poster or Presentation'!F77+'practical exam or OSCE'!F77)&lt;&gt;0,'Mid1'!F77+'Mid2'!F77+'quiz 1'!F77+'Assignment or Proposal'!F77+'Final exam'!F77+'quiz 2'!F77+'Poster or Presentation'!F77+'practical exam or OSCE'!F77,"")</f>
        <v/>
      </c>
      <c r="J78" s="57" t="str">
        <f>IF(('Mid1'!G77+'Mid2'!G77+'quiz 1'!G77+'Assignment or Proposal'!G77+'Final exam'!G77+'quiz 2'!G77+'Poster or Presentation'!G77+'practical exam or OSCE'!G77)&lt;&gt;0,'Mid1'!G77+'Mid2'!G77+'quiz 1'!G77+'Assignment or Proposal'!G77+'Final exam'!G77+'quiz 2'!G77+'Poster or Presentation'!G77+'practical exam or OSCE'!G77,"")</f>
        <v/>
      </c>
      <c r="K78" s="57" t="str">
        <f>IF(('Mid1'!H77+'Mid2'!H77+'quiz 1'!H77+'Assignment or Proposal'!H77+'Final exam'!H77+'quiz 2'!H77+'Poster or Presentation'!H77+'practical exam or OSCE'!H77)&lt;&gt;0,'Mid1'!H77+'Mid2'!H77+'quiz 1'!H77+'Assignment or Proposal'!H77+'Final exam'!H77+'quiz 2'!H77+'Poster or Presentation'!H77+'practical exam or OSCE'!H77,"")</f>
        <v/>
      </c>
      <c r="L78" s="57" t="str">
        <f>IF(('Mid1'!I77+'Mid2'!I77+'quiz 1'!I77+'Assignment or Proposal'!I77+'Final exam'!I77+'quiz 2'!I77+'Poster or Presentation'!I77+'practical exam or OSCE'!I77)&lt;&gt;0,'Mid1'!I77+'Mid2'!I77+'quiz 1'!I77+'Assignment or Proposal'!I77+'Final exam'!I77+'quiz 2'!I77+'Poster or Presentation'!I77+'practical exam or OSCE'!I77,"")</f>
        <v/>
      </c>
      <c r="M78" s="57" t="str">
        <f>IF(('Mid1'!J77+'Mid2'!J77+'quiz 1'!J77+'Assignment or Proposal'!J77+'Final exam'!J77+'quiz 2'!J77+'Poster or Presentation'!J77+'practical exam or OSCE'!J77)&lt;&gt;0,'Mid1'!J77+'Mid2'!J77+'quiz 1'!J77+'Assignment or Proposal'!J77+'Final exam'!J77+'quiz 2'!J77+'Poster or Presentation'!J77+'practical exam or OSCE'!J77,"")</f>
        <v/>
      </c>
      <c r="N78" s="5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O78" s="5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P78" s="57" t="str">
        <f>IF(('Mid1'!M77+'Mid2'!M77+'quiz 1'!M77+'Assignment or Proposal'!M77+'Final exam'!M77+'quiz 2'!M77+'Poster or Presentation'!M77+'practical exam or OSCE'!M77)&lt;&gt;0,'Mid1'!M77+'Mid2'!M77+'quiz 1'!M77+'Assignment or Proposal'!M77+'Final exam'!M77+'quiz 2'!M77+'Poster or Presentation'!M77+'practical exam or OSCE'!M77,"")</f>
        <v/>
      </c>
      <c r="Q78" s="136" t="str">
        <f t="shared" si="4"/>
        <v/>
      </c>
    </row>
    <row r="79" spans="1:17" ht="20.25" hidden="1" customHeight="1" x14ac:dyDescent="0.25">
      <c r="A79" s="24">
        <v>68</v>
      </c>
      <c r="B79" s="24" t="str">
        <f>IF(StList!B70&lt;&gt;"",StList!B70,"")</f>
        <v>Pharmaceutical sciences</v>
      </c>
      <c r="C79" s="24" t="str">
        <f>IF(StList!E70&lt;&gt;"",StList!E70,"")</f>
        <v/>
      </c>
      <c r="D79" s="24" t="str">
        <f>IF(StList!F70&lt;&gt;"",StList!F70,"")</f>
        <v/>
      </c>
      <c r="E79" s="57" t="str">
        <f>IF(('Mid1'!B78+'Mid2'!B78+'quiz 1'!B78+'Assignment or Proposal'!B78+'Final exam'!B78+'quiz 2'!B78+'Poster or Presentation'!B78+'practical exam or OSCE'!B78)&lt;&gt;0,'Mid1'!B78+'Mid2'!B78+'quiz 1'!B78+'Assignment or Proposal'!B78+'Final exam'!B78+'quiz 2'!B78+'Poster or Presentation'!B78+'practical exam or OSCE'!B78,"")</f>
        <v/>
      </c>
      <c r="F79" s="57" t="str">
        <f>IF(('Mid1'!C78+'Mid2'!C78+'quiz 1'!C78+'Assignment or Proposal'!C78+'Final exam'!C78+'quiz 2'!C78+'Poster or Presentation'!C78+'practical exam or OSCE'!C78)&lt;&gt;0,'Mid1'!C78+'Mid2'!C78+'quiz 1'!C78+'Assignment or Proposal'!C78+'Final exam'!C78+'quiz 2'!C78+'Poster or Presentation'!C78+'practical exam or OSCE'!C78,"")</f>
        <v/>
      </c>
      <c r="G79" s="57" t="str">
        <f>IF(('Mid1'!D78+'Mid2'!D78+'quiz 1'!D78+'Assignment or Proposal'!D78+'Final exam'!D78+'quiz 2'!D78+'Poster or Presentation'!D78+'practical exam or OSCE'!D78)&lt;&gt;0,'Mid1'!D78+'Mid2'!D78+'quiz 1'!D78+'Assignment or Proposal'!D78+'Final exam'!D78+'quiz 2'!D78+'Poster or Presentation'!D78+'practical exam or OSCE'!D78,"")</f>
        <v/>
      </c>
      <c r="H79" s="57" t="str">
        <f>IF(('Mid1'!E78+'Mid2'!E78+'quiz 1'!E78+'Assignment or Proposal'!E78+'Final exam'!E78+'quiz 2'!E78+'Poster or Presentation'!E78+'practical exam or OSCE'!E78)&lt;&gt;0,'Mid1'!E78+'Mid2'!E78+'quiz 1'!E78+'Assignment or Proposal'!E78+'Final exam'!E78+'quiz 2'!E78+'Poster or Presentation'!E78+'practical exam or OSCE'!E78,"")</f>
        <v/>
      </c>
      <c r="I79" s="57" t="str">
        <f>IF(('Mid1'!F78+'Mid2'!F78+'quiz 1'!F78+'Assignment or Proposal'!F78+'Final exam'!F78+'quiz 2'!F78+'Poster or Presentation'!F78+'practical exam or OSCE'!F78)&lt;&gt;0,'Mid1'!F78+'Mid2'!F78+'quiz 1'!F78+'Assignment or Proposal'!F78+'Final exam'!F78+'quiz 2'!F78+'Poster or Presentation'!F78+'practical exam or OSCE'!F78,"")</f>
        <v/>
      </c>
      <c r="J79" s="57" t="str">
        <f>IF(('Mid1'!G78+'Mid2'!G78+'quiz 1'!G78+'Assignment or Proposal'!G78+'Final exam'!G78+'quiz 2'!G78+'Poster or Presentation'!G78+'practical exam or OSCE'!G78)&lt;&gt;0,'Mid1'!G78+'Mid2'!G78+'quiz 1'!G78+'Assignment or Proposal'!G78+'Final exam'!G78+'quiz 2'!G78+'Poster or Presentation'!G78+'practical exam or OSCE'!G78,"")</f>
        <v/>
      </c>
      <c r="K79" s="57" t="str">
        <f>IF(('Mid1'!H78+'Mid2'!H78+'quiz 1'!H78+'Assignment or Proposal'!H78+'Final exam'!H78+'quiz 2'!H78+'Poster or Presentation'!H78+'practical exam or OSCE'!H78)&lt;&gt;0,'Mid1'!H78+'Mid2'!H78+'quiz 1'!H78+'Assignment or Proposal'!H78+'Final exam'!H78+'quiz 2'!H78+'Poster or Presentation'!H78+'practical exam or OSCE'!H78,"")</f>
        <v/>
      </c>
      <c r="L79" s="57" t="str">
        <f>IF(('Mid1'!I78+'Mid2'!I78+'quiz 1'!I78+'Assignment or Proposal'!I78+'Final exam'!I78+'quiz 2'!I78+'Poster or Presentation'!I78+'practical exam or OSCE'!I78)&lt;&gt;0,'Mid1'!I78+'Mid2'!I78+'quiz 1'!I78+'Assignment or Proposal'!I78+'Final exam'!I78+'quiz 2'!I78+'Poster or Presentation'!I78+'practical exam or OSCE'!I78,"")</f>
        <v/>
      </c>
      <c r="M79" s="57" t="str">
        <f>IF(('Mid1'!J78+'Mid2'!J78+'quiz 1'!J78+'Assignment or Proposal'!J78+'Final exam'!J78+'quiz 2'!J78+'Poster or Presentation'!J78+'practical exam or OSCE'!J78)&lt;&gt;0,'Mid1'!J78+'Mid2'!J78+'quiz 1'!J78+'Assignment or Proposal'!J78+'Final exam'!J78+'quiz 2'!J78+'Poster or Presentation'!J78+'practical exam or OSCE'!J78,"")</f>
        <v/>
      </c>
      <c r="N79" s="5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O79" s="5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P79" s="57" t="str">
        <f>IF(('Mid1'!M78+'Mid2'!M78+'quiz 1'!M78+'Assignment or Proposal'!M78+'Final exam'!M78+'quiz 2'!M78+'Poster or Presentation'!M78+'practical exam or OSCE'!M78)&lt;&gt;0,'Mid1'!M78+'Mid2'!M78+'quiz 1'!M78+'Assignment or Proposal'!M78+'Final exam'!M78+'quiz 2'!M78+'Poster or Presentation'!M78+'practical exam or OSCE'!M78,"")</f>
        <v/>
      </c>
      <c r="Q79" s="136" t="str">
        <f t="shared" si="4"/>
        <v/>
      </c>
    </row>
    <row r="80" spans="1:17" ht="20.25" hidden="1" customHeight="1" x14ac:dyDescent="0.25">
      <c r="A80" s="24">
        <v>69</v>
      </c>
      <c r="B80" s="24" t="str">
        <f>IF(StList!B71&lt;&gt;"",StList!B71,"")</f>
        <v>Pharmaceutical sciences</v>
      </c>
      <c r="C80" s="24" t="str">
        <f>IF(StList!E71&lt;&gt;"",StList!E71,"")</f>
        <v/>
      </c>
      <c r="D80" s="24" t="str">
        <f>IF(StList!F71&lt;&gt;"",StList!F71,"")</f>
        <v/>
      </c>
      <c r="E80" s="57" t="str">
        <f>IF(('Mid1'!B79+'Mid2'!B79+'quiz 1'!B79+'Assignment or Proposal'!B79+'Final exam'!B79+'quiz 2'!B79+'Poster or Presentation'!B79+'practical exam or OSCE'!B79)&lt;&gt;0,'Mid1'!B79+'Mid2'!B79+'quiz 1'!B79+'Assignment or Proposal'!B79+'Final exam'!B79+'quiz 2'!B79+'Poster or Presentation'!B79+'practical exam or OSCE'!B79,"")</f>
        <v/>
      </c>
      <c r="F80" s="57" t="str">
        <f>IF(('Mid1'!C79+'Mid2'!C79+'quiz 1'!C79+'Assignment or Proposal'!C79+'Final exam'!C79+'quiz 2'!C79+'Poster or Presentation'!C79+'practical exam or OSCE'!C79)&lt;&gt;0,'Mid1'!C79+'Mid2'!C79+'quiz 1'!C79+'Assignment or Proposal'!C79+'Final exam'!C79+'quiz 2'!C79+'Poster or Presentation'!C79+'practical exam or OSCE'!C79,"")</f>
        <v/>
      </c>
      <c r="G80" s="57" t="str">
        <f>IF(('Mid1'!D79+'Mid2'!D79+'quiz 1'!D79+'Assignment or Proposal'!D79+'Final exam'!D79+'quiz 2'!D79+'Poster or Presentation'!D79+'practical exam or OSCE'!D79)&lt;&gt;0,'Mid1'!D79+'Mid2'!D79+'quiz 1'!D79+'Assignment or Proposal'!D79+'Final exam'!D79+'quiz 2'!D79+'Poster or Presentation'!D79+'practical exam or OSCE'!D79,"")</f>
        <v/>
      </c>
      <c r="H80" s="57" t="str">
        <f>IF(('Mid1'!E79+'Mid2'!E79+'quiz 1'!E79+'Assignment or Proposal'!E79+'Final exam'!E79+'quiz 2'!E79+'Poster or Presentation'!E79+'practical exam or OSCE'!E79)&lt;&gt;0,'Mid1'!E79+'Mid2'!E79+'quiz 1'!E79+'Assignment or Proposal'!E79+'Final exam'!E79+'quiz 2'!E79+'Poster or Presentation'!E79+'practical exam or OSCE'!E79,"")</f>
        <v/>
      </c>
      <c r="I80" s="57" t="str">
        <f>IF(('Mid1'!F79+'Mid2'!F79+'quiz 1'!F79+'Assignment or Proposal'!F79+'Final exam'!F79+'quiz 2'!F79+'Poster or Presentation'!F79+'practical exam or OSCE'!F79)&lt;&gt;0,'Mid1'!F79+'Mid2'!F79+'quiz 1'!F79+'Assignment or Proposal'!F79+'Final exam'!F79+'quiz 2'!F79+'Poster or Presentation'!F79+'practical exam or OSCE'!F79,"")</f>
        <v/>
      </c>
      <c r="J80" s="57" t="str">
        <f>IF(('Mid1'!G79+'Mid2'!G79+'quiz 1'!G79+'Assignment or Proposal'!G79+'Final exam'!G79+'quiz 2'!G79+'Poster or Presentation'!G79+'practical exam or OSCE'!G79)&lt;&gt;0,'Mid1'!G79+'Mid2'!G79+'quiz 1'!G79+'Assignment or Proposal'!G79+'Final exam'!G79+'quiz 2'!G79+'Poster or Presentation'!G79+'practical exam or OSCE'!G79,"")</f>
        <v/>
      </c>
      <c r="K80" s="57" t="str">
        <f>IF(('Mid1'!H79+'Mid2'!H79+'quiz 1'!H79+'Assignment or Proposal'!H79+'Final exam'!H79+'quiz 2'!H79+'Poster or Presentation'!H79+'practical exam or OSCE'!H79)&lt;&gt;0,'Mid1'!H79+'Mid2'!H79+'quiz 1'!H79+'Assignment or Proposal'!H79+'Final exam'!H79+'quiz 2'!H79+'Poster or Presentation'!H79+'practical exam or OSCE'!H79,"")</f>
        <v/>
      </c>
      <c r="L80" s="57" t="str">
        <f>IF(('Mid1'!I79+'Mid2'!I79+'quiz 1'!I79+'Assignment or Proposal'!I79+'Final exam'!I79+'quiz 2'!I79+'Poster or Presentation'!I79+'practical exam or OSCE'!I79)&lt;&gt;0,'Mid1'!I79+'Mid2'!I79+'quiz 1'!I79+'Assignment or Proposal'!I79+'Final exam'!I79+'quiz 2'!I79+'Poster or Presentation'!I79+'practical exam or OSCE'!I79,"")</f>
        <v/>
      </c>
      <c r="M80" s="57" t="str">
        <f>IF(('Mid1'!J79+'Mid2'!J79+'quiz 1'!J79+'Assignment or Proposal'!J79+'Final exam'!J79+'quiz 2'!J79+'Poster or Presentation'!J79+'practical exam or OSCE'!J79)&lt;&gt;0,'Mid1'!J79+'Mid2'!J79+'quiz 1'!J79+'Assignment or Proposal'!J79+'Final exam'!J79+'quiz 2'!J79+'Poster or Presentation'!J79+'practical exam or OSCE'!J79,"")</f>
        <v/>
      </c>
      <c r="N80" s="5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O80" s="5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P80" s="57" t="str">
        <f>IF(('Mid1'!M79+'Mid2'!M79+'quiz 1'!M79+'Assignment or Proposal'!M79+'Final exam'!M79+'quiz 2'!M79+'Poster or Presentation'!M79+'practical exam or OSCE'!M79)&lt;&gt;0,'Mid1'!M79+'Mid2'!M79+'quiz 1'!M79+'Assignment or Proposal'!M79+'Final exam'!M79+'quiz 2'!M79+'Poster or Presentation'!M79+'practical exam or OSCE'!M79,"")</f>
        <v/>
      </c>
      <c r="Q80" s="136" t="str">
        <f t="shared" si="4"/>
        <v/>
      </c>
    </row>
    <row r="81" spans="1:17" ht="20.25" hidden="1" customHeight="1" x14ac:dyDescent="0.25">
      <c r="A81" s="24">
        <v>70</v>
      </c>
      <c r="B81" s="24" t="str">
        <f>IF(StList!B72&lt;&gt;"",StList!B72,"")</f>
        <v>Pharmaceutical sciences</v>
      </c>
      <c r="C81" s="24" t="str">
        <f>IF(StList!E72&lt;&gt;"",StList!E72,"")</f>
        <v/>
      </c>
      <c r="D81" s="24" t="str">
        <f>IF(StList!F72&lt;&gt;"",StList!F72,"")</f>
        <v/>
      </c>
      <c r="E81" s="57" t="str">
        <f>IF(('Mid1'!B80+'Mid2'!B80+'quiz 1'!B80+'Assignment or Proposal'!B80+'Final exam'!B80+'quiz 2'!B80+'Poster or Presentation'!B80+'practical exam or OSCE'!B80)&lt;&gt;0,'Mid1'!B80+'Mid2'!B80+'quiz 1'!B80+'Assignment or Proposal'!B80+'Final exam'!B80+'quiz 2'!B80+'Poster or Presentation'!B80+'practical exam or OSCE'!B80,"")</f>
        <v/>
      </c>
      <c r="F81" s="57" t="str">
        <f>IF(('Mid1'!C80+'Mid2'!C80+'quiz 1'!C80+'Assignment or Proposal'!C80+'Final exam'!C80+'quiz 2'!C80+'Poster or Presentation'!C80+'practical exam or OSCE'!C80)&lt;&gt;0,'Mid1'!C80+'Mid2'!C80+'quiz 1'!C80+'Assignment or Proposal'!C80+'Final exam'!C80+'quiz 2'!C80+'Poster or Presentation'!C80+'practical exam or OSCE'!C80,"")</f>
        <v/>
      </c>
      <c r="G81" s="57" t="str">
        <f>IF(('Mid1'!D80+'Mid2'!D80+'quiz 1'!D80+'Assignment or Proposal'!D80+'Final exam'!D80+'quiz 2'!D80+'Poster or Presentation'!D80+'practical exam or OSCE'!D80)&lt;&gt;0,'Mid1'!D80+'Mid2'!D80+'quiz 1'!D80+'Assignment or Proposal'!D80+'Final exam'!D80+'quiz 2'!D80+'Poster or Presentation'!D80+'practical exam or OSCE'!D80,"")</f>
        <v/>
      </c>
      <c r="H81" s="57" t="str">
        <f>IF(('Mid1'!E80+'Mid2'!E80+'quiz 1'!E80+'Assignment or Proposal'!E80+'Final exam'!E80+'quiz 2'!E80+'Poster or Presentation'!E80+'practical exam or OSCE'!E80)&lt;&gt;0,'Mid1'!E80+'Mid2'!E80+'quiz 1'!E80+'Assignment or Proposal'!E80+'Final exam'!E80+'quiz 2'!E80+'Poster or Presentation'!E80+'practical exam or OSCE'!E80,"")</f>
        <v/>
      </c>
      <c r="I81" s="57" t="str">
        <f>IF(('Mid1'!F80+'Mid2'!F80+'quiz 1'!F80+'Assignment or Proposal'!F80+'Final exam'!F80+'quiz 2'!F80+'Poster or Presentation'!F80+'practical exam or OSCE'!F80)&lt;&gt;0,'Mid1'!F80+'Mid2'!F80+'quiz 1'!F80+'Assignment or Proposal'!F80+'Final exam'!F80+'quiz 2'!F80+'Poster or Presentation'!F80+'practical exam or OSCE'!F80,"")</f>
        <v/>
      </c>
      <c r="J81" s="57" t="str">
        <f>IF(('Mid1'!G80+'Mid2'!G80+'quiz 1'!G80+'Assignment or Proposal'!G80+'Final exam'!G80+'quiz 2'!G80+'Poster or Presentation'!G80+'practical exam or OSCE'!G80)&lt;&gt;0,'Mid1'!G80+'Mid2'!G80+'quiz 1'!G80+'Assignment or Proposal'!G80+'Final exam'!G80+'quiz 2'!G80+'Poster or Presentation'!G80+'practical exam or OSCE'!G80,"")</f>
        <v/>
      </c>
      <c r="K81" s="57" t="str">
        <f>IF(('Mid1'!H80+'Mid2'!H80+'quiz 1'!H80+'Assignment or Proposal'!H80+'Final exam'!H80+'quiz 2'!H80+'Poster or Presentation'!H80+'practical exam or OSCE'!H80)&lt;&gt;0,'Mid1'!H80+'Mid2'!H80+'quiz 1'!H80+'Assignment or Proposal'!H80+'Final exam'!H80+'quiz 2'!H80+'Poster or Presentation'!H80+'practical exam or OSCE'!H80,"")</f>
        <v/>
      </c>
      <c r="L81" s="57" t="str">
        <f>IF(('Mid1'!I80+'Mid2'!I80+'quiz 1'!I80+'Assignment or Proposal'!I80+'Final exam'!I80+'quiz 2'!I80+'Poster or Presentation'!I80+'practical exam or OSCE'!I80)&lt;&gt;0,'Mid1'!I80+'Mid2'!I80+'quiz 1'!I80+'Assignment or Proposal'!I80+'Final exam'!I80+'quiz 2'!I80+'Poster or Presentation'!I80+'practical exam or OSCE'!I80,"")</f>
        <v/>
      </c>
      <c r="M81" s="57" t="str">
        <f>IF(('Mid1'!J80+'Mid2'!J80+'quiz 1'!J80+'Assignment or Proposal'!J80+'Final exam'!J80+'quiz 2'!J80+'Poster or Presentation'!J80+'practical exam or OSCE'!J80)&lt;&gt;0,'Mid1'!J80+'Mid2'!J80+'quiz 1'!J80+'Assignment or Proposal'!J80+'Final exam'!J80+'quiz 2'!J80+'Poster or Presentation'!J80+'practical exam or OSCE'!J80,"")</f>
        <v/>
      </c>
      <c r="N81" s="5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O81" s="5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P81" s="57" t="str">
        <f>IF(('Mid1'!M80+'Mid2'!M80+'quiz 1'!M80+'Assignment or Proposal'!M80+'Final exam'!M80+'quiz 2'!M80+'Poster or Presentation'!M80+'practical exam or OSCE'!M80)&lt;&gt;0,'Mid1'!M80+'Mid2'!M80+'quiz 1'!M80+'Assignment or Proposal'!M80+'Final exam'!M80+'quiz 2'!M80+'Poster or Presentation'!M80+'practical exam or OSCE'!M80,"")</f>
        <v/>
      </c>
      <c r="Q81" s="136" t="str">
        <f t="shared" si="4"/>
        <v/>
      </c>
    </row>
    <row r="82" spans="1:17" ht="20.25" hidden="1" customHeight="1" x14ac:dyDescent="0.25">
      <c r="A82" s="24">
        <v>71</v>
      </c>
      <c r="B82" s="24" t="str">
        <f>IF(StList!B73&lt;&gt;"",StList!B73,"")</f>
        <v>Pharmaceutical sciences</v>
      </c>
      <c r="C82" s="24" t="str">
        <f>IF(StList!E73&lt;&gt;"",StList!E73,"")</f>
        <v/>
      </c>
      <c r="D82" s="24" t="str">
        <f>IF(StList!F73&lt;&gt;"",StList!F73,"")</f>
        <v/>
      </c>
      <c r="E82" s="57" t="str">
        <f>IF(('Mid1'!B81+'Mid2'!B81+'quiz 1'!B81+'Assignment or Proposal'!B81+'Final exam'!B81+'quiz 2'!B81+'Poster or Presentation'!B81+'practical exam or OSCE'!B81)&lt;&gt;0,'Mid1'!B81+'Mid2'!B81+'quiz 1'!B81+'Assignment or Proposal'!B81+'Final exam'!B81+'quiz 2'!B81+'Poster or Presentation'!B81+'practical exam or OSCE'!B81,"")</f>
        <v/>
      </c>
      <c r="F82" s="57" t="str">
        <f>IF(('Mid1'!C81+'Mid2'!C81+'quiz 1'!C81+'Assignment or Proposal'!C81+'Final exam'!C81+'quiz 2'!C81+'Poster or Presentation'!C81+'practical exam or OSCE'!C81)&lt;&gt;0,'Mid1'!C81+'Mid2'!C81+'quiz 1'!C81+'Assignment or Proposal'!C81+'Final exam'!C81+'quiz 2'!C81+'Poster or Presentation'!C81+'practical exam or OSCE'!C81,"")</f>
        <v/>
      </c>
      <c r="G82" s="57" t="str">
        <f>IF(('Mid1'!D81+'Mid2'!D81+'quiz 1'!D81+'Assignment or Proposal'!D81+'Final exam'!D81+'quiz 2'!D81+'Poster or Presentation'!D81+'practical exam or OSCE'!D81)&lt;&gt;0,'Mid1'!D81+'Mid2'!D81+'quiz 1'!D81+'Assignment or Proposal'!D81+'Final exam'!D81+'quiz 2'!D81+'Poster or Presentation'!D81+'practical exam or OSCE'!D81,"")</f>
        <v/>
      </c>
      <c r="H82" s="57" t="str">
        <f>IF(('Mid1'!E81+'Mid2'!E81+'quiz 1'!E81+'Assignment or Proposal'!E81+'Final exam'!E81+'quiz 2'!E81+'Poster or Presentation'!E81+'practical exam or OSCE'!E81)&lt;&gt;0,'Mid1'!E81+'Mid2'!E81+'quiz 1'!E81+'Assignment or Proposal'!E81+'Final exam'!E81+'quiz 2'!E81+'Poster or Presentation'!E81+'practical exam or OSCE'!E81,"")</f>
        <v/>
      </c>
      <c r="I82" s="57" t="str">
        <f>IF(('Mid1'!F81+'Mid2'!F81+'quiz 1'!F81+'Assignment or Proposal'!F81+'Final exam'!F81+'quiz 2'!F81+'Poster or Presentation'!F81+'practical exam or OSCE'!F81)&lt;&gt;0,'Mid1'!F81+'Mid2'!F81+'quiz 1'!F81+'Assignment or Proposal'!F81+'Final exam'!F81+'quiz 2'!F81+'Poster or Presentation'!F81+'practical exam or OSCE'!F81,"")</f>
        <v/>
      </c>
      <c r="J82" s="57" t="str">
        <f>IF(('Mid1'!G81+'Mid2'!G81+'quiz 1'!G81+'Assignment or Proposal'!G81+'Final exam'!G81+'quiz 2'!G81+'Poster or Presentation'!G81+'practical exam or OSCE'!G81)&lt;&gt;0,'Mid1'!G81+'Mid2'!G81+'quiz 1'!G81+'Assignment or Proposal'!G81+'Final exam'!G81+'quiz 2'!G81+'Poster or Presentation'!G81+'practical exam or OSCE'!G81,"")</f>
        <v/>
      </c>
      <c r="K82" s="57" t="str">
        <f>IF(('Mid1'!H81+'Mid2'!H81+'quiz 1'!H81+'Assignment or Proposal'!H81+'Final exam'!H81+'quiz 2'!H81+'Poster or Presentation'!H81+'practical exam or OSCE'!H81)&lt;&gt;0,'Mid1'!H81+'Mid2'!H81+'quiz 1'!H81+'Assignment or Proposal'!H81+'Final exam'!H81+'quiz 2'!H81+'Poster or Presentation'!H81+'practical exam or OSCE'!H81,"")</f>
        <v/>
      </c>
      <c r="L82" s="57" t="str">
        <f>IF(('Mid1'!I81+'Mid2'!I81+'quiz 1'!I81+'Assignment or Proposal'!I81+'Final exam'!I81+'quiz 2'!I81+'Poster or Presentation'!I81+'practical exam or OSCE'!I81)&lt;&gt;0,'Mid1'!I81+'Mid2'!I81+'quiz 1'!I81+'Assignment or Proposal'!I81+'Final exam'!I81+'quiz 2'!I81+'Poster or Presentation'!I81+'practical exam or OSCE'!I81,"")</f>
        <v/>
      </c>
      <c r="M82" s="57" t="str">
        <f>IF(('Mid1'!J81+'Mid2'!J81+'quiz 1'!J81+'Assignment or Proposal'!J81+'Final exam'!J81+'quiz 2'!J81+'Poster or Presentation'!J81+'practical exam or OSCE'!J81)&lt;&gt;0,'Mid1'!J81+'Mid2'!J81+'quiz 1'!J81+'Assignment or Proposal'!J81+'Final exam'!J81+'quiz 2'!J81+'Poster or Presentation'!J81+'practical exam or OSCE'!J81,"")</f>
        <v/>
      </c>
      <c r="N82" s="5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O82" s="5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P82" s="57" t="str">
        <f>IF(('Mid1'!M81+'Mid2'!M81+'quiz 1'!M81+'Assignment or Proposal'!M81+'Final exam'!M81+'quiz 2'!M81+'Poster or Presentation'!M81+'practical exam or OSCE'!M81)&lt;&gt;0,'Mid1'!M81+'Mid2'!M81+'quiz 1'!M81+'Assignment or Proposal'!M81+'Final exam'!M81+'quiz 2'!M81+'Poster or Presentation'!M81+'practical exam or OSCE'!M81,"")</f>
        <v/>
      </c>
      <c r="Q82" s="136" t="str">
        <f t="shared" si="4"/>
        <v/>
      </c>
    </row>
    <row r="83" spans="1:17" ht="20.25" hidden="1" customHeight="1" x14ac:dyDescent="0.25">
      <c r="A83" s="24">
        <v>72</v>
      </c>
      <c r="B83" s="24" t="str">
        <f>IF(StList!B74&lt;&gt;"",StList!B74,"")</f>
        <v>Pharmaceutical sciences</v>
      </c>
      <c r="C83" s="24" t="str">
        <f>IF(StList!E74&lt;&gt;"",StList!E74,"")</f>
        <v/>
      </c>
      <c r="D83" s="24" t="str">
        <f>IF(StList!F74&lt;&gt;"",StList!F74,"")</f>
        <v/>
      </c>
      <c r="E83" s="57" t="str">
        <f>IF(('Mid1'!B82+'Mid2'!B82+'quiz 1'!B82+'Assignment or Proposal'!B82+'Final exam'!B82+'quiz 2'!B82+'Poster or Presentation'!B82+'practical exam or OSCE'!B82)&lt;&gt;0,'Mid1'!B82+'Mid2'!B82+'quiz 1'!B82+'Assignment or Proposal'!B82+'Final exam'!B82+'quiz 2'!B82+'Poster or Presentation'!B82+'practical exam or OSCE'!B82,"")</f>
        <v/>
      </c>
      <c r="F83" s="57" t="str">
        <f>IF(('Mid1'!C82+'Mid2'!C82+'quiz 1'!C82+'Assignment or Proposal'!C82+'Final exam'!C82+'quiz 2'!C82+'Poster or Presentation'!C82+'practical exam or OSCE'!C82)&lt;&gt;0,'Mid1'!C82+'Mid2'!C82+'quiz 1'!C82+'Assignment or Proposal'!C82+'Final exam'!C82+'quiz 2'!C82+'Poster or Presentation'!C82+'practical exam or OSCE'!C82,"")</f>
        <v/>
      </c>
      <c r="G83" s="57" t="str">
        <f>IF(('Mid1'!D82+'Mid2'!D82+'quiz 1'!D82+'Assignment or Proposal'!D82+'Final exam'!D82+'quiz 2'!D82+'Poster or Presentation'!D82+'practical exam or OSCE'!D82)&lt;&gt;0,'Mid1'!D82+'Mid2'!D82+'quiz 1'!D82+'Assignment or Proposal'!D82+'Final exam'!D82+'quiz 2'!D82+'Poster or Presentation'!D82+'practical exam or OSCE'!D82,"")</f>
        <v/>
      </c>
      <c r="H83" s="57" t="str">
        <f>IF(('Mid1'!E82+'Mid2'!E82+'quiz 1'!E82+'Assignment or Proposal'!E82+'Final exam'!E82+'quiz 2'!E82+'Poster or Presentation'!E82+'practical exam or OSCE'!E82)&lt;&gt;0,'Mid1'!E82+'Mid2'!E82+'quiz 1'!E82+'Assignment or Proposal'!E82+'Final exam'!E82+'quiz 2'!E82+'Poster or Presentation'!E82+'practical exam or OSCE'!E82,"")</f>
        <v/>
      </c>
      <c r="I83" s="57" t="str">
        <f>IF(('Mid1'!F82+'Mid2'!F82+'quiz 1'!F82+'Assignment or Proposal'!F82+'Final exam'!F82+'quiz 2'!F82+'Poster or Presentation'!F82+'practical exam or OSCE'!F82)&lt;&gt;0,'Mid1'!F82+'Mid2'!F82+'quiz 1'!F82+'Assignment or Proposal'!F82+'Final exam'!F82+'quiz 2'!F82+'Poster or Presentation'!F82+'practical exam or OSCE'!F82,"")</f>
        <v/>
      </c>
      <c r="J83" s="57" t="str">
        <f>IF(('Mid1'!G82+'Mid2'!G82+'quiz 1'!G82+'Assignment or Proposal'!G82+'Final exam'!G82+'quiz 2'!G82+'Poster or Presentation'!G82+'practical exam or OSCE'!G82)&lt;&gt;0,'Mid1'!G82+'Mid2'!G82+'quiz 1'!G82+'Assignment or Proposal'!G82+'Final exam'!G82+'quiz 2'!G82+'Poster or Presentation'!G82+'practical exam or OSCE'!G82,"")</f>
        <v/>
      </c>
      <c r="K83" s="57" t="str">
        <f>IF(('Mid1'!H82+'Mid2'!H82+'quiz 1'!H82+'Assignment or Proposal'!H82+'Final exam'!H82+'quiz 2'!H82+'Poster or Presentation'!H82+'practical exam or OSCE'!H82)&lt;&gt;0,'Mid1'!H82+'Mid2'!H82+'quiz 1'!H82+'Assignment or Proposal'!H82+'Final exam'!H82+'quiz 2'!H82+'Poster or Presentation'!H82+'practical exam or OSCE'!H82,"")</f>
        <v/>
      </c>
      <c r="L83" s="57" t="str">
        <f>IF(('Mid1'!I82+'Mid2'!I82+'quiz 1'!I82+'Assignment or Proposal'!I82+'Final exam'!I82+'quiz 2'!I82+'Poster or Presentation'!I82+'practical exam or OSCE'!I82)&lt;&gt;0,'Mid1'!I82+'Mid2'!I82+'quiz 1'!I82+'Assignment or Proposal'!I82+'Final exam'!I82+'quiz 2'!I82+'Poster or Presentation'!I82+'practical exam or OSCE'!I82,"")</f>
        <v/>
      </c>
      <c r="M83" s="57" t="str">
        <f>IF(('Mid1'!J82+'Mid2'!J82+'quiz 1'!J82+'Assignment or Proposal'!J82+'Final exam'!J82+'quiz 2'!J82+'Poster or Presentation'!J82+'practical exam or OSCE'!J82)&lt;&gt;0,'Mid1'!J82+'Mid2'!J82+'quiz 1'!J82+'Assignment or Proposal'!J82+'Final exam'!J82+'quiz 2'!J82+'Poster or Presentation'!J82+'practical exam or OSCE'!J82,"")</f>
        <v/>
      </c>
      <c r="N83" s="5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O83" s="5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P83" s="57" t="str">
        <f>IF(('Mid1'!M82+'Mid2'!M82+'quiz 1'!M82+'Assignment or Proposal'!M82+'Final exam'!M82+'quiz 2'!M82+'Poster or Presentation'!M82+'practical exam or OSCE'!M82)&lt;&gt;0,'Mid1'!M82+'Mid2'!M82+'quiz 1'!M82+'Assignment or Proposal'!M82+'Final exam'!M82+'quiz 2'!M82+'Poster or Presentation'!M82+'practical exam or OSCE'!M82,"")</f>
        <v/>
      </c>
      <c r="Q83" s="136" t="str">
        <f t="shared" si="4"/>
        <v/>
      </c>
    </row>
    <row r="84" spans="1:17" ht="20.25" hidden="1" customHeight="1" x14ac:dyDescent="0.25">
      <c r="A84" s="24">
        <v>73</v>
      </c>
      <c r="B84" s="24" t="str">
        <f>IF(StList!B75&lt;&gt;"",StList!B75,"")</f>
        <v>Pharmaceutical sciences</v>
      </c>
      <c r="C84" s="24" t="str">
        <f>IF(StList!E75&lt;&gt;"",StList!E75,"")</f>
        <v/>
      </c>
      <c r="D84" s="24" t="str">
        <f>IF(StList!F75&lt;&gt;"",StList!F75,"")</f>
        <v/>
      </c>
      <c r="E84" s="57" t="str">
        <f>IF(('Mid1'!B83+'Mid2'!B83+'quiz 1'!B83+'Assignment or Proposal'!B83+'Final exam'!B83+'quiz 2'!B83+'Poster or Presentation'!B83+'practical exam or OSCE'!B83)&lt;&gt;0,'Mid1'!B83+'Mid2'!B83+'quiz 1'!B83+'Assignment or Proposal'!B83+'Final exam'!B83+'quiz 2'!B83+'Poster or Presentation'!B83+'practical exam or OSCE'!B83,"")</f>
        <v/>
      </c>
      <c r="F84" s="57" t="str">
        <f>IF(('Mid1'!C83+'Mid2'!C83+'quiz 1'!C83+'Assignment or Proposal'!C83+'Final exam'!C83+'quiz 2'!C83+'Poster or Presentation'!C83+'practical exam or OSCE'!C83)&lt;&gt;0,'Mid1'!C83+'Mid2'!C83+'quiz 1'!C83+'Assignment or Proposal'!C83+'Final exam'!C83+'quiz 2'!C83+'Poster or Presentation'!C83+'practical exam or OSCE'!C83,"")</f>
        <v/>
      </c>
      <c r="G84" s="57" t="str">
        <f>IF(('Mid1'!D83+'Mid2'!D83+'quiz 1'!D83+'Assignment or Proposal'!D83+'Final exam'!D83+'quiz 2'!D83+'Poster or Presentation'!D83+'practical exam or OSCE'!D83)&lt;&gt;0,'Mid1'!D83+'Mid2'!D83+'quiz 1'!D83+'Assignment or Proposal'!D83+'Final exam'!D83+'quiz 2'!D83+'Poster or Presentation'!D83+'practical exam or OSCE'!D83,"")</f>
        <v/>
      </c>
      <c r="H84" s="57" t="str">
        <f>IF(('Mid1'!E83+'Mid2'!E83+'quiz 1'!E83+'Assignment or Proposal'!E83+'Final exam'!E83+'quiz 2'!E83+'Poster or Presentation'!E83+'practical exam or OSCE'!E83)&lt;&gt;0,'Mid1'!E83+'Mid2'!E83+'quiz 1'!E83+'Assignment or Proposal'!E83+'Final exam'!E83+'quiz 2'!E83+'Poster or Presentation'!E83+'practical exam or OSCE'!E83,"")</f>
        <v/>
      </c>
      <c r="I84" s="57" t="str">
        <f>IF(('Mid1'!F83+'Mid2'!F83+'quiz 1'!F83+'Assignment or Proposal'!F83+'Final exam'!F83+'quiz 2'!F83+'Poster or Presentation'!F83+'practical exam or OSCE'!F83)&lt;&gt;0,'Mid1'!F83+'Mid2'!F83+'quiz 1'!F83+'Assignment or Proposal'!F83+'Final exam'!F83+'quiz 2'!F83+'Poster or Presentation'!F83+'practical exam or OSCE'!F83,"")</f>
        <v/>
      </c>
      <c r="J84" s="57" t="str">
        <f>IF(('Mid1'!G83+'Mid2'!G83+'quiz 1'!G83+'Assignment or Proposal'!G83+'Final exam'!G83+'quiz 2'!G83+'Poster or Presentation'!G83+'practical exam or OSCE'!G83)&lt;&gt;0,'Mid1'!G83+'Mid2'!G83+'quiz 1'!G83+'Assignment or Proposal'!G83+'Final exam'!G83+'quiz 2'!G83+'Poster or Presentation'!G83+'practical exam or OSCE'!G83,"")</f>
        <v/>
      </c>
      <c r="K84" s="57" t="str">
        <f>IF(('Mid1'!H83+'Mid2'!H83+'quiz 1'!H83+'Assignment or Proposal'!H83+'Final exam'!H83+'quiz 2'!H83+'Poster or Presentation'!H83+'practical exam or OSCE'!H83)&lt;&gt;0,'Mid1'!H83+'Mid2'!H83+'quiz 1'!H83+'Assignment or Proposal'!H83+'Final exam'!H83+'quiz 2'!H83+'Poster or Presentation'!H83+'practical exam or OSCE'!H83,"")</f>
        <v/>
      </c>
      <c r="L84" s="57" t="str">
        <f>IF(('Mid1'!I83+'Mid2'!I83+'quiz 1'!I83+'Assignment or Proposal'!I83+'Final exam'!I83+'quiz 2'!I83+'Poster or Presentation'!I83+'practical exam or OSCE'!I83)&lt;&gt;0,'Mid1'!I83+'Mid2'!I83+'quiz 1'!I83+'Assignment or Proposal'!I83+'Final exam'!I83+'quiz 2'!I83+'Poster or Presentation'!I83+'practical exam or OSCE'!I83,"")</f>
        <v/>
      </c>
      <c r="M84" s="57" t="str">
        <f>IF(('Mid1'!J83+'Mid2'!J83+'quiz 1'!J83+'Assignment or Proposal'!J83+'Final exam'!J83+'quiz 2'!J83+'Poster or Presentation'!J83+'practical exam or OSCE'!J83)&lt;&gt;0,'Mid1'!J83+'Mid2'!J83+'quiz 1'!J83+'Assignment or Proposal'!J83+'Final exam'!J83+'quiz 2'!J83+'Poster or Presentation'!J83+'practical exam or OSCE'!J83,"")</f>
        <v/>
      </c>
      <c r="N84" s="5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O84" s="5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P84" s="57" t="str">
        <f>IF(('Mid1'!M83+'Mid2'!M83+'quiz 1'!M83+'Assignment or Proposal'!M83+'Final exam'!M83+'quiz 2'!M83+'Poster or Presentation'!M83+'practical exam or OSCE'!M83)&lt;&gt;0,'Mid1'!M83+'Mid2'!M83+'quiz 1'!M83+'Assignment or Proposal'!M83+'Final exam'!M83+'quiz 2'!M83+'Poster or Presentation'!M83+'practical exam or OSCE'!M83,"")</f>
        <v/>
      </c>
      <c r="Q84" s="136" t="str">
        <f t="shared" si="4"/>
        <v/>
      </c>
    </row>
    <row r="85" spans="1:17" ht="20.25" hidden="1" customHeight="1" x14ac:dyDescent="0.25">
      <c r="A85" s="24">
        <v>74</v>
      </c>
      <c r="B85" s="24" t="str">
        <f>IF(StList!B76&lt;&gt;"",StList!B76,"")</f>
        <v>Pharmaceutical sciences</v>
      </c>
      <c r="C85" s="24" t="str">
        <f>IF(StList!E76&lt;&gt;"",StList!E76,"")</f>
        <v/>
      </c>
      <c r="D85" s="24" t="str">
        <f>IF(StList!F76&lt;&gt;"",StList!F76,"")</f>
        <v/>
      </c>
      <c r="E85" s="57" t="str">
        <f>IF(('Mid1'!B84+'Mid2'!B84+'quiz 1'!B84+'Assignment or Proposal'!B84+'Final exam'!B84+'quiz 2'!B84+'Poster or Presentation'!B84+'practical exam or OSCE'!B84)&lt;&gt;0,'Mid1'!B84+'Mid2'!B84+'quiz 1'!B84+'Assignment or Proposal'!B84+'Final exam'!B84+'quiz 2'!B84+'Poster or Presentation'!B84+'practical exam or OSCE'!B84,"")</f>
        <v/>
      </c>
      <c r="F85" s="57" t="str">
        <f>IF(('Mid1'!C84+'Mid2'!C84+'quiz 1'!C84+'Assignment or Proposal'!C84+'Final exam'!C84+'quiz 2'!C84+'Poster or Presentation'!C84+'practical exam or OSCE'!C84)&lt;&gt;0,'Mid1'!C84+'Mid2'!C84+'quiz 1'!C84+'Assignment or Proposal'!C84+'Final exam'!C84+'quiz 2'!C84+'Poster or Presentation'!C84+'practical exam or OSCE'!C84,"")</f>
        <v/>
      </c>
      <c r="G85" s="57" t="str">
        <f>IF(('Mid1'!D84+'Mid2'!D84+'quiz 1'!D84+'Assignment or Proposal'!D84+'Final exam'!D84+'quiz 2'!D84+'Poster or Presentation'!D84+'practical exam or OSCE'!D84)&lt;&gt;0,'Mid1'!D84+'Mid2'!D84+'quiz 1'!D84+'Assignment or Proposal'!D84+'Final exam'!D84+'quiz 2'!D84+'Poster or Presentation'!D84+'practical exam or OSCE'!D84,"")</f>
        <v/>
      </c>
      <c r="H85" s="57" t="str">
        <f>IF(('Mid1'!E84+'Mid2'!E84+'quiz 1'!E84+'Assignment or Proposal'!E84+'Final exam'!E84+'quiz 2'!E84+'Poster or Presentation'!E84+'practical exam or OSCE'!E84)&lt;&gt;0,'Mid1'!E84+'Mid2'!E84+'quiz 1'!E84+'Assignment or Proposal'!E84+'Final exam'!E84+'quiz 2'!E84+'Poster or Presentation'!E84+'practical exam or OSCE'!E84,"")</f>
        <v/>
      </c>
      <c r="I85" s="57" t="str">
        <f>IF(('Mid1'!F84+'Mid2'!F84+'quiz 1'!F84+'Assignment or Proposal'!F84+'Final exam'!F84+'quiz 2'!F84+'Poster or Presentation'!F84+'practical exam or OSCE'!F84)&lt;&gt;0,'Mid1'!F84+'Mid2'!F84+'quiz 1'!F84+'Assignment or Proposal'!F84+'Final exam'!F84+'quiz 2'!F84+'Poster or Presentation'!F84+'practical exam or OSCE'!F84,"")</f>
        <v/>
      </c>
      <c r="J85" s="57" t="str">
        <f>IF(('Mid1'!G84+'Mid2'!G84+'quiz 1'!G84+'Assignment or Proposal'!G84+'Final exam'!G84+'quiz 2'!G84+'Poster or Presentation'!G84+'practical exam or OSCE'!G84)&lt;&gt;0,'Mid1'!G84+'Mid2'!G84+'quiz 1'!G84+'Assignment or Proposal'!G84+'Final exam'!G84+'quiz 2'!G84+'Poster or Presentation'!G84+'practical exam or OSCE'!G84,"")</f>
        <v/>
      </c>
      <c r="K85" s="57" t="str">
        <f>IF(('Mid1'!H84+'Mid2'!H84+'quiz 1'!H84+'Assignment or Proposal'!H84+'Final exam'!H84+'quiz 2'!H84+'Poster or Presentation'!H84+'practical exam or OSCE'!H84)&lt;&gt;0,'Mid1'!H84+'Mid2'!H84+'quiz 1'!H84+'Assignment or Proposal'!H84+'Final exam'!H84+'quiz 2'!H84+'Poster or Presentation'!H84+'practical exam or OSCE'!H84,"")</f>
        <v/>
      </c>
      <c r="L85" s="57" t="str">
        <f>IF(('Mid1'!I84+'Mid2'!I84+'quiz 1'!I84+'Assignment or Proposal'!I84+'Final exam'!I84+'quiz 2'!I84+'Poster or Presentation'!I84+'practical exam or OSCE'!I84)&lt;&gt;0,'Mid1'!I84+'Mid2'!I84+'quiz 1'!I84+'Assignment or Proposal'!I84+'Final exam'!I84+'quiz 2'!I84+'Poster or Presentation'!I84+'practical exam or OSCE'!I84,"")</f>
        <v/>
      </c>
      <c r="M85" s="57" t="str">
        <f>IF(('Mid1'!J84+'Mid2'!J84+'quiz 1'!J84+'Assignment or Proposal'!J84+'Final exam'!J84+'quiz 2'!J84+'Poster or Presentation'!J84+'practical exam or OSCE'!J84)&lt;&gt;0,'Mid1'!J84+'Mid2'!J84+'quiz 1'!J84+'Assignment or Proposal'!J84+'Final exam'!J84+'quiz 2'!J84+'Poster or Presentation'!J84+'practical exam or OSCE'!J84,"")</f>
        <v/>
      </c>
      <c r="N85" s="5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O85" s="5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P85" s="57" t="str">
        <f>IF(('Mid1'!M84+'Mid2'!M84+'quiz 1'!M84+'Assignment or Proposal'!M84+'Final exam'!M84+'quiz 2'!M84+'Poster or Presentation'!M84+'practical exam or OSCE'!M84)&lt;&gt;0,'Mid1'!M84+'Mid2'!M84+'quiz 1'!M84+'Assignment or Proposal'!M84+'Final exam'!M84+'quiz 2'!M84+'Poster or Presentation'!M84+'practical exam or OSCE'!M84,"")</f>
        <v/>
      </c>
      <c r="Q85" s="136" t="str">
        <f t="shared" ref="Q85:Q121" si="5">IF(SUM(E85:P85)&lt;&gt;0,SUM(E85:P85),"")</f>
        <v/>
      </c>
    </row>
    <row r="86" spans="1:17" ht="20.25" hidden="1" customHeight="1" x14ac:dyDescent="0.25">
      <c r="A86" s="24">
        <v>75</v>
      </c>
      <c r="B86" s="24" t="str">
        <f>IF(StList!B77&lt;&gt;"",StList!B77,"")</f>
        <v>Pharmaceutical sciences</v>
      </c>
      <c r="C86" s="24" t="str">
        <f>IF(StList!E77&lt;&gt;"",StList!E77,"")</f>
        <v/>
      </c>
      <c r="D86" s="24" t="str">
        <f>IF(StList!F77&lt;&gt;"",StList!F77,"")</f>
        <v/>
      </c>
      <c r="E86" s="57" t="str">
        <f>IF(('Mid1'!B85+'Mid2'!B85+'quiz 1'!B85+'Assignment or Proposal'!B85+'Final exam'!B85+'quiz 2'!B85+'Poster or Presentation'!B85+'practical exam or OSCE'!B85)&lt;&gt;0,'Mid1'!B85+'Mid2'!B85+'quiz 1'!B85+'Assignment or Proposal'!B85+'Final exam'!B85+'quiz 2'!B85+'Poster or Presentation'!B85+'practical exam or OSCE'!B85,"")</f>
        <v/>
      </c>
      <c r="F86" s="57" t="str">
        <f>IF(('Mid1'!C85+'Mid2'!C85+'quiz 1'!C85+'Assignment or Proposal'!C85+'Final exam'!C85+'quiz 2'!C85+'Poster or Presentation'!C85+'practical exam or OSCE'!C85)&lt;&gt;0,'Mid1'!C85+'Mid2'!C85+'quiz 1'!C85+'Assignment or Proposal'!C85+'Final exam'!C85+'quiz 2'!C85+'Poster or Presentation'!C85+'practical exam or OSCE'!C85,"")</f>
        <v/>
      </c>
      <c r="G86" s="57" t="str">
        <f>IF(('Mid1'!D85+'Mid2'!D85+'quiz 1'!D85+'Assignment or Proposal'!D85+'Final exam'!D85+'quiz 2'!D85+'Poster or Presentation'!D85+'practical exam or OSCE'!D85)&lt;&gt;0,'Mid1'!D85+'Mid2'!D85+'quiz 1'!D85+'Assignment or Proposal'!D85+'Final exam'!D85+'quiz 2'!D85+'Poster or Presentation'!D85+'practical exam or OSCE'!D85,"")</f>
        <v/>
      </c>
      <c r="H86" s="57" t="str">
        <f>IF(('Mid1'!E85+'Mid2'!E85+'quiz 1'!E85+'Assignment or Proposal'!E85+'Final exam'!E85+'quiz 2'!E85+'Poster or Presentation'!E85+'practical exam or OSCE'!E85)&lt;&gt;0,'Mid1'!E85+'Mid2'!E85+'quiz 1'!E85+'Assignment or Proposal'!E85+'Final exam'!E85+'quiz 2'!E85+'Poster or Presentation'!E85+'practical exam or OSCE'!E85,"")</f>
        <v/>
      </c>
      <c r="I86" s="57" t="str">
        <f>IF(('Mid1'!F85+'Mid2'!F85+'quiz 1'!F85+'Assignment or Proposal'!F85+'Final exam'!F85+'quiz 2'!F85+'Poster or Presentation'!F85+'practical exam or OSCE'!F85)&lt;&gt;0,'Mid1'!F85+'Mid2'!F85+'quiz 1'!F85+'Assignment or Proposal'!F85+'Final exam'!F85+'quiz 2'!F85+'Poster or Presentation'!F85+'practical exam or OSCE'!F85,"")</f>
        <v/>
      </c>
      <c r="J86" s="57" t="str">
        <f>IF(('Mid1'!G85+'Mid2'!G85+'quiz 1'!G85+'Assignment or Proposal'!G85+'Final exam'!G85+'quiz 2'!G85+'Poster or Presentation'!G85+'practical exam or OSCE'!G85)&lt;&gt;0,'Mid1'!G85+'Mid2'!G85+'quiz 1'!G85+'Assignment or Proposal'!G85+'Final exam'!G85+'quiz 2'!G85+'Poster or Presentation'!G85+'practical exam or OSCE'!G85,"")</f>
        <v/>
      </c>
      <c r="K86" s="57" t="str">
        <f>IF(('Mid1'!H85+'Mid2'!H85+'quiz 1'!H85+'Assignment or Proposal'!H85+'Final exam'!H85+'quiz 2'!H85+'Poster or Presentation'!H85+'practical exam or OSCE'!H85)&lt;&gt;0,'Mid1'!H85+'Mid2'!H85+'quiz 1'!H85+'Assignment or Proposal'!H85+'Final exam'!H85+'quiz 2'!H85+'Poster or Presentation'!H85+'practical exam or OSCE'!H85,"")</f>
        <v/>
      </c>
      <c r="L86" s="57" t="str">
        <f>IF(('Mid1'!I85+'Mid2'!I85+'quiz 1'!I85+'Assignment or Proposal'!I85+'Final exam'!I85+'quiz 2'!I85+'Poster or Presentation'!I85+'practical exam or OSCE'!I85)&lt;&gt;0,'Mid1'!I85+'Mid2'!I85+'quiz 1'!I85+'Assignment or Proposal'!I85+'Final exam'!I85+'quiz 2'!I85+'Poster or Presentation'!I85+'practical exam or OSCE'!I85,"")</f>
        <v/>
      </c>
      <c r="M86" s="57" t="str">
        <f>IF(('Mid1'!J85+'Mid2'!J85+'quiz 1'!J85+'Assignment or Proposal'!J85+'Final exam'!J85+'quiz 2'!J85+'Poster or Presentation'!J85+'practical exam or OSCE'!J85)&lt;&gt;0,'Mid1'!J85+'Mid2'!J85+'quiz 1'!J85+'Assignment or Proposal'!J85+'Final exam'!J85+'quiz 2'!J85+'Poster or Presentation'!J85+'practical exam or OSCE'!J85,"")</f>
        <v/>
      </c>
      <c r="N86" s="5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O86" s="5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P86" s="57" t="str">
        <f>IF(('Mid1'!M85+'Mid2'!M85+'quiz 1'!M85+'Assignment or Proposal'!M85+'Final exam'!M85+'quiz 2'!M85+'Poster or Presentation'!M85+'practical exam or OSCE'!M85)&lt;&gt;0,'Mid1'!M85+'Mid2'!M85+'quiz 1'!M85+'Assignment or Proposal'!M85+'Final exam'!M85+'quiz 2'!M85+'Poster or Presentation'!M85+'practical exam or OSCE'!M85,"")</f>
        <v/>
      </c>
      <c r="Q86" s="136" t="str">
        <f t="shared" si="5"/>
        <v/>
      </c>
    </row>
    <row r="87" spans="1:17" ht="20.25" hidden="1" customHeight="1" x14ac:dyDescent="0.25">
      <c r="A87" s="24">
        <v>76</v>
      </c>
      <c r="B87" s="24" t="str">
        <f>IF(StList!B78&lt;&gt;"",StList!B78,"")</f>
        <v>Pharmaceutical sciences</v>
      </c>
      <c r="C87" s="24" t="str">
        <f>IF(StList!E78&lt;&gt;"",StList!E78,"")</f>
        <v/>
      </c>
      <c r="D87" s="24" t="str">
        <f>IF(StList!F78&lt;&gt;"",StList!F78,"")</f>
        <v/>
      </c>
      <c r="E87" s="57" t="str">
        <f>IF(('Mid1'!B86+'Mid2'!B86+'quiz 1'!B86+'Assignment or Proposal'!B86+'Final exam'!B86+'quiz 2'!B86+'Poster or Presentation'!B86+'practical exam or OSCE'!B86)&lt;&gt;0,'Mid1'!B86+'Mid2'!B86+'quiz 1'!B86+'Assignment or Proposal'!B86+'Final exam'!B86+'quiz 2'!B86+'Poster or Presentation'!B86+'practical exam or OSCE'!B86,"")</f>
        <v/>
      </c>
      <c r="F87" s="57" t="str">
        <f>IF(('Mid1'!C86+'Mid2'!C86+'quiz 1'!C86+'Assignment or Proposal'!C86+'Final exam'!C86+'quiz 2'!C86+'Poster or Presentation'!C86+'practical exam or OSCE'!C86)&lt;&gt;0,'Mid1'!C86+'Mid2'!C86+'quiz 1'!C86+'Assignment or Proposal'!C86+'Final exam'!C86+'quiz 2'!C86+'Poster or Presentation'!C86+'practical exam or OSCE'!C86,"")</f>
        <v/>
      </c>
      <c r="G87" s="57" t="str">
        <f>IF(('Mid1'!D86+'Mid2'!D86+'quiz 1'!D86+'Assignment or Proposal'!D86+'Final exam'!D86+'quiz 2'!D86+'Poster or Presentation'!D86+'practical exam or OSCE'!D86)&lt;&gt;0,'Mid1'!D86+'Mid2'!D86+'quiz 1'!D86+'Assignment or Proposal'!D86+'Final exam'!D86+'quiz 2'!D86+'Poster or Presentation'!D86+'practical exam or OSCE'!D86,"")</f>
        <v/>
      </c>
      <c r="H87" s="57" t="str">
        <f>IF(('Mid1'!E86+'Mid2'!E86+'quiz 1'!E86+'Assignment or Proposal'!E86+'Final exam'!E86+'quiz 2'!E86+'Poster or Presentation'!E86+'practical exam or OSCE'!E86)&lt;&gt;0,'Mid1'!E86+'Mid2'!E86+'quiz 1'!E86+'Assignment or Proposal'!E86+'Final exam'!E86+'quiz 2'!E86+'Poster or Presentation'!E86+'practical exam or OSCE'!E86,"")</f>
        <v/>
      </c>
      <c r="I87" s="57" t="str">
        <f>IF(('Mid1'!F86+'Mid2'!F86+'quiz 1'!F86+'Assignment or Proposal'!F86+'Final exam'!F86+'quiz 2'!F86+'Poster or Presentation'!F86+'practical exam or OSCE'!F86)&lt;&gt;0,'Mid1'!F86+'Mid2'!F86+'quiz 1'!F86+'Assignment or Proposal'!F86+'Final exam'!F86+'quiz 2'!F86+'Poster or Presentation'!F86+'practical exam or OSCE'!F86,"")</f>
        <v/>
      </c>
      <c r="J87" s="57" t="str">
        <f>IF(('Mid1'!G86+'Mid2'!G86+'quiz 1'!G86+'Assignment or Proposal'!G86+'Final exam'!G86+'quiz 2'!G86+'Poster or Presentation'!G86+'practical exam or OSCE'!G86)&lt;&gt;0,'Mid1'!G86+'Mid2'!G86+'quiz 1'!G86+'Assignment or Proposal'!G86+'Final exam'!G86+'quiz 2'!G86+'Poster or Presentation'!G86+'practical exam or OSCE'!G86,"")</f>
        <v/>
      </c>
      <c r="K87" s="57" t="str">
        <f>IF(('Mid1'!H86+'Mid2'!H86+'quiz 1'!H86+'Assignment or Proposal'!H86+'Final exam'!H86+'quiz 2'!H86+'Poster or Presentation'!H86+'practical exam or OSCE'!H86)&lt;&gt;0,'Mid1'!H86+'Mid2'!H86+'quiz 1'!H86+'Assignment or Proposal'!H86+'Final exam'!H86+'quiz 2'!H86+'Poster or Presentation'!H86+'practical exam or OSCE'!H86,"")</f>
        <v/>
      </c>
      <c r="L87" s="57" t="str">
        <f>IF(('Mid1'!I86+'Mid2'!I86+'quiz 1'!I86+'Assignment or Proposal'!I86+'Final exam'!I86+'quiz 2'!I86+'Poster or Presentation'!I86+'practical exam or OSCE'!I86)&lt;&gt;0,'Mid1'!I86+'Mid2'!I86+'quiz 1'!I86+'Assignment or Proposal'!I86+'Final exam'!I86+'quiz 2'!I86+'Poster or Presentation'!I86+'practical exam or OSCE'!I86,"")</f>
        <v/>
      </c>
      <c r="M87" s="57" t="str">
        <f>IF(('Mid1'!J86+'Mid2'!J86+'quiz 1'!J86+'Assignment or Proposal'!J86+'Final exam'!J86+'quiz 2'!J86+'Poster or Presentation'!J86+'practical exam or OSCE'!J86)&lt;&gt;0,'Mid1'!J86+'Mid2'!J86+'quiz 1'!J86+'Assignment or Proposal'!J86+'Final exam'!J86+'quiz 2'!J86+'Poster or Presentation'!J86+'practical exam or OSCE'!J86,"")</f>
        <v/>
      </c>
      <c r="N87" s="5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O87" s="5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P87" s="57" t="str">
        <f>IF(('Mid1'!M86+'Mid2'!M86+'quiz 1'!M86+'Assignment or Proposal'!M86+'Final exam'!M86+'quiz 2'!M86+'Poster or Presentation'!M86+'practical exam or OSCE'!M86)&lt;&gt;0,'Mid1'!M86+'Mid2'!M86+'quiz 1'!M86+'Assignment or Proposal'!M86+'Final exam'!M86+'quiz 2'!M86+'Poster or Presentation'!M86+'practical exam or OSCE'!M86,"")</f>
        <v/>
      </c>
      <c r="Q87" s="136" t="str">
        <f t="shared" si="5"/>
        <v/>
      </c>
    </row>
    <row r="88" spans="1:17" ht="20.25" hidden="1" customHeight="1" x14ac:dyDescent="0.25">
      <c r="A88" s="24">
        <v>77</v>
      </c>
      <c r="B88" s="24" t="str">
        <f>IF(StList!B79&lt;&gt;"",StList!B79,"")</f>
        <v>Pharmaceutical sciences</v>
      </c>
      <c r="C88" s="24" t="str">
        <f>IF(StList!E79&lt;&gt;"",StList!E79,"")</f>
        <v/>
      </c>
      <c r="D88" s="24" t="str">
        <f>IF(StList!F79&lt;&gt;"",StList!F79,"")</f>
        <v/>
      </c>
      <c r="E88" s="57" t="str">
        <f>IF(('Mid1'!B87+'Mid2'!B87+'quiz 1'!B87+'Assignment or Proposal'!B87+'Final exam'!B87+'quiz 2'!B87+'Poster or Presentation'!B87+'practical exam or OSCE'!B87)&lt;&gt;0,'Mid1'!B87+'Mid2'!B87+'quiz 1'!B87+'Assignment or Proposal'!B87+'Final exam'!B87+'quiz 2'!B87+'Poster or Presentation'!B87+'practical exam or OSCE'!B87,"")</f>
        <v/>
      </c>
      <c r="F88" s="57" t="str">
        <f>IF(('Mid1'!C87+'Mid2'!C87+'quiz 1'!C87+'Assignment or Proposal'!C87+'Final exam'!C87+'quiz 2'!C87+'Poster or Presentation'!C87+'practical exam or OSCE'!C87)&lt;&gt;0,'Mid1'!C87+'Mid2'!C87+'quiz 1'!C87+'Assignment or Proposal'!C87+'Final exam'!C87+'quiz 2'!C87+'Poster or Presentation'!C87+'practical exam or OSCE'!C87,"")</f>
        <v/>
      </c>
      <c r="G88" s="57" t="str">
        <f>IF(('Mid1'!D87+'Mid2'!D87+'quiz 1'!D87+'Assignment or Proposal'!D87+'Final exam'!D87+'quiz 2'!D87+'Poster or Presentation'!D87+'practical exam or OSCE'!D87)&lt;&gt;0,'Mid1'!D87+'Mid2'!D87+'quiz 1'!D87+'Assignment or Proposal'!D87+'Final exam'!D87+'quiz 2'!D87+'Poster or Presentation'!D87+'practical exam or OSCE'!D87,"")</f>
        <v/>
      </c>
      <c r="H88" s="57" t="str">
        <f>IF(('Mid1'!E87+'Mid2'!E87+'quiz 1'!E87+'Assignment or Proposal'!E87+'Final exam'!E87+'quiz 2'!E87+'Poster or Presentation'!E87+'practical exam or OSCE'!E87)&lt;&gt;0,'Mid1'!E87+'Mid2'!E87+'quiz 1'!E87+'Assignment or Proposal'!E87+'Final exam'!E87+'quiz 2'!E87+'Poster or Presentation'!E87+'practical exam or OSCE'!E87,"")</f>
        <v/>
      </c>
      <c r="I88" s="57" t="str">
        <f>IF(('Mid1'!F87+'Mid2'!F87+'quiz 1'!F87+'Assignment or Proposal'!F87+'Final exam'!F87+'quiz 2'!F87+'Poster or Presentation'!F87+'practical exam or OSCE'!F87)&lt;&gt;0,'Mid1'!F87+'Mid2'!F87+'quiz 1'!F87+'Assignment or Proposal'!F87+'Final exam'!F87+'quiz 2'!F87+'Poster or Presentation'!F87+'practical exam or OSCE'!F87,"")</f>
        <v/>
      </c>
      <c r="J88" s="57" t="str">
        <f>IF(('Mid1'!G87+'Mid2'!G87+'quiz 1'!G87+'Assignment or Proposal'!G87+'Final exam'!G87+'quiz 2'!G87+'Poster or Presentation'!G87+'practical exam or OSCE'!G87)&lt;&gt;0,'Mid1'!G87+'Mid2'!G87+'quiz 1'!G87+'Assignment or Proposal'!G87+'Final exam'!G87+'quiz 2'!G87+'Poster or Presentation'!G87+'practical exam or OSCE'!G87,"")</f>
        <v/>
      </c>
      <c r="K88" s="57" t="str">
        <f>IF(('Mid1'!H87+'Mid2'!H87+'quiz 1'!H87+'Assignment or Proposal'!H87+'Final exam'!H87+'quiz 2'!H87+'Poster or Presentation'!H87+'practical exam or OSCE'!H87)&lt;&gt;0,'Mid1'!H87+'Mid2'!H87+'quiz 1'!H87+'Assignment or Proposal'!H87+'Final exam'!H87+'quiz 2'!H87+'Poster or Presentation'!H87+'practical exam or OSCE'!H87,"")</f>
        <v/>
      </c>
      <c r="L88" s="57" t="str">
        <f>IF(('Mid1'!I87+'Mid2'!I87+'quiz 1'!I87+'Assignment or Proposal'!I87+'Final exam'!I87+'quiz 2'!I87+'Poster or Presentation'!I87+'practical exam or OSCE'!I87)&lt;&gt;0,'Mid1'!I87+'Mid2'!I87+'quiz 1'!I87+'Assignment or Proposal'!I87+'Final exam'!I87+'quiz 2'!I87+'Poster or Presentation'!I87+'practical exam or OSCE'!I87,"")</f>
        <v/>
      </c>
      <c r="M88" s="57" t="str">
        <f>IF(('Mid1'!J87+'Mid2'!J87+'quiz 1'!J87+'Assignment or Proposal'!J87+'Final exam'!J87+'quiz 2'!J87+'Poster or Presentation'!J87+'practical exam or OSCE'!J87)&lt;&gt;0,'Mid1'!J87+'Mid2'!J87+'quiz 1'!J87+'Assignment or Proposal'!J87+'Final exam'!J87+'quiz 2'!J87+'Poster or Presentation'!J87+'practical exam or OSCE'!J87,"")</f>
        <v/>
      </c>
      <c r="N88" s="5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O88" s="5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P88" s="57" t="str">
        <f>IF(('Mid1'!M87+'Mid2'!M87+'quiz 1'!M87+'Assignment or Proposal'!M87+'Final exam'!M87+'quiz 2'!M87+'Poster or Presentation'!M87+'practical exam or OSCE'!M87)&lt;&gt;0,'Mid1'!M87+'Mid2'!M87+'quiz 1'!M87+'Assignment or Proposal'!M87+'Final exam'!M87+'quiz 2'!M87+'Poster or Presentation'!M87+'practical exam or OSCE'!M87,"")</f>
        <v/>
      </c>
      <c r="Q88" s="136" t="str">
        <f t="shared" si="5"/>
        <v/>
      </c>
    </row>
    <row r="89" spans="1:17" ht="20.25" hidden="1" customHeight="1" x14ac:dyDescent="0.25">
      <c r="A89" s="24">
        <v>78</v>
      </c>
      <c r="B89" s="24" t="str">
        <f>IF(StList!B80&lt;&gt;"",StList!B80,"")</f>
        <v>Pharmaceutical sciences</v>
      </c>
      <c r="C89" s="24" t="str">
        <f>IF(StList!E80&lt;&gt;"",StList!E80,"")</f>
        <v/>
      </c>
      <c r="D89" s="24" t="str">
        <f>IF(StList!F80&lt;&gt;"",StList!F80,"")</f>
        <v/>
      </c>
      <c r="E89" s="57" t="str">
        <f>IF(('Mid1'!B88+'Mid2'!B88+'quiz 1'!B88+'Assignment or Proposal'!B88+'Final exam'!B88+'quiz 2'!B88+'Poster or Presentation'!B88+'practical exam or OSCE'!B88)&lt;&gt;0,'Mid1'!B88+'Mid2'!B88+'quiz 1'!B88+'Assignment or Proposal'!B88+'Final exam'!B88+'quiz 2'!B88+'Poster or Presentation'!B88+'practical exam or OSCE'!B88,"")</f>
        <v/>
      </c>
      <c r="F89" s="57" t="str">
        <f>IF(('Mid1'!C88+'Mid2'!C88+'quiz 1'!C88+'Assignment or Proposal'!C88+'Final exam'!C88+'quiz 2'!C88+'Poster or Presentation'!C88+'practical exam or OSCE'!C88)&lt;&gt;0,'Mid1'!C88+'Mid2'!C88+'quiz 1'!C88+'Assignment or Proposal'!C88+'Final exam'!C88+'quiz 2'!C88+'Poster or Presentation'!C88+'practical exam or OSCE'!C88,"")</f>
        <v/>
      </c>
      <c r="G89" s="57" t="str">
        <f>IF(('Mid1'!D88+'Mid2'!D88+'quiz 1'!D88+'Assignment or Proposal'!D88+'Final exam'!D88+'quiz 2'!D88+'Poster or Presentation'!D88+'practical exam or OSCE'!D88)&lt;&gt;0,'Mid1'!D88+'Mid2'!D88+'quiz 1'!D88+'Assignment or Proposal'!D88+'Final exam'!D88+'quiz 2'!D88+'Poster or Presentation'!D88+'practical exam or OSCE'!D88,"")</f>
        <v/>
      </c>
      <c r="H89" s="57" t="str">
        <f>IF(('Mid1'!E88+'Mid2'!E88+'quiz 1'!E88+'Assignment or Proposal'!E88+'Final exam'!E88+'quiz 2'!E88+'Poster or Presentation'!E88+'practical exam or OSCE'!E88)&lt;&gt;0,'Mid1'!E88+'Mid2'!E88+'quiz 1'!E88+'Assignment or Proposal'!E88+'Final exam'!E88+'quiz 2'!E88+'Poster or Presentation'!E88+'practical exam or OSCE'!E88,"")</f>
        <v/>
      </c>
      <c r="I89" s="57" t="str">
        <f>IF(('Mid1'!F88+'Mid2'!F88+'quiz 1'!F88+'Assignment or Proposal'!F88+'Final exam'!F88+'quiz 2'!F88+'Poster or Presentation'!F88+'practical exam or OSCE'!F88)&lt;&gt;0,'Mid1'!F88+'Mid2'!F88+'quiz 1'!F88+'Assignment or Proposal'!F88+'Final exam'!F88+'quiz 2'!F88+'Poster or Presentation'!F88+'practical exam or OSCE'!F88,"")</f>
        <v/>
      </c>
      <c r="J89" s="57" t="str">
        <f>IF(('Mid1'!G88+'Mid2'!G88+'quiz 1'!G88+'Assignment or Proposal'!G88+'Final exam'!G88+'quiz 2'!G88+'Poster or Presentation'!G88+'practical exam or OSCE'!G88)&lt;&gt;0,'Mid1'!G88+'Mid2'!G88+'quiz 1'!G88+'Assignment or Proposal'!G88+'Final exam'!G88+'quiz 2'!G88+'Poster or Presentation'!G88+'practical exam or OSCE'!G88,"")</f>
        <v/>
      </c>
      <c r="K89" s="57" t="str">
        <f>IF(('Mid1'!H88+'Mid2'!H88+'quiz 1'!H88+'Assignment or Proposal'!H88+'Final exam'!H88+'quiz 2'!H88+'Poster or Presentation'!H88+'practical exam or OSCE'!H88)&lt;&gt;0,'Mid1'!H88+'Mid2'!H88+'quiz 1'!H88+'Assignment or Proposal'!H88+'Final exam'!H88+'quiz 2'!H88+'Poster or Presentation'!H88+'practical exam or OSCE'!H88,"")</f>
        <v/>
      </c>
      <c r="L89" s="57" t="str">
        <f>IF(('Mid1'!I88+'Mid2'!I88+'quiz 1'!I88+'Assignment or Proposal'!I88+'Final exam'!I88+'quiz 2'!I88+'Poster or Presentation'!I88+'practical exam or OSCE'!I88)&lt;&gt;0,'Mid1'!I88+'Mid2'!I88+'quiz 1'!I88+'Assignment or Proposal'!I88+'Final exam'!I88+'quiz 2'!I88+'Poster or Presentation'!I88+'practical exam or OSCE'!I88,"")</f>
        <v/>
      </c>
      <c r="M89" s="57" t="str">
        <f>IF(('Mid1'!J88+'Mid2'!J88+'quiz 1'!J88+'Assignment or Proposal'!J88+'Final exam'!J88+'quiz 2'!J88+'Poster or Presentation'!J88+'practical exam or OSCE'!J88)&lt;&gt;0,'Mid1'!J88+'Mid2'!J88+'quiz 1'!J88+'Assignment or Proposal'!J88+'Final exam'!J88+'quiz 2'!J88+'Poster or Presentation'!J88+'practical exam or OSCE'!J88,"")</f>
        <v/>
      </c>
      <c r="N89" s="5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O89" s="5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P89" s="57" t="str">
        <f>IF(('Mid1'!M88+'Mid2'!M88+'quiz 1'!M88+'Assignment or Proposal'!M88+'Final exam'!M88+'quiz 2'!M88+'Poster or Presentation'!M88+'practical exam or OSCE'!M88)&lt;&gt;0,'Mid1'!M88+'Mid2'!M88+'quiz 1'!M88+'Assignment or Proposal'!M88+'Final exam'!M88+'quiz 2'!M88+'Poster or Presentation'!M88+'practical exam or OSCE'!M88,"")</f>
        <v/>
      </c>
      <c r="Q89" s="136" t="str">
        <f t="shared" si="5"/>
        <v/>
      </c>
    </row>
    <row r="90" spans="1:17" ht="20.25" hidden="1" customHeight="1" x14ac:dyDescent="0.25">
      <c r="A90" s="24">
        <v>79</v>
      </c>
      <c r="B90" s="24" t="str">
        <f>IF(StList!B81&lt;&gt;"",StList!B81,"")</f>
        <v>Pharmaceutical sciences</v>
      </c>
      <c r="C90" s="24" t="str">
        <f>IF(StList!E81&lt;&gt;"",StList!E81,"")</f>
        <v/>
      </c>
      <c r="D90" s="24" t="str">
        <f>IF(StList!F81&lt;&gt;"",StList!F81,"")</f>
        <v/>
      </c>
      <c r="E90" s="57" t="str">
        <f>IF(('Mid1'!B89+'Mid2'!B89+'quiz 1'!B89+'Assignment or Proposal'!B89+'Final exam'!B89+'quiz 2'!B89+'Poster or Presentation'!B89+'practical exam or OSCE'!B89)&lt;&gt;0,'Mid1'!B89+'Mid2'!B89+'quiz 1'!B89+'Assignment or Proposal'!B89+'Final exam'!B89+'quiz 2'!B89+'Poster or Presentation'!B89+'practical exam or OSCE'!B89,"")</f>
        <v/>
      </c>
      <c r="F90" s="57" t="str">
        <f>IF(('Mid1'!C89+'Mid2'!C89+'quiz 1'!C89+'Assignment or Proposal'!C89+'Final exam'!C89+'quiz 2'!C89+'Poster or Presentation'!C89+'practical exam or OSCE'!C89)&lt;&gt;0,'Mid1'!C89+'Mid2'!C89+'quiz 1'!C89+'Assignment or Proposal'!C89+'Final exam'!C89+'quiz 2'!C89+'Poster or Presentation'!C89+'practical exam or OSCE'!C89,"")</f>
        <v/>
      </c>
      <c r="G90" s="57" t="str">
        <f>IF(('Mid1'!D89+'Mid2'!D89+'quiz 1'!D89+'Assignment or Proposal'!D89+'Final exam'!D89+'quiz 2'!D89+'Poster or Presentation'!D89+'practical exam or OSCE'!D89)&lt;&gt;0,'Mid1'!D89+'Mid2'!D89+'quiz 1'!D89+'Assignment or Proposal'!D89+'Final exam'!D89+'quiz 2'!D89+'Poster or Presentation'!D89+'practical exam or OSCE'!D89,"")</f>
        <v/>
      </c>
      <c r="H90" s="57" t="str">
        <f>IF(('Mid1'!E89+'Mid2'!E89+'quiz 1'!E89+'Assignment or Proposal'!E89+'Final exam'!E89+'quiz 2'!E89+'Poster or Presentation'!E89+'practical exam or OSCE'!E89)&lt;&gt;0,'Mid1'!E89+'Mid2'!E89+'quiz 1'!E89+'Assignment or Proposal'!E89+'Final exam'!E89+'quiz 2'!E89+'Poster or Presentation'!E89+'practical exam or OSCE'!E89,"")</f>
        <v/>
      </c>
      <c r="I90" s="57" t="str">
        <f>IF(('Mid1'!F89+'Mid2'!F89+'quiz 1'!F89+'Assignment or Proposal'!F89+'Final exam'!F89+'quiz 2'!F89+'Poster or Presentation'!F89+'practical exam or OSCE'!F89)&lt;&gt;0,'Mid1'!F89+'Mid2'!F89+'quiz 1'!F89+'Assignment or Proposal'!F89+'Final exam'!F89+'quiz 2'!F89+'Poster or Presentation'!F89+'practical exam or OSCE'!F89,"")</f>
        <v/>
      </c>
      <c r="J90" s="57" t="str">
        <f>IF(('Mid1'!G89+'Mid2'!G89+'quiz 1'!G89+'Assignment or Proposal'!G89+'Final exam'!G89+'quiz 2'!G89+'Poster or Presentation'!G89+'practical exam or OSCE'!G89)&lt;&gt;0,'Mid1'!G89+'Mid2'!G89+'quiz 1'!G89+'Assignment or Proposal'!G89+'Final exam'!G89+'quiz 2'!G89+'Poster or Presentation'!G89+'practical exam or OSCE'!G89,"")</f>
        <v/>
      </c>
      <c r="K90" s="57" t="str">
        <f>IF(('Mid1'!H89+'Mid2'!H89+'quiz 1'!H89+'Assignment or Proposal'!H89+'Final exam'!H89+'quiz 2'!H89+'Poster or Presentation'!H89+'practical exam or OSCE'!H89)&lt;&gt;0,'Mid1'!H89+'Mid2'!H89+'quiz 1'!H89+'Assignment or Proposal'!H89+'Final exam'!H89+'quiz 2'!H89+'Poster or Presentation'!H89+'practical exam or OSCE'!H89,"")</f>
        <v/>
      </c>
      <c r="L90" s="57" t="str">
        <f>IF(('Mid1'!I89+'Mid2'!I89+'quiz 1'!I89+'Assignment or Proposal'!I89+'Final exam'!I89+'quiz 2'!I89+'Poster or Presentation'!I89+'practical exam or OSCE'!I89)&lt;&gt;0,'Mid1'!I89+'Mid2'!I89+'quiz 1'!I89+'Assignment or Proposal'!I89+'Final exam'!I89+'quiz 2'!I89+'Poster or Presentation'!I89+'practical exam or OSCE'!I89,"")</f>
        <v/>
      </c>
      <c r="M90" s="57" t="str">
        <f>IF(('Mid1'!J89+'Mid2'!J89+'quiz 1'!J89+'Assignment or Proposal'!J89+'Final exam'!J89+'quiz 2'!J89+'Poster or Presentation'!J89+'practical exam or OSCE'!J89)&lt;&gt;0,'Mid1'!J89+'Mid2'!J89+'quiz 1'!J89+'Assignment or Proposal'!J89+'Final exam'!J89+'quiz 2'!J89+'Poster or Presentation'!J89+'practical exam or OSCE'!J89,"")</f>
        <v/>
      </c>
      <c r="N90" s="5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O90" s="5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P90" s="57" t="str">
        <f>IF(('Mid1'!M89+'Mid2'!M89+'quiz 1'!M89+'Assignment or Proposal'!M89+'Final exam'!M89+'quiz 2'!M89+'Poster or Presentation'!M89+'practical exam or OSCE'!M89)&lt;&gt;0,'Mid1'!M89+'Mid2'!M89+'quiz 1'!M89+'Assignment or Proposal'!M89+'Final exam'!M89+'quiz 2'!M89+'Poster or Presentation'!M89+'practical exam or OSCE'!M89,"")</f>
        <v/>
      </c>
      <c r="Q90" s="136" t="str">
        <f t="shared" si="5"/>
        <v/>
      </c>
    </row>
    <row r="91" spans="1:17" ht="20.25" hidden="1" customHeight="1" x14ac:dyDescent="0.25">
      <c r="A91" s="24">
        <v>80</v>
      </c>
      <c r="B91" s="24" t="str">
        <f>IF(StList!B82&lt;&gt;"",StList!B82,"")</f>
        <v>Pharmaceutical sciences</v>
      </c>
      <c r="C91" s="24" t="str">
        <f>IF(StList!E82&lt;&gt;"",StList!E82,"")</f>
        <v/>
      </c>
      <c r="D91" s="24" t="str">
        <f>IF(StList!F82&lt;&gt;"",StList!F82,"")</f>
        <v/>
      </c>
      <c r="E91" s="57" t="str">
        <f>IF(('Mid1'!B90+'Mid2'!B90+'quiz 1'!B90+'Assignment or Proposal'!B90+'Final exam'!B90+'quiz 2'!B90+'Poster or Presentation'!B90+'practical exam or OSCE'!B90)&lt;&gt;0,'Mid1'!B90+'Mid2'!B90+'quiz 1'!B90+'Assignment or Proposal'!B90+'Final exam'!B90+'quiz 2'!B90+'Poster or Presentation'!B90+'practical exam or OSCE'!B90,"")</f>
        <v/>
      </c>
      <c r="F91" s="57" t="str">
        <f>IF(('Mid1'!C90+'Mid2'!C90+'quiz 1'!C90+'Assignment or Proposal'!C90+'Final exam'!C90+'quiz 2'!C90+'Poster or Presentation'!C90+'practical exam or OSCE'!C90)&lt;&gt;0,'Mid1'!C90+'Mid2'!C90+'quiz 1'!C90+'Assignment or Proposal'!C90+'Final exam'!C90+'quiz 2'!C90+'Poster or Presentation'!C90+'practical exam or OSCE'!C90,"")</f>
        <v/>
      </c>
      <c r="G91" s="57" t="str">
        <f>IF(('Mid1'!D90+'Mid2'!D90+'quiz 1'!D90+'Assignment or Proposal'!D90+'Final exam'!D90+'quiz 2'!D90+'Poster or Presentation'!D90+'practical exam or OSCE'!D90)&lt;&gt;0,'Mid1'!D90+'Mid2'!D90+'quiz 1'!D90+'Assignment or Proposal'!D90+'Final exam'!D90+'quiz 2'!D90+'Poster or Presentation'!D90+'practical exam or OSCE'!D90,"")</f>
        <v/>
      </c>
      <c r="H91" s="57" t="str">
        <f>IF(('Mid1'!E90+'Mid2'!E90+'quiz 1'!E90+'Assignment or Proposal'!E90+'Final exam'!E90+'quiz 2'!E90+'Poster or Presentation'!E90+'practical exam or OSCE'!E90)&lt;&gt;0,'Mid1'!E90+'Mid2'!E90+'quiz 1'!E90+'Assignment or Proposal'!E90+'Final exam'!E90+'quiz 2'!E90+'Poster or Presentation'!E90+'practical exam or OSCE'!E90,"")</f>
        <v/>
      </c>
      <c r="I91" s="57" t="str">
        <f>IF(('Mid1'!F90+'Mid2'!F90+'quiz 1'!F90+'Assignment or Proposal'!F90+'Final exam'!F90+'quiz 2'!F90+'Poster or Presentation'!F90+'practical exam or OSCE'!F90)&lt;&gt;0,'Mid1'!F90+'Mid2'!F90+'quiz 1'!F90+'Assignment or Proposal'!F90+'Final exam'!F90+'quiz 2'!F90+'Poster or Presentation'!F90+'practical exam or OSCE'!F90,"")</f>
        <v/>
      </c>
      <c r="J91" s="57" t="str">
        <f>IF(('Mid1'!G90+'Mid2'!G90+'quiz 1'!G90+'Assignment or Proposal'!G90+'Final exam'!G90+'quiz 2'!G90+'Poster or Presentation'!G90+'practical exam or OSCE'!G90)&lt;&gt;0,'Mid1'!G90+'Mid2'!G90+'quiz 1'!G90+'Assignment or Proposal'!G90+'Final exam'!G90+'quiz 2'!G90+'Poster or Presentation'!G90+'practical exam or OSCE'!G90,"")</f>
        <v/>
      </c>
      <c r="K91" s="57" t="str">
        <f>IF(('Mid1'!H90+'Mid2'!H90+'quiz 1'!H90+'Assignment or Proposal'!H90+'Final exam'!H90+'quiz 2'!H90+'Poster or Presentation'!H90+'practical exam or OSCE'!H90)&lt;&gt;0,'Mid1'!H90+'Mid2'!H90+'quiz 1'!H90+'Assignment or Proposal'!H90+'Final exam'!H90+'quiz 2'!H90+'Poster or Presentation'!H90+'practical exam or OSCE'!H90,"")</f>
        <v/>
      </c>
      <c r="L91" s="57" t="str">
        <f>IF(('Mid1'!I90+'Mid2'!I90+'quiz 1'!I90+'Assignment or Proposal'!I90+'Final exam'!I90+'quiz 2'!I90+'Poster or Presentation'!I90+'practical exam or OSCE'!I90)&lt;&gt;0,'Mid1'!I90+'Mid2'!I90+'quiz 1'!I90+'Assignment or Proposal'!I90+'Final exam'!I90+'quiz 2'!I90+'Poster or Presentation'!I90+'practical exam or OSCE'!I90,"")</f>
        <v/>
      </c>
      <c r="M91" s="57" t="str">
        <f>IF(('Mid1'!J90+'Mid2'!J90+'quiz 1'!J90+'Assignment or Proposal'!J90+'Final exam'!J90+'quiz 2'!J90+'Poster or Presentation'!J90+'practical exam or OSCE'!J90)&lt;&gt;0,'Mid1'!J90+'Mid2'!J90+'quiz 1'!J90+'Assignment or Proposal'!J90+'Final exam'!J90+'quiz 2'!J90+'Poster or Presentation'!J90+'practical exam or OSCE'!J90,"")</f>
        <v/>
      </c>
      <c r="N91" s="5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O91" s="5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P91" s="57" t="str">
        <f>IF(('Mid1'!M90+'Mid2'!M90+'quiz 1'!M90+'Assignment or Proposal'!M90+'Final exam'!M90+'quiz 2'!M90+'Poster or Presentation'!M90+'practical exam or OSCE'!M90)&lt;&gt;0,'Mid1'!M90+'Mid2'!M90+'quiz 1'!M90+'Assignment or Proposal'!M90+'Final exam'!M90+'quiz 2'!M90+'Poster or Presentation'!M90+'practical exam or OSCE'!M90,"")</f>
        <v/>
      </c>
      <c r="Q91" s="136" t="str">
        <f t="shared" si="5"/>
        <v/>
      </c>
    </row>
    <row r="92" spans="1:17" ht="20.25" hidden="1" customHeight="1" x14ac:dyDescent="0.25">
      <c r="A92" s="24">
        <v>81</v>
      </c>
      <c r="B92" s="24" t="str">
        <f>IF(StList!B83&lt;&gt;"",StList!B83,"")</f>
        <v>Pharmaceutical sciences</v>
      </c>
      <c r="C92" s="24" t="str">
        <f>IF(StList!E83&lt;&gt;"",StList!E83,"")</f>
        <v/>
      </c>
      <c r="D92" s="24" t="str">
        <f>IF(StList!F83&lt;&gt;"",StList!F83,"")</f>
        <v/>
      </c>
      <c r="E92" s="57" t="str">
        <f>IF(('Mid1'!B91+'Mid2'!B91+'quiz 1'!B91+'Assignment or Proposal'!B91+'Final exam'!B91+'quiz 2'!B91+'Poster or Presentation'!B91+'practical exam or OSCE'!B91)&lt;&gt;0,'Mid1'!B91+'Mid2'!B91+'quiz 1'!B91+'Assignment or Proposal'!B91+'Final exam'!B91+'quiz 2'!B91+'Poster or Presentation'!B91+'practical exam or OSCE'!B91,"")</f>
        <v/>
      </c>
      <c r="F92" s="57" t="str">
        <f>IF(('Mid1'!C91+'Mid2'!C91+'quiz 1'!C91+'Assignment or Proposal'!C91+'Final exam'!C91+'quiz 2'!C91+'Poster or Presentation'!C91+'practical exam or OSCE'!C91)&lt;&gt;0,'Mid1'!C91+'Mid2'!C91+'quiz 1'!C91+'Assignment or Proposal'!C91+'Final exam'!C91+'quiz 2'!C91+'Poster or Presentation'!C91+'practical exam or OSCE'!C91,"")</f>
        <v/>
      </c>
      <c r="G92" s="57" t="str">
        <f>IF(('Mid1'!D91+'Mid2'!D91+'quiz 1'!D91+'Assignment or Proposal'!D91+'Final exam'!D91+'quiz 2'!D91+'Poster or Presentation'!D91+'practical exam or OSCE'!D91)&lt;&gt;0,'Mid1'!D91+'Mid2'!D91+'quiz 1'!D91+'Assignment or Proposal'!D91+'Final exam'!D91+'quiz 2'!D91+'Poster or Presentation'!D91+'practical exam or OSCE'!D91,"")</f>
        <v/>
      </c>
      <c r="H92" s="57" t="str">
        <f>IF(('Mid1'!E91+'Mid2'!E91+'quiz 1'!E91+'Assignment or Proposal'!E91+'Final exam'!E91+'quiz 2'!E91+'Poster or Presentation'!E91+'practical exam or OSCE'!E91)&lt;&gt;0,'Mid1'!E91+'Mid2'!E91+'quiz 1'!E91+'Assignment or Proposal'!E91+'Final exam'!E91+'quiz 2'!E91+'Poster or Presentation'!E91+'practical exam or OSCE'!E91,"")</f>
        <v/>
      </c>
      <c r="I92" s="57" t="str">
        <f>IF(('Mid1'!F91+'Mid2'!F91+'quiz 1'!F91+'Assignment or Proposal'!F91+'Final exam'!F91+'quiz 2'!F91+'Poster or Presentation'!F91+'practical exam or OSCE'!F91)&lt;&gt;0,'Mid1'!F91+'Mid2'!F91+'quiz 1'!F91+'Assignment or Proposal'!F91+'Final exam'!F91+'quiz 2'!F91+'Poster or Presentation'!F91+'practical exam or OSCE'!F91,"")</f>
        <v/>
      </c>
      <c r="J92" s="57" t="str">
        <f>IF(('Mid1'!G91+'Mid2'!G91+'quiz 1'!G91+'Assignment or Proposal'!G91+'Final exam'!G91+'quiz 2'!G91+'Poster or Presentation'!G91+'practical exam or OSCE'!G91)&lt;&gt;0,'Mid1'!G91+'Mid2'!G91+'quiz 1'!G91+'Assignment or Proposal'!G91+'Final exam'!G91+'quiz 2'!G91+'Poster or Presentation'!G91+'practical exam or OSCE'!G91,"")</f>
        <v/>
      </c>
      <c r="K92" s="57" t="str">
        <f>IF(('Mid1'!H91+'Mid2'!H91+'quiz 1'!H91+'Assignment or Proposal'!H91+'Final exam'!H91+'quiz 2'!H91+'Poster or Presentation'!H91+'practical exam or OSCE'!H91)&lt;&gt;0,'Mid1'!H91+'Mid2'!H91+'quiz 1'!H91+'Assignment or Proposal'!H91+'Final exam'!H91+'quiz 2'!H91+'Poster or Presentation'!H91+'practical exam or OSCE'!H91,"")</f>
        <v/>
      </c>
      <c r="L92" s="57" t="str">
        <f>IF(('Mid1'!I91+'Mid2'!I91+'quiz 1'!I91+'Assignment or Proposal'!I91+'Final exam'!I91+'quiz 2'!I91+'Poster or Presentation'!I91+'practical exam or OSCE'!I91)&lt;&gt;0,'Mid1'!I91+'Mid2'!I91+'quiz 1'!I91+'Assignment or Proposal'!I91+'Final exam'!I91+'quiz 2'!I91+'Poster or Presentation'!I91+'practical exam or OSCE'!I91,"")</f>
        <v/>
      </c>
      <c r="M92" s="57" t="str">
        <f>IF(('Mid1'!J91+'Mid2'!J91+'quiz 1'!J91+'Assignment or Proposal'!J91+'Final exam'!J91+'quiz 2'!J91+'Poster or Presentation'!J91+'practical exam or OSCE'!J91)&lt;&gt;0,'Mid1'!J91+'Mid2'!J91+'quiz 1'!J91+'Assignment or Proposal'!J91+'Final exam'!J91+'quiz 2'!J91+'Poster or Presentation'!J91+'practical exam or OSCE'!J91,"")</f>
        <v/>
      </c>
      <c r="N92" s="5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O92" s="5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P92" s="57" t="str">
        <f>IF(('Mid1'!M91+'Mid2'!M91+'quiz 1'!M91+'Assignment or Proposal'!M91+'Final exam'!M91+'quiz 2'!M91+'Poster or Presentation'!M91+'practical exam or OSCE'!M91)&lt;&gt;0,'Mid1'!M91+'Mid2'!M91+'quiz 1'!M91+'Assignment or Proposal'!M91+'Final exam'!M91+'quiz 2'!M91+'Poster or Presentation'!M91+'practical exam or OSCE'!M91,"")</f>
        <v/>
      </c>
      <c r="Q92" s="136" t="str">
        <f t="shared" si="5"/>
        <v/>
      </c>
    </row>
    <row r="93" spans="1:17" ht="20.25" hidden="1" customHeight="1" x14ac:dyDescent="0.25">
      <c r="A93" s="24">
        <v>82</v>
      </c>
      <c r="B93" s="24" t="str">
        <f>IF(StList!B84&lt;&gt;"",StList!B84,"")</f>
        <v>Pharmaceutical sciences</v>
      </c>
      <c r="C93" s="24" t="str">
        <f>IF(StList!E84&lt;&gt;"",StList!E84,"")</f>
        <v/>
      </c>
      <c r="D93" s="24" t="str">
        <f>IF(StList!F84&lt;&gt;"",StList!F84,"")</f>
        <v/>
      </c>
      <c r="E93" s="57" t="str">
        <f>IF(('Mid1'!B92+'Mid2'!B92+'quiz 1'!B92+'Assignment or Proposal'!B92+'Final exam'!B92+'quiz 2'!B92+'Poster or Presentation'!B92+'practical exam or OSCE'!B92)&lt;&gt;0,'Mid1'!B92+'Mid2'!B92+'quiz 1'!B92+'Assignment or Proposal'!B92+'Final exam'!B92+'quiz 2'!B92+'Poster or Presentation'!B92+'practical exam or OSCE'!B92,"")</f>
        <v/>
      </c>
      <c r="F93" s="57" t="str">
        <f>IF(('Mid1'!C92+'Mid2'!C92+'quiz 1'!C92+'Assignment or Proposal'!C92+'Final exam'!C92+'quiz 2'!C92+'Poster or Presentation'!C92+'practical exam or OSCE'!C92)&lt;&gt;0,'Mid1'!C92+'Mid2'!C92+'quiz 1'!C92+'Assignment or Proposal'!C92+'Final exam'!C92+'quiz 2'!C92+'Poster or Presentation'!C92+'practical exam or OSCE'!C92,"")</f>
        <v/>
      </c>
      <c r="G93" s="57" t="str">
        <f>IF(('Mid1'!D92+'Mid2'!D92+'quiz 1'!D92+'Assignment or Proposal'!D92+'Final exam'!D92+'quiz 2'!D92+'Poster or Presentation'!D92+'practical exam or OSCE'!D92)&lt;&gt;0,'Mid1'!D92+'Mid2'!D92+'quiz 1'!D92+'Assignment or Proposal'!D92+'Final exam'!D92+'quiz 2'!D92+'Poster or Presentation'!D92+'practical exam or OSCE'!D92,"")</f>
        <v/>
      </c>
      <c r="H93" s="57" t="str">
        <f>IF(('Mid1'!E92+'Mid2'!E92+'quiz 1'!E92+'Assignment or Proposal'!E92+'Final exam'!E92+'quiz 2'!E92+'Poster or Presentation'!E92+'practical exam or OSCE'!E92)&lt;&gt;0,'Mid1'!E92+'Mid2'!E92+'quiz 1'!E92+'Assignment or Proposal'!E92+'Final exam'!E92+'quiz 2'!E92+'Poster or Presentation'!E92+'practical exam or OSCE'!E92,"")</f>
        <v/>
      </c>
      <c r="I93" s="57" t="str">
        <f>IF(('Mid1'!F92+'Mid2'!F92+'quiz 1'!F92+'Assignment or Proposal'!F92+'Final exam'!F92+'quiz 2'!F92+'Poster or Presentation'!F92+'practical exam or OSCE'!F92)&lt;&gt;0,'Mid1'!F92+'Mid2'!F92+'quiz 1'!F92+'Assignment or Proposal'!F92+'Final exam'!F92+'quiz 2'!F92+'Poster or Presentation'!F92+'practical exam or OSCE'!F92,"")</f>
        <v/>
      </c>
      <c r="J93" s="57" t="str">
        <f>IF(('Mid1'!G92+'Mid2'!G92+'quiz 1'!G92+'Assignment or Proposal'!G92+'Final exam'!G92+'quiz 2'!G92+'Poster or Presentation'!G92+'practical exam or OSCE'!G92)&lt;&gt;0,'Mid1'!G92+'Mid2'!G92+'quiz 1'!G92+'Assignment or Proposal'!G92+'Final exam'!G92+'quiz 2'!G92+'Poster or Presentation'!G92+'practical exam or OSCE'!G92,"")</f>
        <v/>
      </c>
      <c r="K93" s="57" t="str">
        <f>IF(('Mid1'!H92+'Mid2'!H92+'quiz 1'!H92+'Assignment or Proposal'!H92+'Final exam'!H92+'quiz 2'!H92+'Poster or Presentation'!H92+'practical exam or OSCE'!H92)&lt;&gt;0,'Mid1'!H92+'Mid2'!H92+'quiz 1'!H92+'Assignment or Proposal'!H92+'Final exam'!H92+'quiz 2'!H92+'Poster or Presentation'!H92+'practical exam or OSCE'!H92,"")</f>
        <v/>
      </c>
      <c r="L93" s="57" t="str">
        <f>IF(('Mid1'!I92+'Mid2'!I92+'quiz 1'!I92+'Assignment or Proposal'!I92+'Final exam'!I92+'quiz 2'!I92+'Poster or Presentation'!I92+'practical exam or OSCE'!I92)&lt;&gt;0,'Mid1'!I92+'Mid2'!I92+'quiz 1'!I92+'Assignment or Proposal'!I92+'Final exam'!I92+'quiz 2'!I92+'Poster or Presentation'!I92+'practical exam or OSCE'!I92,"")</f>
        <v/>
      </c>
      <c r="M93" s="57" t="str">
        <f>IF(('Mid1'!J92+'Mid2'!J92+'quiz 1'!J92+'Assignment or Proposal'!J92+'Final exam'!J92+'quiz 2'!J92+'Poster or Presentation'!J92+'practical exam or OSCE'!J92)&lt;&gt;0,'Mid1'!J92+'Mid2'!J92+'quiz 1'!J92+'Assignment or Proposal'!J92+'Final exam'!J92+'quiz 2'!J92+'Poster or Presentation'!J92+'practical exam or OSCE'!J92,"")</f>
        <v/>
      </c>
      <c r="N93" s="5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O93" s="5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P93" s="57" t="str">
        <f>IF(('Mid1'!M92+'Mid2'!M92+'quiz 1'!M92+'Assignment or Proposal'!M92+'Final exam'!M92+'quiz 2'!M92+'Poster or Presentation'!M92+'practical exam or OSCE'!M92)&lt;&gt;0,'Mid1'!M92+'Mid2'!M92+'quiz 1'!M92+'Assignment or Proposal'!M92+'Final exam'!M92+'quiz 2'!M92+'Poster or Presentation'!M92+'practical exam or OSCE'!M92,"")</f>
        <v/>
      </c>
      <c r="Q93" s="136" t="str">
        <f t="shared" si="5"/>
        <v/>
      </c>
    </row>
    <row r="94" spans="1:17" ht="20.25" hidden="1" customHeight="1" x14ac:dyDescent="0.25">
      <c r="A94" s="24">
        <v>83</v>
      </c>
      <c r="B94" s="24" t="str">
        <f>IF(StList!B85&lt;&gt;"",StList!B85,"")</f>
        <v>Pharmaceutical sciences</v>
      </c>
      <c r="C94" s="24" t="str">
        <f>IF(StList!E85&lt;&gt;"",StList!E85,"")</f>
        <v/>
      </c>
      <c r="D94" s="24" t="str">
        <f>IF(StList!F85&lt;&gt;"",StList!F85,"")</f>
        <v/>
      </c>
      <c r="E94" s="57" t="str">
        <f>IF(('Mid1'!B93+'Mid2'!B93+'quiz 1'!B93+'Assignment or Proposal'!B93+'Final exam'!B93+'quiz 2'!B93+'Poster or Presentation'!B93+'practical exam or OSCE'!B93)&lt;&gt;0,'Mid1'!B93+'Mid2'!B93+'quiz 1'!B93+'Assignment or Proposal'!B93+'Final exam'!B93+'quiz 2'!B93+'Poster or Presentation'!B93+'practical exam or OSCE'!B93,"")</f>
        <v/>
      </c>
      <c r="F94" s="57" t="str">
        <f>IF(('Mid1'!C93+'Mid2'!C93+'quiz 1'!C93+'Assignment or Proposal'!C93+'Final exam'!C93+'quiz 2'!C93+'Poster or Presentation'!C93+'practical exam or OSCE'!C93)&lt;&gt;0,'Mid1'!C93+'Mid2'!C93+'quiz 1'!C93+'Assignment or Proposal'!C93+'Final exam'!C93+'quiz 2'!C93+'Poster or Presentation'!C93+'practical exam or OSCE'!C93,"")</f>
        <v/>
      </c>
      <c r="G94" s="57" t="str">
        <f>IF(('Mid1'!D93+'Mid2'!D93+'quiz 1'!D93+'Assignment or Proposal'!D93+'Final exam'!D93+'quiz 2'!D93+'Poster or Presentation'!D93+'practical exam or OSCE'!D93)&lt;&gt;0,'Mid1'!D93+'Mid2'!D93+'quiz 1'!D93+'Assignment or Proposal'!D93+'Final exam'!D93+'quiz 2'!D93+'Poster or Presentation'!D93+'practical exam or OSCE'!D93,"")</f>
        <v/>
      </c>
      <c r="H94" s="57" t="str">
        <f>IF(('Mid1'!E93+'Mid2'!E93+'quiz 1'!E93+'Assignment or Proposal'!E93+'Final exam'!E93+'quiz 2'!E93+'Poster or Presentation'!E93+'practical exam or OSCE'!E93)&lt;&gt;0,'Mid1'!E93+'Mid2'!E93+'quiz 1'!E93+'Assignment or Proposal'!E93+'Final exam'!E93+'quiz 2'!E93+'Poster or Presentation'!E93+'practical exam or OSCE'!E93,"")</f>
        <v/>
      </c>
      <c r="I94" s="57" t="str">
        <f>IF(('Mid1'!F93+'Mid2'!F93+'quiz 1'!F93+'Assignment or Proposal'!F93+'Final exam'!F93+'quiz 2'!F93+'Poster or Presentation'!F93+'practical exam or OSCE'!F93)&lt;&gt;0,'Mid1'!F93+'Mid2'!F93+'quiz 1'!F93+'Assignment or Proposal'!F93+'Final exam'!F93+'quiz 2'!F93+'Poster or Presentation'!F93+'practical exam or OSCE'!F93,"")</f>
        <v/>
      </c>
      <c r="J94" s="57" t="str">
        <f>IF(('Mid1'!G93+'Mid2'!G93+'quiz 1'!G93+'Assignment or Proposal'!G93+'Final exam'!G93+'quiz 2'!G93+'Poster or Presentation'!G93+'practical exam or OSCE'!G93)&lt;&gt;0,'Mid1'!G93+'Mid2'!G93+'quiz 1'!G93+'Assignment or Proposal'!G93+'Final exam'!G93+'quiz 2'!G93+'Poster or Presentation'!G93+'practical exam or OSCE'!G93,"")</f>
        <v/>
      </c>
      <c r="K94" s="57" t="str">
        <f>IF(('Mid1'!H93+'Mid2'!H93+'quiz 1'!H93+'Assignment or Proposal'!H93+'Final exam'!H93+'quiz 2'!H93+'Poster or Presentation'!H93+'practical exam or OSCE'!H93)&lt;&gt;0,'Mid1'!H93+'Mid2'!H93+'quiz 1'!H93+'Assignment or Proposal'!H93+'Final exam'!H93+'quiz 2'!H93+'Poster or Presentation'!H93+'practical exam or OSCE'!H93,"")</f>
        <v/>
      </c>
      <c r="L94" s="57" t="str">
        <f>IF(('Mid1'!I93+'Mid2'!I93+'quiz 1'!I93+'Assignment or Proposal'!I93+'Final exam'!I93+'quiz 2'!I93+'Poster or Presentation'!I93+'practical exam or OSCE'!I93)&lt;&gt;0,'Mid1'!I93+'Mid2'!I93+'quiz 1'!I93+'Assignment or Proposal'!I93+'Final exam'!I93+'quiz 2'!I93+'Poster or Presentation'!I93+'practical exam or OSCE'!I93,"")</f>
        <v/>
      </c>
      <c r="M94" s="57" t="str">
        <f>IF(('Mid1'!J93+'Mid2'!J93+'quiz 1'!J93+'Assignment or Proposal'!J93+'Final exam'!J93+'quiz 2'!J93+'Poster or Presentation'!J93+'practical exam or OSCE'!J93)&lt;&gt;0,'Mid1'!J93+'Mid2'!J93+'quiz 1'!J93+'Assignment or Proposal'!J93+'Final exam'!J93+'quiz 2'!J93+'Poster or Presentation'!J93+'practical exam or OSCE'!J93,"")</f>
        <v/>
      </c>
      <c r="N94" s="5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O94" s="5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P94" s="57" t="str">
        <f>IF(('Mid1'!M93+'Mid2'!M93+'quiz 1'!M93+'Assignment or Proposal'!M93+'Final exam'!M93+'quiz 2'!M93+'Poster or Presentation'!M93+'practical exam or OSCE'!M93)&lt;&gt;0,'Mid1'!M93+'Mid2'!M93+'quiz 1'!M93+'Assignment or Proposal'!M93+'Final exam'!M93+'quiz 2'!M93+'Poster or Presentation'!M93+'practical exam or OSCE'!M93,"")</f>
        <v/>
      </c>
      <c r="Q94" s="136" t="str">
        <f t="shared" si="5"/>
        <v/>
      </c>
    </row>
    <row r="95" spans="1:17" ht="20.25" hidden="1" customHeight="1" x14ac:dyDescent="0.25">
      <c r="A95" s="24">
        <v>84</v>
      </c>
      <c r="B95" s="24" t="str">
        <f>IF(StList!B86&lt;&gt;"",StList!B86,"")</f>
        <v>Pharmaceutical sciences</v>
      </c>
      <c r="C95" s="24" t="str">
        <f>IF(StList!E86&lt;&gt;"",StList!E86,"")</f>
        <v/>
      </c>
      <c r="D95" s="24" t="str">
        <f>IF(StList!F86&lt;&gt;"",StList!F86,"")</f>
        <v/>
      </c>
      <c r="E95" s="57" t="str">
        <f>IF(('Mid1'!B94+'Mid2'!B94+'quiz 1'!B94+'Assignment or Proposal'!B94+'Final exam'!B94+'quiz 2'!B94+'Poster or Presentation'!B94+'practical exam or OSCE'!B94)&lt;&gt;0,'Mid1'!B94+'Mid2'!B94+'quiz 1'!B94+'Assignment or Proposal'!B94+'Final exam'!B94+'quiz 2'!B94+'Poster or Presentation'!B94+'practical exam or OSCE'!B94,"")</f>
        <v/>
      </c>
      <c r="F95" s="57" t="str">
        <f>IF(('Mid1'!C94+'Mid2'!C94+'quiz 1'!C94+'Assignment or Proposal'!C94+'Final exam'!C94+'quiz 2'!C94+'Poster or Presentation'!C94+'practical exam or OSCE'!C94)&lt;&gt;0,'Mid1'!C94+'Mid2'!C94+'quiz 1'!C94+'Assignment or Proposal'!C94+'Final exam'!C94+'quiz 2'!C94+'Poster or Presentation'!C94+'practical exam or OSCE'!C94,"")</f>
        <v/>
      </c>
      <c r="G95" s="57" t="str">
        <f>IF(('Mid1'!D94+'Mid2'!D94+'quiz 1'!D94+'Assignment or Proposal'!D94+'Final exam'!D94+'quiz 2'!D94+'Poster or Presentation'!D94+'practical exam or OSCE'!D94)&lt;&gt;0,'Mid1'!D94+'Mid2'!D94+'quiz 1'!D94+'Assignment or Proposal'!D94+'Final exam'!D94+'quiz 2'!D94+'Poster or Presentation'!D94+'practical exam or OSCE'!D94,"")</f>
        <v/>
      </c>
      <c r="H95" s="57" t="str">
        <f>IF(('Mid1'!E94+'Mid2'!E94+'quiz 1'!E94+'Assignment or Proposal'!E94+'Final exam'!E94+'quiz 2'!E94+'Poster or Presentation'!E94+'practical exam or OSCE'!E94)&lt;&gt;0,'Mid1'!E94+'Mid2'!E94+'quiz 1'!E94+'Assignment or Proposal'!E94+'Final exam'!E94+'quiz 2'!E94+'Poster or Presentation'!E94+'practical exam or OSCE'!E94,"")</f>
        <v/>
      </c>
      <c r="I95" s="57" t="str">
        <f>IF(('Mid1'!F94+'Mid2'!F94+'quiz 1'!F94+'Assignment or Proposal'!F94+'Final exam'!F94+'quiz 2'!F94+'Poster or Presentation'!F94+'practical exam or OSCE'!F94)&lt;&gt;0,'Mid1'!F94+'Mid2'!F94+'quiz 1'!F94+'Assignment or Proposal'!F94+'Final exam'!F94+'quiz 2'!F94+'Poster or Presentation'!F94+'practical exam or OSCE'!F94,"")</f>
        <v/>
      </c>
      <c r="J95" s="57" t="str">
        <f>IF(('Mid1'!G94+'Mid2'!G94+'quiz 1'!G94+'Assignment or Proposal'!G94+'Final exam'!G94+'quiz 2'!G94+'Poster or Presentation'!G94+'practical exam or OSCE'!G94)&lt;&gt;0,'Mid1'!G94+'Mid2'!G94+'quiz 1'!G94+'Assignment or Proposal'!G94+'Final exam'!G94+'quiz 2'!G94+'Poster or Presentation'!G94+'practical exam or OSCE'!G94,"")</f>
        <v/>
      </c>
      <c r="K95" s="57" t="str">
        <f>IF(('Mid1'!H94+'Mid2'!H94+'quiz 1'!H94+'Assignment or Proposal'!H94+'Final exam'!H94+'quiz 2'!H94+'Poster or Presentation'!H94+'practical exam or OSCE'!H94)&lt;&gt;0,'Mid1'!H94+'Mid2'!H94+'quiz 1'!H94+'Assignment or Proposal'!H94+'Final exam'!H94+'quiz 2'!H94+'Poster or Presentation'!H94+'practical exam or OSCE'!H94,"")</f>
        <v/>
      </c>
      <c r="L95" s="57" t="str">
        <f>IF(('Mid1'!I94+'Mid2'!I94+'quiz 1'!I94+'Assignment or Proposal'!I94+'Final exam'!I94+'quiz 2'!I94+'Poster or Presentation'!I94+'practical exam or OSCE'!I94)&lt;&gt;0,'Mid1'!I94+'Mid2'!I94+'quiz 1'!I94+'Assignment or Proposal'!I94+'Final exam'!I94+'quiz 2'!I94+'Poster or Presentation'!I94+'practical exam or OSCE'!I94,"")</f>
        <v/>
      </c>
      <c r="M95" s="57" t="str">
        <f>IF(('Mid1'!J94+'Mid2'!J94+'quiz 1'!J94+'Assignment or Proposal'!J94+'Final exam'!J94+'quiz 2'!J94+'Poster or Presentation'!J94+'practical exam or OSCE'!J94)&lt;&gt;0,'Mid1'!J94+'Mid2'!J94+'quiz 1'!J94+'Assignment or Proposal'!J94+'Final exam'!J94+'quiz 2'!J94+'Poster or Presentation'!J94+'practical exam or OSCE'!J94,"")</f>
        <v/>
      </c>
      <c r="N95" s="5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O95" s="5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P95" s="57" t="str">
        <f>IF(('Mid1'!M94+'Mid2'!M94+'quiz 1'!M94+'Assignment or Proposal'!M94+'Final exam'!M94+'quiz 2'!M94+'Poster or Presentation'!M94+'practical exam or OSCE'!M94)&lt;&gt;0,'Mid1'!M94+'Mid2'!M94+'quiz 1'!M94+'Assignment or Proposal'!M94+'Final exam'!M94+'quiz 2'!M94+'Poster or Presentation'!M94+'practical exam or OSCE'!M94,"")</f>
        <v/>
      </c>
      <c r="Q95" s="136" t="str">
        <f t="shared" si="5"/>
        <v/>
      </c>
    </row>
    <row r="96" spans="1:17" ht="20.25" hidden="1" customHeight="1" x14ac:dyDescent="0.25">
      <c r="A96" s="24">
        <v>85</v>
      </c>
      <c r="B96" s="24" t="str">
        <f>IF(StList!B87&lt;&gt;"",StList!B87,"")</f>
        <v>Pharmaceutical sciences</v>
      </c>
      <c r="C96" s="24" t="str">
        <f>IF(StList!E87&lt;&gt;"",StList!E87,"")</f>
        <v/>
      </c>
      <c r="D96" s="24" t="str">
        <f>IF(StList!F87&lt;&gt;"",StList!F87,"")</f>
        <v/>
      </c>
      <c r="E96" s="57" t="str">
        <f>IF(('Mid1'!B95+'Mid2'!B95+'quiz 1'!B95+'Assignment or Proposal'!B95+'Final exam'!B95+'quiz 2'!B95+'Poster or Presentation'!B95+'practical exam or OSCE'!B95)&lt;&gt;0,'Mid1'!B95+'Mid2'!B95+'quiz 1'!B95+'Assignment or Proposal'!B95+'Final exam'!B95+'quiz 2'!B95+'Poster or Presentation'!B95+'practical exam or OSCE'!B95,"")</f>
        <v/>
      </c>
      <c r="F96" s="57" t="str">
        <f>IF(('Mid1'!C95+'Mid2'!C95+'quiz 1'!C95+'Assignment or Proposal'!C95+'Final exam'!C95+'quiz 2'!C95+'Poster or Presentation'!C95+'practical exam or OSCE'!C95)&lt;&gt;0,'Mid1'!C95+'Mid2'!C95+'quiz 1'!C95+'Assignment or Proposal'!C95+'Final exam'!C95+'quiz 2'!C95+'Poster or Presentation'!C95+'practical exam or OSCE'!C95,"")</f>
        <v/>
      </c>
      <c r="G96" s="57" t="str">
        <f>IF(('Mid1'!D95+'Mid2'!D95+'quiz 1'!D95+'Assignment or Proposal'!D95+'Final exam'!D95+'quiz 2'!D95+'Poster or Presentation'!D95+'practical exam or OSCE'!D95)&lt;&gt;0,'Mid1'!D95+'Mid2'!D95+'quiz 1'!D95+'Assignment or Proposal'!D95+'Final exam'!D95+'quiz 2'!D95+'Poster or Presentation'!D95+'practical exam or OSCE'!D95,"")</f>
        <v/>
      </c>
      <c r="H96" s="57" t="str">
        <f>IF(('Mid1'!E95+'Mid2'!E95+'quiz 1'!E95+'Assignment or Proposal'!E95+'Final exam'!E95+'quiz 2'!E95+'Poster or Presentation'!E95+'practical exam or OSCE'!E95)&lt;&gt;0,'Mid1'!E95+'Mid2'!E95+'quiz 1'!E95+'Assignment or Proposal'!E95+'Final exam'!E95+'quiz 2'!E95+'Poster or Presentation'!E95+'practical exam or OSCE'!E95,"")</f>
        <v/>
      </c>
      <c r="I96" s="57" t="str">
        <f>IF(('Mid1'!F95+'Mid2'!F95+'quiz 1'!F95+'Assignment or Proposal'!F95+'Final exam'!F95+'quiz 2'!F95+'Poster or Presentation'!F95+'practical exam or OSCE'!F95)&lt;&gt;0,'Mid1'!F95+'Mid2'!F95+'quiz 1'!F95+'Assignment or Proposal'!F95+'Final exam'!F95+'quiz 2'!F95+'Poster or Presentation'!F95+'practical exam or OSCE'!F95,"")</f>
        <v/>
      </c>
      <c r="J96" s="57" t="str">
        <f>IF(('Mid1'!G95+'Mid2'!G95+'quiz 1'!G95+'Assignment or Proposal'!G95+'Final exam'!G95+'quiz 2'!G95+'Poster or Presentation'!G95+'practical exam or OSCE'!G95)&lt;&gt;0,'Mid1'!G95+'Mid2'!G95+'quiz 1'!G95+'Assignment or Proposal'!G95+'Final exam'!G95+'quiz 2'!G95+'Poster or Presentation'!G95+'practical exam or OSCE'!G95,"")</f>
        <v/>
      </c>
      <c r="K96" s="57" t="str">
        <f>IF(('Mid1'!H95+'Mid2'!H95+'quiz 1'!H95+'Assignment or Proposal'!H95+'Final exam'!H95+'quiz 2'!H95+'Poster or Presentation'!H95+'practical exam or OSCE'!H95)&lt;&gt;0,'Mid1'!H95+'Mid2'!H95+'quiz 1'!H95+'Assignment or Proposal'!H95+'Final exam'!H95+'quiz 2'!H95+'Poster or Presentation'!H95+'practical exam or OSCE'!H95,"")</f>
        <v/>
      </c>
      <c r="L96" s="57" t="str">
        <f>IF(('Mid1'!I95+'Mid2'!I95+'quiz 1'!I95+'Assignment or Proposal'!I95+'Final exam'!I95+'quiz 2'!I95+'Poster or Presentation'!I95+'practical exam or OSCE'!I95)&lt;&gt;0,'Mid1'!I95+'Mid2'!I95+'quiz 1'!I95+'Assignment or Proposal'!I95+'Final exam'!I95+'quiz 2'!I95+'Poster or Presentation'!I95+'practical exam or OSCE'!I95,"")</f>
        <v/>
      </c>
      <c r="M96" s="57" t="str">
        <f>IF(('Mid1'!J95+'Mid2'!J95+'quiz 1'!J95+'Assignment or Proposal'!J95+'Final exam'!J95+'quiz 2'!J95+'Poster or Presentation'!J95+'practical exam or OSCE'!J95)&lt;&gt;0,'Mid1'!J95+'Mid2'!J95+'quiz 1'!J95+'Assignment or Proposal'!J95+'Final exam'!J95+'quiz 2'!J95+'Poster or Presentation'!J95+'practical exam or OSCE'!J95,"")</f>
        <v/>
      </c>
      <c r="N96" s="5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O96" s="5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P96" s="57" t="str">
        <f>IF(('Mid1'!M95+'Mid2'!M95+'quiz 1'!M95+'Assignment or Proposal'!M95+'Final exam'!M95+'quiz 2'!M95+'Poster or Presentation'!M95+'practical exam or OSCE'!M95)&lt;&gt;0,'Mid1'!M95+'Mid2'!M95+'quiz 1'!M95+'Assignment or Proposal'!M95+'Final exam'!M95+'quiz 2'!M95+'Poster or Presentation'!M95+'practical exam or OSCE'!M95,"")</f>
        <v/>
      </c>
      <c r="Q96" s="136" t="str">
        <f t="shared" si="5"/>
        <v/>
      </c>
    </row>
    <row r="97" spans="1:17" ht="20.25" hidden="1" customHeight="1" x14ac:dyDescent="0.25">
      <c r="A97" s="24">
        <v>86</v>
      </c>
      <c r="B97" s="24" t="str">
        <f>IF(StList!B88&lt;&gt;"",StList!B88,"")</f>
        <v>Pharmaceutical sciences</v>
      </c>
      <c r="C97" s="24" t="str">
        <f>IF(StList!E88&lt;&gt;"",StList!E88,"")</f>
        <v/>
      </c>
      <c r="D97" s="24" t="str">
        <f>IF(StList!F88&lt;&gt;"",StList!F88,"")</f>
        <v/>
      </c>
      <c r="E97" s="57" t="str">
        <f>IF(('Mid1'!B96+'Mid2'!B96+'quiz 1'!B96+'Assignment or Proposal'!B96+'Final exam'!B96+'quiz 2'!B96+'Poster or Presentation'!B96+'practical exam or OSCE'!B96)&lt;&gt;0,'Mid1'!B96+'Mid2'!B96+'quiz 1'!B96+'Assignment or Proposal'!B96+'Final exam'!B96+'quiz 2'!B96+'Poster or Presentation'!B96+'practical exam or OSCE'!B96,"")</f>
        <v/>
      </c>
      <c r="F97" s="57" t="str">
        <f>IF(('Mid1'!C96+'Mid2'!C96+'quiz 1'!C96+'Assignment or Proposal'!C96+'Final exam'!C96+'quiz 2'!C96+'Poster or Presentation'!C96+'practical exam or OSCE'!C96)&lt;&gt;0,'Mid1'!C96+'Mid2'!C96+'quiz 1'!C96+'Assignment or Proposal'!C96+'Final exam'!C96+'quiz 2'!C96+'Poster or Presentation'!C96+'practical exam or OSCE'!C96,"")</f>
        <v/>
      </c>
      <c r="G97" s="57" t="str">
        <f>IF(('Mid1'!D96+'Mid2'!D96+'quiz 1'!D96+'Assignment or Proposal'!D96+'Final exam'!D96+'quiz 2'!D96+'Poster or Presentation'!D96+'practical exam or OSCE'!D96)&lt;&gt;0,'Mid1'!D96+'Mid2'!D96+'quiz 1'!D96+'Assignment or Proposal'!D96+'Final exam'!D96+'quiz 2'!D96+'Poster or Presentation'!D96+'practical exam or OSCE'!D96,"")</f>
        <v/>
      </c>
      <c r="H97" s="57" t="str">
        <f>IF(('Mid1'!E96+'Mid2'!E96+'quiz 1'!E96+'Assignment or Proposal'!E96+'Final exam'!E96+'quiz 2'!E96+'Poster or Presentation'!E96+'practical exam or OSCE'!E96)&lt;&gt;0,'Mid1'!E96+'Mid2'!E96+'quiz 1'!E96+'Assignment or Proposal'!E96+'Final exam'!E96+'quiz 2'!E96+'Poster or Presentation'!E96+'practical exam or OSCE'!E96,"")</f>
        <v/>
      </c>
      <c r="I97" s="57" t="str">
        <f>IF(('Mid1'!F96+'Mid2'!F96+'quiz 1'!F96+'Assignment or Proposal'!F96+'Final exam'!F96+'quiz 2'!F96+'Poster or Presentation'!F96+'practical exam or OSCE'!F96)&lt;&gt;0,'Mid1'!F96+'Mid2'!F96+'quiz 1'!F96+'Assignment or Proposal'!F96+'Final exam'!F96+'quiz 2'!F96+'Poster or Presentation'!F96+'practical exam or OSCE'!F96,"")</f>
        <v/>
      </c>
      <c r="J97" s="57" t="str">
        <f>IF(('Mid1'!G96+'Mid2'!G96+'quiz 1'!G96+'Assignment or Proposal'!G96+'Final exam'!G96+'quiz 2'!G96+'Poster or Presentation'!G96+'practical exam or OSCE'!G96)&lt;&gt;0,'Mid1'!G96+'Mid2'!G96+'quiz 1'!G96+'Assignment or Proposal'!G96+'Final exam'!G96+'quiz 2'!G96+'Poster or Presentation'!G96+'practical exam or OSCE'!G96,"")</f>
        <v/>
      </c>
      <c r="K97" s="57" t="str">
        <f>IF(('Mid1'!H96+'Mid2'!H96+'quiz 1'!H96+'Assignment or Proposal'!H96+'Final exam'!H96+'quiz 2'!H96+'Poster or Presentation'!H96+'practical exam or OSCE'!H96)&lt;&gt;0,'Mid1'!H96+'Mid2'!H96+'quiz 1'!H96+'Assignment or Proposal'!H96+'Final exam'!H96+'quiz 2'!H96+'Poster or Presentation'!H96+'practical exam or OSCE'!H96,"")</f>
        <v/>
      </c>
      <c r="L97" s="57" t="str">
        <f>IF(('Mid1'!I96+'Mid2'!I96+'quiz 1'!I96+'Assignment or Proposal'!I96+'Final exam'!I96+'quiz 2'!I96+'Poster or Presentation'!I96+'practical exam or OSCE'!I96)&lt;&gt;0,'Mid1'!I96+'Mid2'!I96+'quiz 1'!I96+'Assignment or Proposal'!I96+'Final exam'!I96+'quiz 2'!I96+'Poster or Presentation'!I96+'practical exam or OSCE'!I96,"")</f>
        <v/>
      </c>
      <c r="M97" s="57" t="str">
        <f>IF(('Mid1'!J96+'Mid2'!J96+'quiz 1'!J96+'Assignment or Proposal'!J96+'Final exam'!J96+'quiz 2'!J96+'Poster or Presentation'!J96+'practical exam or OSCE'!J96)&lt;&gt;0,'Mid1'!J96+'Mid2'!J96+'quiz 1'!J96+'Assignment or Proposal'!J96+'Final exam'!J96+'quiz 2'!J96+'Poster or Presentation'!J96+'practical exam or OSCE'!J96,"")</f>
        <v/>
      </c>
      <c r="N97" s="5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O97" s="5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P97" s="57" t="str">
        <f>IF(('Mid1'!M96+'Mid2'!M96+'quiz 1'!M96+'Assignment or Proposal'!M96+'Final exam'!M96+'quiz 2'!M96+'Poster or Presentation'!M96+'practical exam or OSCE'!M96)&lt;&gt;0,'Mid1'!M96+'Mid2'!M96+'quiz 1'!M96+'Assignment or Proposal'!M96+'Final exam'!M96+'quiz 2'!M96+'Poster or Presentation'!M96+'practical exam or OSCE'!M96,"")</f>
        <v/>
      </c>
      <c r="Q97" s="136" t="str">
        <f t="shared" si="5"/>
        <v/>
      </c>
    </row>
    <row r="98" spans="1:17" ht="20.25" hidden="1" customHeight="1" x14ac:dyDescent="0.25">
      <c r="A98" s="24">
        <v>87</v>
      </c>
      <c r="B98" s="24" t="str">
        <f>IF(StList!B89&lt;&gt;"",StList!B89,"")</f>
        <v>Pharmaceutical sciences</v>
      </c>
      <c r="C98" s="24" t="str">
        <f>IF(StList!E89&lt;&gt;"",StList!E89,"")</f>
        <v/>
      </c>
      <c r="D98" s="24" t="str">
        <f>IF(StList!F89&lt;&gt;"",StList!F89,"")</f>
        <v/>
      </c>
      <c r="E98" s="57" t="str">
        <f>IF(('Mid1'!B97+'Mid2'!B97+'quiz 1'!B97+'Assignment or Proposal'!B97+'Final exam'!B97+'quiz 2'!B97+'Poster or Presentation'!B97+'practical exam or OSCE'!B97)&lt;&gt;0,'Mid1'!B97+'Mid2'!B97+'quiz 1'!B97+'Assignment or Proposal'!B97+'Final exam'!B97+'quiz 2'!B97+'Poster or Presentation'!B97+'practical exam or OSCE'!B97,"")</f>
        <v/>
      </c>
      <c r="F98" s="57" t="str">
        <f>IF(('Mid1'!C97+'Mid2'!C97+'quiz 1'!C97+'Assignment or Proposal'!C97+'Final exam'!C97+'quiz 2'!C97+'Poster or Presentation'!C97+'practical exam or OSCE'!C97)&lt;&gt;0,'Mid1'!C97+'Mid2'!C97+'quiz 1'!C97+'Assignment or Proposal'!C97+'Final exam'!C97+'quiz 2'!C97+'Poster or Presentation'!C97+'practical exam or OSCE'!C97,"")</f>
        <v/>
      </c>
      <c r="G98" s="57" t="str">
        <f>IF(('Mid1'!D97+'Mid2'!D97+'quiz 1'!D97+'Assignment or Proposal'!D97+'Final exam'!D97+'quiz 2'!D97+'Poster or Presentation'!D97+'practical exam or OSCE'!D97)&lt;&gt;0,'Mid1'!D97+'Mid2'!D97+'quiz 1'!D97+'Assignment or Proposal'!D97+'Final exam'!D97+'quiz 2'!D97+'Poster or Presentation'!D97+'practical exam or OSCE'!D97,"")</f>
        <v/>
      </c>
      <c r="H98" s="57" t="str">
        <f>IF(('Mid1'!E97+'Mid2'!E97+'quiz 1'!E97+'Assignment or Proposal'!E97+'Final exam'!E97+'quiz 2'!E97+'Poster or Presentation'!E97+'practical exam or OSCE'!E97)&lt;&gt;0,'Mid1'!E97+'Mid2'!E97+'quiz 1'!E97+'Assignment or Proposal'!E97+'Final exam'!E97+'quiz 2'!E97+'Poster or Presentation'!E97+'practical exam or OSCE'!E97,"")</f>
        <v/>
      </c>
      <c r="I98" s="57" t="str">
        <f>IF(('Mid1'!F97+'Mid2'!F97+'quiz 1'!F97+'Assignment or Proposal'!F97+'Final exam'!F97+'quiz 2'!F97+'Poster or Presentation'!F97+'practical exam or OSCE'!F97)&lt;&gt;0,'Mid1'!F97+'Mid2'!F97+'quiz 1'!F97+'Assignment or Proposal'!F97+'Final exam'!F97+'quiz 2'!F97+'Poster or Presentation'!F97+'practical exam or OSCE'!F97,"")</f>
        <v/>
      </c>
      <c r="J98" s="57" t="str">
        <f>IF(('Mid1'!G97+'Mid2'!G97+'quiz 1'!G97+'Assignment or Proposal'!G97+'Final exam'!G97+'quiz 2'!G97+'Poster or Presentation'!G97+'practical exam or OSCE'!G97)&lt;&gt;0,'Mid1'!G97+'Mid2'!G97+'quiz 1'!G97+'Assignment or Proposal'!G97+'Final exam'!G97+'quiz 2'!G97+'Poster or Presentation'!G97+'practical exam or OSCE'!G97,"")</f>
        <v/>
      </c>
      <c r="K98" s="57" t="str">
        <f>IF(('Mid1'!H97+'Mid2'!H97+'quiz 1'!H97+'Assignment or Proposal'!H97+'Final exam'!H97+'quiz 2'!H97+'Poster or Presentation'!H97+'practical exam or OSCE'!H97)&lt;&gt;0,'Mid1'!H97+'Mid2'!H97+'quiz 1'!H97+'Assignment or Proposal'!H97+'Final exam'!H97+'quiz 2'!H97+'Poster or Presentation'!H97+'practical exam or OSCE'!H97,"")</f>
        <v/>
      </c>
      <c r="L98" s="57" t="str">
        <f>IF(('Mid1'!I97+'Mid2'!I97+'quiz 1'!I97+'Assignment or Proposal'!I97+'Final exam'!I97+'quiz 2'!I97+'Poster or Presentation'!I97+'practical exam or OSCE'!I97)&lt;&gt;0,'Mid1'!I97+'Mid2'!I97+'quiz 1'!I97+'Assignment or Proposal'!I97+'Final exam'!I97+'quiz 2'!I97+'Poster or Presentation'!I97+'practical exam or OSCE'!I97,"")</f>
        <v/>
      </c>
      <c r="M98" s="57" t="str">
        <f>IF(('Mid1'!J97+'Mid2'!J97+'quiz 1'!J97+'Assignment or Proposal'!J97+'Final exam'!J97+'quiz 2'!J97+'Poster or Presentation'!J97+'practical exam or OSCE'!J97)&lt;&gt;0,'Mid1'!J97+'Mid2'!J97+'quiz 1'!J97+'Assignment or Proposal'!J97+'Final exam'!J97+'quiz 2'!J97+'Poster or Presentation'!J97+'practical exam or OSCE'!J97,"")</f>
        <v/>
      </c>
      <c r="N98" s="5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O98" s="5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P98" s="57" t="str">
        <f>IF(('Mid1'!M97+'Mid2'!M97+'quiz 1'!M97+'Assignment or Proposal'!M97+'Final exam'!M97+'quiz 2'!M97+'Poster or Presentation'!M97+'practical exam or OSCE'!M97)&lt;&gt;0,'Mid1'!M97+'Mid2'!M97+'quiz 1'!M97+'Assignment or Proposal'!M97+'Final exam'!M97+'quiz 2'!M97+'Poster or Presentation'!M97+'practical exam or OSCE'!M97,"")</f>
        <v/>
      </c>
      <c r="Q98" s="136" t="str">
        <f t="shared" si="5"/>
        <v/>
      </c>
    </row>
    <row r="99" spans="1:17" ht="20.25" hidden="1" customHeight="1" x14ac:dyDescent="0.25">
      <c r="A99" s="24">
        <v>88</v>
      </c>
      <c r="B99" s="24" t="str">
        <f>IF(StList!B90&lt;&gt;"",StList!B90,"")</f>
        <v>Pharmaceutical sciences</v>
      </c>
      <c r="C99" s="24" t="str">
        <f>IF(StList!E90&lt;&gt;"",StList!E90,"")</f>
        <v/>
      </c>
      <c r="D99" s="24" t="str">
        <f>IF(StList!F90&lt;&gt;"",StList!F90,"")</f>
        <v/>
      </c>
      <c r="E99" s="57" t="str">
        <f>IF(('Mid1'!B98+'Mid2'!B98+'quiz 1'!B98+'Assignment or Proposal'!B98+'Final exam'!B98+'quiz 2'!B98+'Poster or Presentation'!B98+'practical exam or OSCE'!B98)&lt;&gt;0,'Mid1'!B98+'Mid2'!B98+'quiz 1'!B98+'Assignment or Proposal'!B98+'Final exam'!B98+'quiz 2'!B98+'Poster or Presentation'!B98+'practical exam or OSCE'!B98,"")</f>
        <v/>
      </c>
      <c r="F99" s="57" t="str">
        <f>IF(('Mid1'!C98+'Mid2'!C98+'quiz 1'!C98+'Assignment or Proposal'!C98+'Final exam'!C98+'quiz 2'!C98+'Poster or Presentation'!C98+'practical exam or OSCE'!C98)&lt;&gt;0,'Mid1'!C98+'Mid2'!C98+'quiz 1'!C98+'Assignment or Proposal'!C98+'Final exam'!C98+'quiz 2'!C98+'Poster or Presentation'!C98+'practical exam or OSCE'!C98,"")</f>
        <v/>
      </c>
      <c r="G99" s="57" t="str">
        <f>IF(('Mid1'!D98+'Mid2'!D98+'quiz 1'!D98+'Assignment or Proposal'!D98+'Final exam'!D98+'quiz 2'!D98+'Poster or Presentation'!D98+'practical exam or OSCE'!D98)&lt;&gt;0,'Mid1'!D98+'Mid2'!D98+'quiz 1'!D98+'Assignment or Proposal'!D98+'Final exam'!D98+'quiz 2'!D98+'Poster or Presentation'!D98+'practical exam or OSCE'!D98,"")</f>
        <v/>
      </c>
      <c r="H99" s="57" t="str">
        <f>IF(('Mid1'!E98+'Mid2'!E98+'quiz 1'!E98+'Assignment or Proposal'!E98+'Final exam'!E98+'quiz 2'!E98+'Poster or Presentation'!E98+'practical exam or OSCE'!E98)&lt;&gt;0,'Mid1'!E98+'Mid2'!E98+'quiz 1'!E98+'Assignment or Proposal'!E98+'Final exam'!E98+'quiz 2'!E98+'Poster or Presentation'!E98+'practical exam or OSCE'!E98,"")</f>
        <v/>
      </c>
      <c r="I99" s="57" t="str">
        <f>IF(('Mid1'!F98+'Mid2'!F98+'quiz 1'!F98+'Assignment or Proposal'!F98+'Final exam'!F98+'quiz 2'!F98+'Poster or Presentation'!F98+'practical exam or OSCE'!F98)&lt;&gt;0,'Mid1'!F98+'Mid2'!F98+'quiz 1'!F98+'Assignment or Proposal'!F98+'Final exam'!F98+'quiz 2'!F98+'Poster or Presentation'!F98+'practical exam or OSCE'!F98,"")</f>
        <v/>
      </c>
      <c r="J99" s="57" t="str">
        <f>IF(('Mid1'!G98+'Mid2'!G98+'quiz 1'!G98+'Assignment or Proposal'!G98+'Final exam'!G98+'quiz 2'!G98+'Poster or Presentation'!G98+'practical exam or OSCE'!G98)&lt;&gt;0,'Mid1'!G98+'Mid2'!G98+'quiz 1'!G98+'Assignment or Proposal'!G98+'Final exam'!G98+'quiz 2'!G98+'Poster or Presentation'!G98+'practical exam or OSCE'!G98,"")</f>
        <v/>
      </c>
      <c r="K99" s="57" t="str">
        <f>IF(('Mid1'!H98+'Mid2'!H98+'quiz 1'!H98+'Assignment or Proposal'!H98+'Final exam'!H98+'quiz 2'!H98+'Poster or Presentation'!H98+'practical exam or OSCE'!H98)&lt;&gt;0,'Mid1'!H98+'Mid2'!H98+'quiz 1'!H98+'Assignment or Proposal'!H98+'Final exam'!H98+'quiz 2'!H98+'Poster or Presentation'!H98+'practical exam or OSCE'!H98,"")</f>
        <v/>
      </c>
      <c r="L99" s="57" t="str">
        <f>IF(('Mid1'!I98+'Mid2'!I98+'quiz 1'!I98+'Assignment or Proposal'!I98+'Final exam'!I98+'quiz 2'!I98+'Poster or Presentation'!I98+'practical exam or OSCE'!I98)&lt;&gt;0,'Mid1'!I98+'Mid2'!I98+'quiz 1'!I98+'Assignment or Proposal'!I98+'Final exam'!I98+'quiz 2'!I98+'Poster or Presentation'!I98+'practical exam or OSCE'!I98,"")</f>
        <v/>
      </c>
      <c r="M99" s="57" t="str">
        <f>IF(('Mid1'!J98+'Mid2'!J98+'quiz 1'!J98+'Assignment or Proposal'!J98+'Final exam'!J98+'quiz 2'!J98+'Poster or Presentation'!J98+'practical exam or OSCE'!J98)&lt;&gt;0,'Mid1'!J98+'Mid2'!J98+'quiz 1'!J98+'Assignment or Proposal'!J98+'Final exam'!J98+'quiz 2'!J98+'Poster or Presentation'!J98+'practical exam or OSCE'!J98,"")</f>
        <v/>
      </c>
      <c r="N99" s="5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O99" s="5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P99" s="57" t="str">
        <f>IF(('Mid1'!M98+'Mid2'!M98+'quiz 1'!M98+'Assignment or Proposal'!M98+'Final exam'!M98+'quiz 2'!M98+'Poster or Presentation'!M98+'practical exam or OSCE'!M98)&lt;&gt;0,'Mid1'!M98+'Mid2'!M98+'quiz 1'!M98+'Assignment or Proposal'!M98+'Final exam'!M98+'quiz 2'!M98+'Poster or Presentation'!M98+'practical exam or OSCE'!M98,"")</f>
        <v/>
      </c>
      <c r="Q99" s="136" t="str">
        <f t="shared" si="5"/>
        <v/>
      </c>
    </row>
    <row r="100" spans="1:17" ht="20.25" hidden="1" customHeight="1" x14ac:dyDescent="0.25">
      <c r="A100" s="24">
        <v>89</v>
      </c>
      <c r="B100" s="24" t="str">
        <f>IF(StList!B91&lt;&gt;"",StList!B91,"")</f>
        <v>Pharmaceutical sciences</v>
      </c>
      <c r="C100" s="24" t="str">
        <f>IF(StList!E91&lt;&gt;"",StList!E91,"")</f>
        <v/>
      </c>
      <c r="D100" s="24" t="str">
        <f>IF(StList!F91&lt;&gt;"",StList!F91,"")</f>
        <v/>
      </c>
      <c r="E100" s="57" t="str">
        <f>IF(('Mid1'!B99+'Mid2'!B99+'quiz 1'!B99+'Assignment or Proposal'!B99+'Final exam'!B99+'quiz 2'!B99+'Poster or Presentation'!B99+'practical exam or OSCE'!B99)&lt;&gt;0,'Mid1'!B99+'Mid2'!B99+'quiz 1'!B99+'Assignment or Proposal'!B99+'Final exam'!B99+'quiz 2'!B99+'Poster or Presentation'!B99+'practical exam or OSCE'!B99,"")</f>
        <v/>
      </c>
      <c r="F100" s="57" t="str">
        <f>IF(('Mid1'!C99+'Mid2'!C99+'quiz 1'!C99+'Assignment or Proposal'!C99+'Final exam'!C99+'quiz 2'!C99+'Poster or Presentation'!C99+'practical exam or OSCE'!C99)&lt;&gt;0,'Mid1'!C99+'Mid2'!C99+'quiz 1'!C99+'Assignment or Proposal'!C99+'Final exam'!C99+'quiz 2'!C99+'Poster or Presentation'!C99+'practical exam or OSCE'!C99,"")</f>
        <v/>
      </c>
      <c r="G100" s="57" t="str">
        <f>IF(('Mid1'!D99+'Mid2'!D99+'quiz 1'!D99+'Assignment or Proposal'!D99+'Final exam'!D99+'quiz 2'!D99+'Poster or Presentation'!D99+'practical exam or OSCE'!D99)&lt;&gt;0,'Mid1'!D99+'Mid2'!D99+'quiz 1'!D99+'Assignment or Proposal'!D99+'Final exam'!D99+'quiz 2'!D99+'Poster or Presentation'!D99+'practical exam or OSCE'!D99,"")</f>
        <v/>
      </c>
      <c r="H100" s="57" t="str">
        <f>IF(('Mid1'!E99+'Mid2'!E99+'quiz 1'!E99+'Assignment or Proposal'!E99+'Final exam'!E99+'quiz 2'!E99+'Poster or Presentation'!E99+'practical exam or OSCE'!E99)&lt;&gt;0,'Mid1'!E99+'Mid2'!E99+'quiz 1'!E99+'Assignment or Proposal'!E99+'Final exam'!E99+'quiz 2'!E99+'Poster or Presentation'!E99+'practical exam or OSCE'!E99,"")</f>
        <v/>
      </c>
      <c r="I100" s="57" t="str">
        <f>IF(('Mid1'!F99+'Mid2'!F99+'quiz 1'!F99+'Assignment or Proposal'!F99+'Final exam'!F99+'quiz 2'!F99+'Poster or Presentation'!F99+'practical exam or OSCE'!F99)&lt;&gt;0,'Mid1'!F99+'Mid2'!F99+'quiz 1'!F99+'Assignment or Proposal'!F99+'Final exam'!F99+'quiz 2'!F99+'Poster or Presentation'!F99+'practical exam or OSCE'!F99,"")</f>
        <v/>
      </c>
      <c r="J100" s="57" t="str">
        <f>IF(('Mid1'!G99+'Mid2'!G99+'quiz 1'!G99+'Assignment or Proposal'!G99+'Final exam'!G99+'quiz 2'!G99+'Poster or Presentation'!G99+'practical exam or OSCE'!G99)&lt;&gt;0,'Mid1'!G99+'Mid2'!G99+'quiz 1'!G99+'Assignment or Proposal'!G99+'Final exam'!G99+'quiz 2'!G99+'Poster or Presentation'!G99+'practical exam or OSCE'!G99,"")</f>
        <v/>
      </c>
      <c r="K100" s="57" t="str">
        <f>IF(('Mid1'!H99+'Mid2'!H99+'quiz 1'!H99+'Assignment or Proposal'!H99+'Final exam'!H99+'quiz 2'!H99+'Poster or Presentation'!H99+'practical exam or OSCE'!H99)&lt;&gt;0,'Mid1'!H99+'Mid2'!H99+'quiz 1'!H99+'Assignment or Proposal'!H99+'Final exam'!H99+'quiz 2'!H99+'Poster or Presentation'!H99+'practical exam or OSCE'!H99,"")</f>
        <v/>
      </c>
      <c r="L100" s="57" t="str">
        <f>IF(('Mid1'!I99+'Mid2'!I99+'quiz 1'!I99+'Assignment or Proposal'!I99+'Final exam'!I99+'quiz 2'!I99+'Poster or Presentation'!I99+'practical exam or OSCE'!I99)&lt;&gt;0,'Mid1'!I99+'Mid2'!I99+'quiz 1'!I99+'Assignment or Proposal'!I99+'Final exam'!I99+'quiz 2'!I99+'Poster or Presentation'!I99+'practical exam or OSCE'!I99,"")</f>
        <v/>
      </c>
      <c r="M100" s="57" t="str">
        <f>IF(('Mid1'!J99+'Mid2'!J99+'quiz 1'!J99+'Assignment or Proposal'!J99+'Final exam'!J99+'quiz 2'!J99+'Poster or Presentation'!J99+'practical exam or OSCE'!J99)&lt;&gt;0,'Mid1'!J99+'Mid2'!J99+'quiz 1'!J99+'Assignment or Proposal'!J99+'Final exam'!J99+'quiz 2'!J99+'Poster or Presentation'!J99+'practical exam or OSCE'!J99,"")</f>
        <v/>
      </c>
      <c r="N100" s="5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O100" s="5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P100" s="57" t="str">
        <f>IF(('Mid1'!M99+'Mid2'!M99+'quiz 1'!M99+'Assignment or Proposal'!M99+'Final exam'!M99+'quiz 2'!M99+'Poster or Presentation'!M99+'practical exam or OSCE'!M99)&lt;&gt;0,'Mid1'!M99+'Mid2'!M99+'quiz 1'!M99+'Assignment or Proposal'!M99+'Final exam'!M99+'quiz 2'!M99+'Poster or Presentation'!M99+'practical exam or OSCE'!M99,"")</f>
        <v/>
      </c>
      <c r="Q100" s="136" t="str">
        <f t="shared" si="5"/>
        <v/>
      </c>
    </row>
    <row r="101" spans="1:17" ht="20.25" hidden="1" customHeight="1" x14ac:dyDescent="0.25">
      <c r="A101" s="24">
        <v>90</v>
      </c>
      <c r="B101" s="24" t="str">
        <f>IF(StList!B92&lt;&gt;"",StList!B92,"")</f>
        <v>Pharmaceutical sciences</v>
      </c>
      <c r="C101" s="24" t="str">
        <f>IF(StList!E92&lt;&gt;"",StList!E92,"")</f>
        <v/>
      </c>
      <c r="D101" s="24" t="str">
        <f>IF(StList!F92&lt;&gt;"",StList!F92,"")</f>
        <v/>
      </c>
      <c r="E101" s="57" t="str">
        <f>IF(('Mid1'!B100+'Mid2'!B100+'quiz 1'!B100+'Assignment or Proposal'!B100+'Final exam'!B100+'quiz 2'!B100+'Poster or Presentation'!B100+'practical exam or OSCE'!B100)&lt;&gt;0,'Mid1'!B100+'Mid2'!B100+'quiz 1'!B100+'Assignment or Proposal'!B100+'Final exam'!B100+'quiz 2'!B100+'Poster or Presentation'!B100+'practical exam or OSCE'!B100,"")</f>
        <v/>
      </c>
      <c r="F101" s="57" t="str">
        <f>IF(('Mid1'!C100+'Mid2'!C100+'quiz 1'!C100+'Assignment or Proposal'!C100+'Final exam'!C100+'quiz 2'!C100+'Poster or Presentation'!C100+'practical exam or OSCE'!C100)&lt;&gt;0,'Mid1'!C100+'Mid2'!C100+'quiz 1'!C100+'Assignment or Proposal'!C100+'Final exam'!C100+'quiz 2'!C100+'Poster or Presentation'!C100+'practical exam or OSCE'!C100,"")</f>
        <v/>
      </c>
      <c r="G101" s="57" t="str">
        <f>IF(('Mid1'!D100+'Mid2'!D100+'quiz 1'!D100+'Assignment or Proposal'!D100+'Final exam'!D100+'quiz 2'!D100+'Poster or Presentation'!D100+'practical exam or OSCE'!D100)&lt;&gt;0,'Mid1'!D100+'Mid2'!D100+'quiz 1'!D100+'Assignment or Proposal'!D100+'Final exam'!D100+'quiz 2'!D100+'Poster or Presentation'!D100+'practical exam or OSCE'!D100,"")</f>
        <v/>
      </c>
      <c r="H101" s="57" t="str">
        <f>IF(('Mid1'!E100+'Mid2'!E100+'quiz 1'!E100+'Assignment or Proposal'!E100+'Final exam'!E100+'quiz 2'!E100+'Poster or Presentation'!E100+'practical exam or OSCE'!E100)&lt;&gt;0,'Mid1'!E100+'Mid2'!E100+'quiz 1'!E100+'Assignment or Proposal'!E100+'Final exam'!E100+'quiz 2'!E100+'Poster or Presentation'!E100+'practical exam or OSCE'!E100,"")</f>
        <v/>
      </c>
      <c r="I101" s="57" t="str">
        <f>IF(('Mid1'!F100+'Mid2'!F100+'quiz 1'!F100+'Assignment or Proposal'!F100+'Final exam'!F100+'quiz 2'!F100+'Poster or Presentation'!F100+'practical exam or OSCE'!F100)&lt;&gt;0,'Mid1'!F100+'Mid2'!F100+'quiz 1'!F100+'Assignment or Proposal'!F100+'Final exam'!F100+'quiz 2'!F100+'Poster or Presentation'!F100+'practical exam or OSCE'!F100,"")</f>
        <v/>
      </c>
      <c r="J101" s="57" t="str">
        <f>IF(('Mid1'!G100+'Mid2'!G100+'quiz 1'!G100+'Assignment or Proposal'!G100+'Final exam'!G100+'quiz 2'!G100+'Poster or Presentation'!G100+'practical exam or OSCE'!G100)&lt;&gt;0,'Mid1'!G100+'Mid2'!G100+'quiz 1'!G100+'Assignment or Proposal'!G100+'Final exam'!G100+'quiz 2'!G100+'Poster or Presentation'!G100+'practical exam or OSCE'!G100,"")</f>
        <v/>
      </c>
      <c r="K101" s="57" t="str">
        <f>IF(('Mid1'!H100+'Mid2'!H100+'quiz 1'!H100+'Assignment or Proposal'!H100+'Final exam'!H100+'quiz 2'!H100+'Poster or Presentation'!H100+'practical exam or OSCE'!H100)&lt;&gt;0,'Mid1'!H100+'Mid2'!H100+'quiz 1'!H100+'Assignment or Proposal'!H100+'Final exam'!H100+'quiz 2'!H100+'Poster or Presentation'!H100+'practical exam or OSCE'!H100,"")</f>
        <v/>
      </c>
      <c r="L101" s="57" t="str">
        <f>IF(('Mid1'!I100+'Mid2'!I100+'quiz 1'!I100+'Assignment or Proposal'!I100+'Final exam'!I100+'quiz 2'!I100+'Poster or Presentation'!I100+'practical exam or OSCE'!I100)&lt;&gt;0,'Mid1'!I100+'Mid2'!I100+'quiz 1'!I100+'Assignment or Proposal'!I100+'Final exam'!I100+'quiz 2'!I100+'Poster or Presentation'!I100+'practical exam or OSCE'!I100,"")</f>
        <v/>
      </c>
      <c r="M101" s="57" t="str">
        <f>IF(('Mid1'!J100+'Mid2'!J100+'quiz 1'!J100+'Assignment or Proposal'!J100+'Final exam'!J100+'quiz 2'!J100+'Poster or Presentation'!J100+'practical exam or OSCE'!J100)&lt;&gt;0,'Mid1'!J100+'Mid2'!J100+'quiz 1'!J100+'Assignment or Proposal'!J100+'Final exam'!J100+'quiz 2'!J100+'Poster or Presentation'!J100+'practical exam or OSCE'!J100,"")</f>
        <v/>
      </c>
      <c r="N101" s="5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O101" s="5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P101" s="57" t="str">
        <f>IF(('Mid1'!M100+'Mid2'!M100+'quiz 1'!M100+'Assignment or Proposal'!M100+'Final exam'!M100+'quiz 2'!M100+'Poster or Presentation'!M100+'practical exam or OSCE'!M100)&lt;&gt;0,'Mid1'!M100+'Mid2'!M100+'quiz 1'!M100+'Assignment or Proposal'!M100+'Final exam'!M100+'quiz 2'!M100+'Poster or Presentation'!M100+'practical exam or OSCE'!M100,"")</f>
        <v/>
      </c>
      <c r="Q101" s="136" t="str">
        <f t="shared" si="5"/>
        <v/>
      </c>
    </row>
    <row r="102" spans="1:17" ht="20.25" hidden="1" customHeight="1" x14ac:dyDescent="0.25">
      <c r="A102" s="24">
        <v>91</v>
      </c>
      <c r="B102" s="24" t="str">
        <f>IF(StList!B93&lt;&gt;"",StList!B93,"")</f>
        <v>Pharmaceutical sciences</v>
      </c>
      <c r="C102" s="24" t="str">
        <f>IF(StList!E93&lt;&gt;"",StList!E93,"")</f>
        <v/>
      </c>
      <c r="D102" s="24" t="str">
        <f>IF(StList!F93&lt;&gt;"",StList!F93,"")</f>
        <v/>
      </c>
      <c r="E102" s="57" t="str">
        <f>IF(('Mid1'!B101+'Mid2'!B101+'quiz 1'!B101+'Assignment or Proposal'!B101+'Final exam'!B101+'quiz 2'!B101+'Poster or Presentation'!B101+'practical exam or OSCE'!B101)&lt;&gt;0,'Mid1'!B101+'Mid2'!B101+'quiz 1'!B101+'Assignment or Proposal'!B101+'Final exam'!B101+'quiz 2'!B101+'Poster or Presentation'!B101+'practical exam or OSCE'!B101,"")</f>
        <v/>
      </c>
      <c r="F102" s="57" t="str">
        <f>IF(('Mid1'!C101+'Mid2'!C101+'quiz 1'!C101+'Assignment or Proposal'!C101+'Final exam'!C101+'quiz 2'!C101+'Poster or Presentation'!C101+'practical exam or OSCE'!C101)&lt;&gt;0,'Mid1'!C101+'Mid2'!C101+'quiz 1'!C101+'Assignment or Proposal'!C101+'Final exam'!C101+'quiz 2'!C101+'Poster or Presentation'!C101+'practical exam or OSCE'!C101,"")</f>
        <v/>
      </c>
      <c r="G102" s="57" t="str">
        <f>IF(('Mid1'!D101+'Mid2'!D101+'quiz 1'!D101+'Assignment or Proposal'!D101+'Final exam'!D101+'quiz 2'!D101+'Poster or Presentation'!D101+'practical exam or OSCE'!D101)&lt;&gt;0,'Mid1'!D101+'Mid2'!D101+'quiz 1'!D101+'Assignment or Proposal'!D101+'Final exam'!D101+'quiz 2'!D101+'Poster or Presentation'!D101+'practical exam or OSCE'!D101,"")</f>
        <v/>
      </c>
      <c r="H102" s="57" t="str">
        <f>IF(('Mid1'!E101+'Mid2'!E101+'quiz 1'!E101+'Assignment or Proposal'!E101+'Final exam'!E101+'quiz 2'!E101+'Poster or Presentation'!E101+'practical exam or OSCE'!E101)&lt;&gt;0,'Mid1'!E101+'Mid2'!E101+'quiz 1'!E101+'Assignment or Proposal'!E101+'Final exam'!E101+'quiz 2'!E101+'Poster or Presentation'!E101+'practical exam or OSCE'!E101,"")</f>
        <v/>
      </c>
      <c r="I102" s="57" t="str">
        <f>IF(('Mid1'!F101+'Mid2'!F101+'quiz 1'!F101+'Assignment or Proposal'!F101+'Final exam'!F101+'quiz 2'!F101+'Poster or Presentation'!F101+'practical exam or OSCE'!F101)&lt;&gt;0,'Mid1'!F101+'Mid2'!F101+'quiz 1'!F101+'Assignment or Proposal'!F101+'Final exam'!F101+'quiz 2'!F101+'Poster or Presentation'!F101+'practical exam or OSCE'!F101,"")</f>
        <v/>
      </c>
      <c r="J102" s="57" t="str">
        <f>IF(('Mid1'!G101+'Mid2'!G101+'quiz 1'!G101+'Assignment or Proposal'!G101+'Final exam'!G101+'quiz 2'!G101+'Poster or Presentation'!G101+'practical exam or OSCE'!G101)&lt;&gt;0,'Mid1'!G101+'Mid2'!G101+'quiz 1'!G101+'Assignment or Proposal'!G101+'Final exam'!G101+'quiz 2'!G101+'Poster or Presentation'!G101+'practical exam or OSCE'!G101,"")</f>
        <v/>
      </c>
      <c r="K102" s="57" t="str">
        <f>IF(('Mid1'!H101+'Mid2'!H101+'quiz 1'!H101+'Assignment or Proposal'!H101+'Final exam'!H101+'quiz 2'!H101+'Poster or Presentation'!H101+'practical exam or OSCE'!H101)&lt;&gt;0,'Mid1'!H101+'Mid2'!H101+'quiz 1'!H101+'Assignment or Proposal'!H101+'Final exam'!H101+'quiz 2'!H101+'Poster or Presentation'!H101+'practical exam or OSCE'!H101,"")</f>
        <v/>
      </c>
      <c r="L102" s="57" t="str">
        <f>IF(('Mid1'!I101+'Mid2'!I101+'quiz 1'!I101+'Assignment or Proposal'!I101+'Final exam'!I101+'quiz 2'!I101+'Poster or Presentation'!I101+'practical exam or OSCE'!I101)&lt;&gt;0,'Mid1'!I101+'Mid2'!I101+'quiz 1'!I101+'Assignment or Proposal'!I101+'Final exam'!I101+'quiz 2'!I101+'Poster or Presentation'!I101+'practical exam or OSCE'!I101,"")</f>
        <v/>
      </c>
      <c r="M102" s="57" t="str">
        <f>IF(('Mid1'!J101+'Mid2'!J101+'quiz 1'!J101+'Assignment or Proposal'!J101+'Final exam'!J101+'quiz 2'!J101+'Poster or Presentation'!J101+'practical exam or OSCE'!J101)&lt;&gt;0,'Mid1'!J101+'Mid2'!J101+'quiz 1'!J101+'Assignment or Proposal'!J101+'Final exam'!J101+'quiz 2'!J101+'Poster or Presentation'!J101+'practical exam or OSCE'!J101,"")</f>
        <v/>
      </c>
      <c r="N102" s="5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O102" s="5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P102" s="57" t="str">
        <f>IF(('Mid1'!M101+'Mid2'!M101+'quiz 1'!M101+'Assignment or Proposal'!M101+'Final exam'!M101+'quiz 2'!M101+'Poster or Presentation'!M101+'practical exam or OSCE'!M101)&lt;&gt;0,'Mid1'!M101+'Mid2'!M101+'quiz 1'!M101+'Assignment or Proposal'!M101+'Final exam'!M101+'quiz 2'!M101+'Poster or Presentation'!M101+'practical exam or OSCE'!M101,"")</f>
        <v/>
      </c>
      <c r="Q102" s="136" t="str">
        <f t="shared" si="5"/>
        <v/>
      </c>
    </row>
    <row r="103" spans="1:17" ht="20.25" hidden="1" customHeight="1" x14ac:dyDescent="0.25">
      <c r="A103" s="24">
        <v>92</v>
      </c>
      <c r="B103" s="24" t="str">
        <f>IF(StList!B94&lt;&gt;"",StList!B94,"")</f>
        <v>Pharmaceutical sciences</v>
      </c>
      <c r="C103" s="24" t="str">
        <f>IF(StList!E94&lt;&gt;"",StList!E94,"")</f>
        <v/>
      </c>
      <c r="D103" s="24" t="str">
        <f>IF(StList!F94&lt;&gt;"",StList!F94,"")</f>
        <v/>
      </c>
      <c r="E103" s="57" t="str">
        <f>IF(('Mid1'!B102+'Mid2'!B102+'quiz 1'!B102+'Assignment or Proposal'!B102+'Final exam'!B102+'quiz 2'!B102+'Poster or Presentation'!B102+'practical exam or OSCE'!B102)&lt;&gt;0,'Mid1'!B102+'Mid2'!B102+'quiz 1'!B102+'Assignment or Proposal'!B102+'Final exam'!B102+'quiz 2'!B102+'Poster or Presentation'!B102+'practical exam or OSCE'!B102,"")</f>
        <v/>
      </c>
      <c r="F103" s="57" t="str">
        <f>IF(('Mid1'!C102+'Mid2'!C102+'quiz 1'!C102+'Assignment or Proposal'!C102+'Final exam'!C102+'quiz 2'!C102+'Poster or Presentation'!C102+'practical exam or OSCE'!C102)&lt;&gt;0,'Mid1'!C102+'Mid2'!C102+'quiz 1'!C102+'Assignment or Proposal'!C102+'Final exam'!C102+'quiz 2'!C102+'Poster or Presentation'!C102+'practical exam or OSCE'!C102,"")</f>
        <v/>
      </c>
      <c r="G103" s="57" t="str">
        <f>IF(('Mid1'!D102+'Mid2'!D102+'quiz 1'!D102+'Assignment or Proposal'!D102+'Final exam'!D102+'quiz 2'!D102+'Poster or Presentation'!D102+'practical exam or OSCE'!D102)&lt;&gt;0,'Mid1'!D102+'Mid2'!D102+'quiz 1'!D102+'Assignment or Proposal'!D102+'Final exam'!D102+'quiz 2'!D102+'Poster or Presentation'!D102+'practical exam or OSCE'!D102,"")</f>
        <v/>
      </c>
      <c r="H103" s="57" t="str">
        <f>IF(('Mid1'!E102+'Mid2'!E102+'quiz 1'!E102+'Assignment or Proposal'!E102+'Final exam'!E102+'quiz 2'!E102+'Poster or Presentation'!E102+'practical exam or OSCE'!E102)&lt;&gt;0,'Mid1'!E102+'Mid2'!E102+'quiz 1'!E102+'Assignment or Proposal'!E102+'Final exam'!E102+'quiz 2'!E102+'Poster or Presentation'!E102+'practical exam or OSCE'!E102,"")</f>
        <v/>
      </c>
      <c r="I103" s="57" t="str">
        <f>IF(('Mid1'!F102+'Mid2'!F102+'quiz 1'!F102+'Assignment or Proposal'!F102+'Final exam'!F102+'quiz 2'!F102+'Poster or Presentation'!F102+'practical exam or OSCE'!F102)&lt;&gt;0,'Mid1'!F102+'Mid2'!F102+'quiz 1'!F102+'Assignment or Proposal'!F102+'Final exam'!F102+'quiz 2'!F102+'Poster or Presentation'!F102+'practical exam or OSCE'!F102,"")</f>
        <v/>
      </c>
      <c r="J103" s="57" t="str">
        <f>IF(('Mid1'!G102+'Mid2'!G102+'quiz 1'!G102+'Assignment or Proposal'!G102+'Final exam'!G102+'quiz 2'!G102+'Poster or Presentation'!G102+'practical exam or OSCE'!G102)&lt;&gt;0,'Mid1'!G102+'Mid2'!G102+'quiz 1'!G102+'Assignment or Proposal'!G102+'Final exam'!G102+'quiz 2'!G102+'Poster or Presentation'!G102+'practical exam or OSCE'!G102,"")</f>
        <v/>
      </c>
      <c r="K103" s="57" t="str">
        <f>IF(('Mid1'!H102+'Mid2'!H102+'quiz 1'!H102+'Assignment or Proposal'!H102+'Final exam'!H102+'quiz 2'!H102+'Poster or Presentation'!H102+'practical exam or OSCE'!H102)&lt;&gt;0,'Mid1'!H102+'Mid2'!H102+'quiz 1'!H102+'Assignment or Proposal'!H102+'Final exam'!H102+'quiz 2'!H102+'Poster or Presentation'!H102+'practical exam or OSCE'!H102,"")</f>
        <v/>
      </c>
      <c r="L103" s="57" t="str">
        <f>IF(('Mid1'!I102+'Mid2'!I102+'quiz 1'!I102+'Assignment or Proposal'!I102+'Final exam'!I102+'quiz 2'!I102+'Poster or Presentation'!I102+'practical exam or OSCE'!I102)&lt;&gt;0,'Mid1'!I102+'Mid2'!I102+'quiz 1'!I102+'Assignment or Proposal'!I102+'Final exam'!I102+'quiz 2'!I102+'Poster or Presentation'!I102+'practical exam or OSCE'!I102,"")</f>
        <v/>
      </c>
      <c r="M103" s="57" t="str">
        <f>IF(('Mid1'!J102+'Mid2'!J102+'quiz 1'!J102+'Assignment or Proposal'!J102+'Final exam'!J102+'quiz 2'!J102+'Poster or Presentation'!J102+'practical exam or OSCE'!J102)&lt;&gt;0,'Mid1'!J102+'Mid2'!J102+'quiz 1'!J102+'Assignment or Proposal'!J102+'Final exam'!J102+'quiz 2'!J102+'Poster or Presentation'!J102+'practical exam or OSCE'!J102,"")</f>
        <v/>
      </c>
      <c r="N103" s="5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O103" s="5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P103" s="57" t="str">
        <f>IF(('Mid1'!M102+'Mid2'!M102+'quiz 1'!M102+'Assignment or Proposal'!M102+'Final exam'!M102+'quiz 2'!M102+'Poster or Presentation'!M102+'practical exam or OSCE'!M102)&lt;&gt;0,'Mid1'!M102+'Mid2'!M102+'quiz 1'!M102+'Assignment or Proposal'!M102+'Final exam'!M102+'quiz 2'!M102+'Poster or Presentation'!M102+'practical exam or OSCE'!M102,"")</f>
        <v/>
      </c>
      <c r="Q103" s="136" t="str">
        <f t="shared" si="5"/>
        <v/>
      </c>
    </row>
    <row r="104" spans="1:17" ht="20.25" hidden="1" customHeight="1" x14ac:dyDescent="0.25">
      <c r="A104" s="24">
        <v>93</v>
      </c>
      <c r="B104" s="24" t="str">
        <f>IF(StList!B95&lt;&gt;"",StList!B95,"")</f>
        <v>Pharmaceutical sciences</v>
      </c>
      <c r="C104" s="24" t="str">
        <f>IF(StList!E95&lt;&gt;"",StList!E95,"")</f>
        <v/>
      </c>
      <c r="D104" s="24" t="str">
        <f>IF(StList!F95&lt;&gt;"",StList!F95,"")</f>
        <v/>
      </c>
      <c r="E104" s="57" t="str">
        <f>IF(('Mid1'!B103+'Mid2'!B103+'quiz 1'!B103+'Assignment or Proposal'!B103+'Final exam'!B103+'quiz 2'!B103+'Poster or Presentation'!B103+'practical exam or OSCE'!B103)&lt;&gt;0,'Mid1'!B103+'Mid2'!B103+'quiz 1'!B103+'Assignment or Proposal'!B103+'Final exam'!B103+'quiz 2'!B103+'Poster or Presentation'!B103+'practical exam or OSCE'!B103,"")</f>
        <v/>
      </c>
      <c r="F104" s="57" t="str">
        <f>IF(('Mid1'!C103+'Mid2'!C103+'quiz 1'!C103+'Assignment or Proposal'!C103+'Final exam'!C103+'quiz 2'!C103+'Poster or Presentation'!C103+'practical exam or OSCE'!C103)&lt;&gt;0,'Mid1'!C103+'Mid2'!C103+'quiz 1'!C103+'Assignment or Proposal'!C103+'Final exam'!C103+'quiz 2'!C103+'Poster or Presentation'!C103+'practical exam or OSCE'!C103,"")</f>
        <v/>
      </c>
      <c r="G104" s="57" t="str">
        <f>IF(('Mid1'!D103+'Mid2'!D103+'quiz 1'!D103+'Assignment or Proposal'!D103+'Final exam'!D103+'quiz 2'!D103+'Poster or Presentation'!D103+'practical exam or OSCE'!D103)&lt;&gt;0,'Mid1'!D103+'Mid2'!D103+'quiz 1'!D103+'Assignment or Proposal'!D103+'Final exam'!D103+'quiz 2'!D103+'Poster or Presentation'!D103+'practical exam or OSCE'!D103,"")</f>
        <v/>
      </c>
      <c r="H104" s="57" t="str">
        <f>IF(('Mid1'!E103+'Mid2'!E103+'quiz 1'!E103+'Assignment or Proposal'!E103+'Final exam'!E103+'quiz 2'!E103+'Poster or Presentation'!E103+'practical exam or OSCE'!E103)&lt;&gt;0,'Mid1'!E103+'Mid2'!E103+'quiz 1'!E103+'Assignment or Proposal'!E103+'Final exam'!E103+'quiz 2'!E103+'Poster or Presentation'!E103+'practical exam or OSCE'!E103,"")</f>
        <v/>
      </c>
      <c r="I104" s="57" t="str">
        <f>IF(('Mid1'!F103+'Mid2'!F103+'quiz 1'!F103+'Assignment or Proposal'!F103+'Final exam'!F103+'quiz 2'!F103+'Poster or Presentation'!F103+'practical exam or OSCE'!F103)&lt;&gt;0,'Mid1'!F103+'Mid2'!F103+'quiz 1'!F103+'Assignment or Proposal'!F103+'Final exam'!F103+'quiz 2'!F103+'Poster or Presentation'!F103+'practical exam or OSCE'!F103,"")</f>
        <v/>
      </c>
      <c r="J104" s="57" t="str">
        <f>IF(('Mid1'!G103+'Mid2'!G103+'quiz 1'!G103+'Assignment or Proposal'!G103+'Final exam'!G103+'quiz 2'!G103+'Poster or Presentation'!G103+'practical exam or OSCE'!G103)&lt;&gt;0,'Mid1'!G103+'Mid2'!G103+'quiz 1'!G103+'Assignment or Proposal'!G103+'Final exam'!G103+'quiz 2'!G103+'Poster or Presentation'!G103+'practical exam or OSCE'!G103,"")</f>
        <v/>
      </c>
      <c r="K104" s="57" t="str">
        <f>IF(('Mid1'!H103+'Mid2'!H103+'quiz 1'!H103+'Assignment or Proposal'!H103+'Final exam'!H103+'quiz 2'!H103+'Poster or Presentation'!H103+'practical exam or OSCE'!H103)&lt;&gt;0,'Mid1'!H103+'Mid2'!H103+'quiz 1'!H103+'Assignment or Proposal'!H103+'Final exam'!H103+'quiz 2'!H103+'Poster or Presentation'!H103+'practical exam or OSCE'!H103,"")</f>
        <v/>
      </c>
      <c r="L104" s="57" t="str">
        <f>IF(('Mid1'!I103+'Mid2'!I103+'quiz 1'!I103+'Assignment or Proposal'!I103+'Final exam'!I103+'quiz 2'!I103+'Poster or Presentation'!I103+'practical exam or OSCE'!I103)&lt;&gt;0,'Mid1'!I103+'Mid2'!I103+'quiz 1'!I103+'Assignment or Proposal'!I103+'Final exam'!I103+'quiz 2'!I103+'Poster or Presentation'!I103+'practical exam or OSCE'!I103,"")</f>
        <v/>
      </c>
      <c r="M104" s="57" t="str">
        <f>IF(('Mid1'!J103+'Mid2'!J103+'quiz 1'!J103+'Assignment or Proposal'!J103+'Final exam'!J103+'quiz 2'!J103+'Poster or Presentation'!J103+'practical exam or OSCE'!J103)&lt;&gt;0,'Mid1'!J103+'Mid2'!J103+'quiz 1'!J103+'Assignment or Proposal'!J103+'Final exam'!J103+'quiz 2'!J103+'Poster or Presentation'!J103+'practical exam or OSCE'!J103,"")</f>
        <v/>
      </c>
      <c r="N104" s="5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O104" s="5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P104" s="57" t="str">
        <f>IF(('Mid1'!M103+'Mid2'!M103+'quiz 1'!M103+'Assignment or Proposal'!M103+'Final exam'!M103+'quiz 2'!M103+'Poster or Presentation'!M103+'practical exam or OSCE'!M103)&lt;&gt;0,'Mid1'!M103+'Mid2'!M103+'quiz 1'!M103+'Assignment or Proposal'!M103+'Final exam'!M103+'quiz 2'!M103+'Poster or Presentation'!M103+'practical exam or OSCE'!M103,"")</f>
        <v/>
      </c>
      <c r="Q104" s="136" t="str">
        <f t="shared" si="5"/>
        <v/>
      </c>
    </row>
    <row r="105" spans="1:17" ht="20.25" hidden="1" customHeight="1" x14ac:dyDescent="0.25">
      <c r="A105" s="24">
        <v>94</v>
      </c>
      <c r="B105" s="24" t="str">
        <f>IF(StList!B96&lt;&gt;"",StList!B96,"")</f>
        <v>Pharmaceutical sciences</v>
      </c>
      <c r="C105" s="24" t="str">
        <f>IF(StList!E96&lt;&gt;"",StList!E96,"")</f>
        <v/>
      </c>
      <c r="D105" s="24" t="str">
        <f>IF(StList!F96&lt;&gt;"",StList!F96,"")</f>
        <v/>
      </c>
      <c r="E105" s="57" t="str">
        <f>IF(('Mid1'!B104+'Mid2'!B104+'quiz 1'!B104+'Assignment or Proposal'!B104+'Final exam'!B104+'quiz 2'!B104+'Poster or Presentation'!B104+'practical exam or OSCE'!B104)&lt;&gt;0,'Mid1'!B104+'Mid2'!B104+'quiz 1'!B104+'Assignment or Proposal'!B104+'Final exam'!B104+'quiz 2'!B104+'Poster or Presentation'!B104+'practical exam or OSCE'!B104,"")</f>
        <v/>
      </c>
      <c r="F105" s="57" t="str">
        <f>IF(('Mid1'!C104+'Mid2'!C104+'quiz 1'!C104+'Assignment or Proposal'!C104+'Final exam'!C104+'quiz 2'!C104+'Poster or Presentation'!C104+'practical exam or OSCE'!C104)&lt;&gt;0,'Mid1'!C104+'Mid2'!C104+'quiz 1'!C104+'Assignment or Proposal'!C104+'Final exam'!C104+'quiz 2'!C104+'Poster or Presentation'!C104+'practical exam or OSCE'!C104,"")</f>
        <v/>
      </c>
      <c r="G105" s="57" t="str">
        <f>IF(('Mid1'!D104+'Mid2'!D104+'quiz 1'!D104+'Assignment or Proposal'!D104+'Final exam'!D104+'quiz 2'!D104+'Poster or Presentation'!D104+'practical exam or OSCE'!D104)&lt;&gt;0,'Mid1'!D104+'Mid2'!D104+'quiz 1'!D104+'Assignment or Proposal'!D104+'Final exam'!D104+'quiz 2'!D104+'Poster or Presentation'!D104+'practical exam or OSCE'!D104,"")</f>
        <v/>
      </c>
      <c r="H105" s="57" t="str">
        <f>IF(('Mid1'!E104+'Mid2'!E104+'quiz 1'!E104+'Assignment or Proposal'!E104+'Final exam'!E104+'quiz 2'!E104+'Poster or Presentation'!E104+'practical exam or OSCE'!E104)&lt;&gt;0,'Mid1'!E104+'Mid2'!E104+'quiz 1'!E104+'Assignment or Proposal'!E104+'Final exam'!E104+'quiz 2'!E104+'Poster or Presentation'!E104+'practical exam or OSCE'!E104,"")</f>
        <v/>
      </c>
      <c r="I105" s="57" t="str">
        <f>IF(('Mid1'!F104+'Mid2'!F104+'quiz 1'!F104+'Assignment or Proposal'!F104+'Final exam'!F104+'quiz 2'!F104+'Poster or Presentation'!F104+'practical exam or OSCE'!F104)&lt;&gt;0,'Mid1'!F104+'Mid2'!F104+'quiz 1'!F104+'Assignment or Proposal'!F104+'Final exam'!F104+'quiz 2'!F104+'Poster or Presentation'!F104+'practical exam or OSCE'!F104,"")</f>
        <v/>
      </c>
      <c r="J105" s="57" t="str">
        <f>IF(('Mid1'!G104+'Mid2'!G104+'quiz 1'!G104+'Assignment or Proposal'!G104+'Final exam'!G104+'quiz 2'!G104+'Poster or Presentation'!G104+'practical exam or OSCE'!G104)&lt;&gt;0,'Mid1'!G104+'Mid2'!G104+'quiz 1'!G104+'Assignment or Proposal'!G104+'Final exam'!G104+'quiz 2'!G104+'Poster or Presentation'!G104+'practical exam or OSCE'!G104,"")</f>
        <v/>
      </c>
      <c r="K105" s="57" t="str">
        <f>IF(('Mid1'!H104+'Mid2'!H104+'quiz 1'!H104+'Assignment or Proposal'!H104+'Final exam'!H104+'quiz 2'!H104+'Poster or Presentation'!H104+'practical exam or OSCE'!H104)&lt;&gt;0,'Mid1'!H104+'Mid2'!H104+'quiz 1'!H104+'Assignment or Proposal'!H104+'Final exam'!H104+'quiz 2'!H104+'Poster or Presentation'!H104+'practical exam or OSCE'!H104,"")</f>
        <v/>
      </c>
      <c r="L105" s="57" t="str">
        <f>IF(('Mid1'!I104+'Mid2'!I104+'quiz 1'!I104+'Assignment or Proposal'!I104+'Final exam'!I104+'quiz 2'!I104+'Poster or Presentation'!I104+'practical exam or OSCE'!I104)&lt;&gt;0,'Mid1'!I104+'Mid2'!I104+'quiz 1'!I104+'Assignment or Proposal'!I104+'Final exam'!I104+'quiz 2'!I104+'Poster or Presentation'!I104+'practical exam or OSCE'!I104,"")</f>
        <v/>
      </c>
      <c r="M105" s="57" t="str">
        <f>IF(('Mid1'!J104+'Mid2'!J104+'quiz 1'!J104+'Assignment or Proposal'!J104+'Final exam'!J104+'quiz 2'!J104+'Poster or Presentation'!J104+'practical exam or OSCE'!J104)&lt;&gt;0,'Mid1'!J104+'Mid2'!J104+'quiz 1'!J104+'Assignment or Proposal'!J104+'Final exam'!J104+'quiz 2'!J104+'Poster or Presentation'!J104+'practical exam or OSCE'!J104,"")</f>
        <v/>
      </c>
      <c r="N105" s="5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O105" s="5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P105" s="57" t="str">
        <f>IF(('Mid1'!M104+'Mid2'!M104+'quiz 1'!M104+'Assignment or Proposal'!M104+'Final exam'!M104+'quiz 2'!M104+'Poster or Presentation'!M104+'practical exam or OSCE'!M104)&lt;&gt;0,'Mid1'!M104+'Mid2'!M104+'quiz 1'!M104+'Assignment or Proposal'!M104+'Final exam'!M104+'quiz 2'!M104+'Poster or Presentation'!M104+'practical exam or OSCE'!M104,"")</f>
        <v/>
      </c>
      <c r="Q105" s="136" t="str">
        <f t="shared" si="5"/>
        <v/>
      </c>
    </row>
    <row r="106" spans="1:17" ht="20.25" hidden="1" customHeight="1" x14ac:dyDescent="0.25">
      <c r="A106" s="24">
        <v>95</v>
      </c>
      <c r="B106" s="24" t="str">
        <f>IF(StList!B97&lt;&gt;"",StList!B97,"")</f>
        <v>Pharmaceutical sciences</v>
      </c>
      <c r="C106" s="24" t="str">
        <f>IF(StList!E97&lt;&gt;"",StList!E97,"")</f>
        <v/>
      </c>
      <c r="D106" s="24" t="str">
        <f>IF(StList!F97&lt;&gt;"",StList!F97,"")</f>
        <v/>
      </c>
      <c r="E106" s="57" t="str">
        <f>IF(('Mid1'!B105+'Mid2'!B105+'quiz 1'!B105+'Assignment or Proposal'!B105+'Final exam'!B105+'quiz 2'!B105+'Poster or Presentation'!B105+'practical exam or OSCE'!B105)&lt;&gt;0,'Mid1'!B105+'Mid2'!B105+'quiz 1'!B105+'Assignment or Proposal'!B105+'Final exam'!B105+'quiz 2'!B105+'Poster or Presentation'!B105+'practical exam or OSCE'!B105,"")</f>
        <v/>
      </c>
      <c r="F106" s="57" t="str">
        <f>IF(('Mid1'!C105+'Mid2'!C105+'quiz 1'!C105+'Assignment or Proposal'!C105+'Final exam'!C105+'quiz 2'!C105+'Poster or Presentation'!C105+'practical exam or OSCE'!C105)&lt;&gt;0,'Mid1'!C105+'Mid2'!C105+'quiz 1'!C105+'Assignment or Proposal'!C105+'Final exam'!C105+'quiz 2'!C105+'Poster or Presentation'!C105+'practical exam or OSCE'!C105,"")</f>
        <v/>
      </c>
      <c r="G106" s="57" t="str">
        <f>IF(('Mid1'!D105+'Mid2'!D105+'quiz 1'!D105+'Assignment or Proposal'!D105+'Final exam'!D105+'quiz 2'!D105+'Poster or Presentation'!D105+'practical exam or OSCE'!D105)&lt;&gt;0,'Mid1'!D105+'Mid2'!D105+'quiz 1'!D105+'Assignment or Proposal'!D105+'Final exam'!D105+'quiz 2'!D105+'Poster or Presentation'!D105+'practical exam or OSCE'!D105,"")</f>
        <v/>
      </c>
      <c r="H106" s="57" t="str">
        <f>IF(('Mid1'!E105+'Mid2'!E105+'quiz 1'!E105+'Assignment or Proposal'!E105+'Final exam'!E105+'quiz 2'!E105+'Poster or Presentation'!E105+'practical exam or OSCE'!E105)&lt;&gt;0,'Mid1'!E105+'Mid2'!E105+'quiz 1'!E105+'Assignment or Proposal'!E105+'Final exam'!E105+'quiz 2'!E105+'Poster or Presentation'!E105+'practical exam or OSCE'!E105,"")</f>
        <v/>
      </c>
      <c r="I106" s="57" t="str">
        <f>IF(('Mid1'!F105+'Mid2'!F105+'quiz 1'!F105+'Assignment or Proposal'!F105+'Final exam'!F105+'quiz 2'!F105+'Poster or Presentation'!F105+'practical exam or OSCE'!F105)&lt;&gt;0,'Mid1'!F105+'Mid2'!F105+'quiz 1'!F105+'Assignment or Proposal'!F105+'Final exam'!F105+'quiz 2'!F105+'Poster or Presentation'!F105+'practical exam or OSCE'!F105,"")</f>
        <v/>
      </c>
      <c r="J106" s="57" t="str">
        <f>IF(('Mid1'!G105+'Mid2'!G105+'quiz 1'!G105+'Assignment or Proposal'!G105+'Final exam'!G105+'quiz 2'!G105+'Poster or Presentation'!G105+'practical exam or OSCE'!G105)&lt;&gt;0,'Mid1'!G105+'Mid2'!G105+'quiz 1'!G105+'Assignment or Proposal'!G105+'Final exam'!G105+'quiz 2'!G105+'Poster or Presentation'!G105+'practical exam or OSCE'!G105,"")</f>
        <v/>
      </c>
      <c r="K106" s="57" t="str">
        <f>IF(('Mid1'!H105+'Mid2'!H105+'quiz 1'!H105+'Assignment or Proposal'!H105+'Final exam'!H105+'quiz 2'!H105+'Poster or Presentation'!H105+'practical exam or OSCE'!H105)&lt;&gt;0,'Mid1'!H105+'Mid2'!H105+'quiz 1'!H105+'Assignment or Proposal'!H105+'Final exam'!H105+'quiz 2'!H105+'Poster or Presentation'!H105+'practical exam or OSCE'!H105,"")</f>
        <v/>
      </c>
      <c r="L106" s="57" t="str">
        <f>IF(('Mid1'!I105+'Mid2'!I105+'quiz 1'!I105+'Assignment or Proposal'!I105+'Final exam'!I105+'quiz 2'!I105+'Poster or Presentation'!I105+'practical exam or OSCE'!I105)&lt;&gt;0,'Mid1'!I105+'Mid2'!I105+'quiz 1'!I105+'Assignment or Proposal'!I105+'Final exam'!I105+'quiz 2'!I105+'Poster or Presentation'!I105+'practical exam or OSCE'!I105,"")</f>
        <v/>
      </c>
      <c r="M106" s="57" t="str">
        <f>IF(('Mid1'!J105+'Mid2'!J105+'quiz 1'!J105+'Assignment or Proposal'!J105+'Final exam'!J105+'quiz 2'!J105+'Poster or Presentation'!J105+'practical exam or OSCE'!J105)&lt;&gt;0,'Mid1'!J105+'Mid2'!J105+'quiz 1'!J105+'Assignment or Proposal'!J105+'Final exam'!J105+'quiz 2'!J105+'Poster or Presentation'!J105+'practical exam or OSCE'!J105,"")</f>
        <v/>
      </c>
      <c r="N106" s="5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O106" s="5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P106" s="57" t="str">
        <f>IF(('Mid1'!M105+'Mid2'!M105+'quiz 1'!M105+'Assignment or Proposal'!M105+'Final exam'!M105+'quiz 2'!M105+'Poster or Presentation'!M105+'practical exam or OSCE'!M105)&lt;&gt;0,'Mid1'!M105+'Mid2'!M105+'quiz 1'!M105+'Assignment or Proposal'!M105+'Final exam'!M105+'quiz 2'!M105+'Poster or Presentation'!M105+'practical exam or OSCE'!M105,"")</f>
        <v/>
      </c>
      <c r="Q106" s="136" t="str">
        <f t="shared" si="5"/>
        <v/>
      </c>
    </row>
    <row r="107" spans="1:17" ht="20.25" hidden="1" customHeight="1" x14ac:dyDescent="0.25">
      <c r="A107" s="24">
        <v>96</v>
      </c>
      <c r="B107" s="24" t="str">
        <f>IF(StList!B98&lt;&gt;"",StList!B98,"")</f>
        <v>Pharmaceutical sciences</v>
      </c>
      <c r="C107" s="24" t="str">
        <f>IF(StList!E98&lt;&gt;"",StList!E98,"")</f>
        <v/>
      </c>
      <c r="D107" s="24" t="str">
        <f>IF(StList!F98&lt;&gt;"",StList!F98,"")</f>
        <v/>
      </c>
      <c r="E107" s="57" t="str">
        <f>IF(('Mid1'!B106+'Mid2'!B106+'quiz 1'!B106+'Assignment or Proposal'!B106+'Final exam'!B106+'quiz 2'!B106+'Poster or Presentation'!B106+'practical exam or OSCE'!B106)&lt;&gt;0,'Mid1'!B106+'Mid2'!B106+'quiz 1'!B106+'Assignment or Proposal'!B106+'Final exam'!B106+'quiz 2'!B106+'Poster or Presentation'!B106+'practical exam or OSCE'!B106,"")</f>
        <v/>
      </c>
      <c r="F107" s="57" t="str">
        <f>IF(('Mid1'!C106+'Mid2'!C106+'quiz 1'!C106+'Assignment or Proposal'!C106+'Final exam'!C106+'quiz 2'!C106+'Poster or Presentation'!C106+'practical exam or OSCE'!C106)&lt;&gt;0,'Mid1'!C106+'Mid2'!C106+'quiz 1'!C106+'Assignment or Proposal'!C106+'Final exam'!C106+'quiz 2'!C106+'Poster or Presentation'!C106+'practical exam or OSCE'!C106,"")</f>
        <v/>
      </c>
      <c r="G107" s="57" t="str">
        <f>IF(('Mid1'!D106+'Mid2'!D106+'quiz 1'!D106+'Assignment or Proposal'!D106+'Final exam'!D106+'quiz 2'!D106+'Poster or Presentation'!D106+'practical exam or OSCE'!D106)&lt;&gt;0,'Mid1'!D106+'Mid2'!D106+'quiz 1'!D106+'Assignment or Proposal'!D106+'Final exam'!D106+'quiz 2'!D106+'Poster or Presentation'!D106+'practical exam or OSCE'!D106,"")</f>
        <v/>
      </c>
      <c r="H107" s="57" t="str">
        <f>IF(('Mid1'!E106+'Mid2'!E106+'quiz 1'!E106+'Assignment or Proposal'!E106+'Final exam'!E106+'quiz 2'!E106+'Poster or Presentation'!E106+'practical exam or OSCE'!E106)&lt;&gt;0,'Mid1'!E106+'Mid2'!E106+'quiz 1'!E106+'Assignment or Proposal'!E106+'Final exam'!E106+'quiz 2'!E106+'Poster or Presentation'!E106+'practical exam or OSCE'!E106,"")</f>
        <v/>
      </c>
      <c r="I107" s="57" t="str">
        <f>IF(('Mid1'!F106+'Mid2'!F106+'quiz 1'!F106+'Assignment or Proposal'!F106+'Final exam'!F106+'quiz 2'!F106+'Poster or Presentation'!F106+'practical exam or OSCE'!F106)&lt;&gt;0,'Mid1'!F106+'Mid2'!F106+'quiz 1'!F106+'Assignment or Proposal'!F106+'Final exam'!F106+'quiz 2'!F106+'Poster or Presentation'!F106+'practical exam or OSCE'!F106,"")</f>
        <v/>
      </c>
      <c r="J107" s="57" t="str">
        <f>IF(('Mid1'!G106+'Mid2'!G106+'quiz 1'!G106+'Assignment or Proposal'!G106+'Final exam'!G106+'quiz 2'!G106+'Poster or Presentation'!G106+'practical exam or OSCE'!G106)&lt;&gt;0,'Mid1'!G106+'Mid2'!G106+'quiz 1'!G106+'Assignment or Proposal'!G106+'Final exam'!G106+'quiz 2'!G106+'Poster or Presentation'!G106+'practical exam or OSCE'!G106,"")</f>
        <v/>
      </c>
      <c r="K107" s="57" t="str">
        <f>IF(('Mid1'!H106+'Mid2'!H106+'quiz 1'!H106+'Assignment or Proposal'!H106+'Final exam'!H106+'quiz 2'!H106+'Poster or Presentation'!H106+'practical exam or OSCE'!H106)&lt;&gt;0,'Mid1'!H106+'Mid2'!H106+'quiz 1'!H106+'Assignment or Proposal'!H106+'Final exam'!H106+'quiz 2'!H106+'Poster or Presentation'!H106+'practical exam or OSCE'!H106,"")</f>
        <v/>
      </c>
      <c r="L107" s="57" t="str">
        <f>IF(('Mid1'!I106+'Mid2'!I106+'quiz 1'!I106+'Assignment or Proposal'!I106+'Final exam'!I106+'quiz 2'!I106+'Poster or Presentation'!I106+'practical exam or OSCE'!I106)&lt;&gt;0,'Mid1'!I106+'Mid2'!I106+'quiz 1'!I106+'Assignment or Proposal'!I106+'Final exam'!I106+'quiz 2'!I106+'Poster or Presentation'!I106+'practical exam or OSCE'!I106,"")</f>
        <v/>
      </c>
      <c r="M107" s="57" t="str">
        <f>IF(('Mid1'!J106+'Mid2'!J106+'quiz 1'!J106+'Assignment or Proposal'!J106+'Final exam'!J106+'quiz 2'!J106+'Poster or Presentation'!J106+'practical exam or OSCE'!J106)&lt;&gt;0,'Mid1'!J106+'Mid2'!J106+'quiz 1'!J106+'Assignment or Proposal'!J106+'Final exam'!J106+'quiz 2'!J106+'Poster or Presentation'!J106+'practical exam or OSCE'!J106,"")</f>
        <v/>
      </c>
      <c r="N107" s="5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O107" s="5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P107" s="57" t="str">
        <f>IF(('Mid1'!M106+'Mid2'!M106+'quiz 1'!M106+'Assignment or Proposal'!M106+'Final exam'!M106+'quiz 2'!M106+'Poster or Presentation'!M106+'practical exam or OSCE'!M106)&lt;&gt;0,'Mid1'!M106+'Mid2'!M106+'quiz 1'!M106+'Assignment or Proposal'!M106+'Final exam'!M106+'quiz 2'!M106+'Poster or Presentation'!M106+'practical exam or OSCE'!M106,"")</f>
        <v/>
      </c>
      <c r="Q107" s="136" t="str">
        <f t="shared" si="5"/>
        <v/>
      </c>
    </row>
    <row r="108" spans="1:17" ht="20.25" hidden="1" customHeight="1" x14ac:dyDescent="0.25">
      <c r="A108" s="24">
        <v>97</v>
      </c>
      <c r="B108" s="24" t="str">
        <f>IF(StList!B99&lt;&gt;"",StList!B99,"")</f>
        <v>Pharmaceutical sciences</v>
      </c>
      <c r="C108" s="24" t="str">
        <f>IF(StList!E99&lt;&gt;"",StList!E99,"")</f>
        <v/>
      </c>
      <c r="D108" s="24" t="str">
        <f>IF(StList!F99&lt;&gt;"",StList!F99,"")</f>
        <v/>
      </c>
      <c r="E108" s="57" t="str">
        <f>IF(('Mid1'!B107+'Mid2'!B107+'quiz 1'!B107+'Assignment or Proposal'!B107+'Final exam'!B107+'quiz 2'!B107+'Poster or Presentation'!B107+'practical exam or OSCE'!B107)&lt;&gt;0,'Mid1'!B107+'Mid2'!B107+'quiz 1'!B107+'Assignment or Proposal'!B107+'Final exam'!B107+'quiz 2'!B107+'Poster or Presentation'!B107+'practical exam or OSCE'!B107,"")</f>
        <v/>
      </c>
      <c r="F108" s="57" t="str">
        <f>IF(('Mid1'!C107+'Mid2'!C107+'quiz 1'!C107+'Assignment or Proposal'!C107+'Final exam'!C107+'quiz 2'!C107+'Poster or Presentation'!C107+'practical exam or OSCE'!C107)&lt;&gt;0,'Mid1'!C107+'Mid2'!C107+'quiz 1'!C107+'Assignment or Proposal'!C107+'Final exam'!C107+'quiz 2'!C107+'Poster or Presentation'!C107+'practical exam or OSCE'!C107,"")</f>
        <v/>
      </c>
      <c r="G108" s="57" t="str">
        <f>IF(('Mid1'!D107+'Mid2'!D107+'quiz 1'!D107+'Assignment or Proposal'!D107+'Final exam'!D107+'quiz 2'!D107+'Poster or Presentation'!D107+'practical exam or OSCE'!D107)&lt;&gt;0,'Mid1'!D107+'Mid2'!D107+'quiz 1'!D107+'Assignment or Proposal'!D107+'Final exam'!D107+'quiz 2'!D107+'Poster or Presentation'!D107+'practical exam or OSCE'!D107,"")</f>
        <v/>
      </c>
      <c r="H108" s="57" t="str">
        <f>IF(('Mid1'!E107+'Mid2'!E107+'quiz 1'!E107+'Assignment or Proposal'!E107+'Final exam'!E107+'quiz 2'!E107+'Poster or Presentation'!E107+'practical exam or OSCE'!E107)&lt;&gt;0,'Mid1'!E107+'Mid2'!E107+'quiz 1'!E107+'Assignment or Proposal'!E107+'Final exam'!E107+'quiz 2'!E107+'Poster or Presentation'!E107+'practical exam or OSCE'!E107,"")</f>
        <v/>
      </c>
      <c r="I108" s="57" t="str">
        <f>IF(('Mid1'!F107+'Mid2'!F107+'quiz 1'!F107+'Assignment or Proposal'!F107+'Final exam'!F107+'quiz 2'!F107+'Poster or Presentation'!F107+'practical exam or OSCE'!F107)&lt;&gt;0,'Mid1'!F107+'Mid2'!F107+'quiz 1'!F107+'Assignment or Proposal'!F107+'Final exam'!F107+'quiz 2'!F107+'Poster or Presentation'!F107+'practical exam or OSCE'!F107,"")</f>
        <v/>
      </c>
      <c r="J108" s="57" t="str">
        <f>IF(('Mid1'!G107+'Mid2'!G107+'quiz 1'!G107+'Assignment or Proposal'!G107+'Final exam'!G107+'quiz 2'!G107+'Poster or Presentation'!G107+'practical exam or OSCE'!G107)&lt;&gt;0,'Mid1'!G107+'Mid2'!G107+'quiz 1'!G107+'Assignment or Proposal'!G107+'Final exam'!G107+'quiz 2'!G107+'Poster or Presentation'!G107+'practical exam or OSCE'!G107,"")</f>
        <v/>
      </c>
      <c r="K108" s="57" t="str">
        <f>IF(('Mid1'!H107+'Mid2'!H107+'quiz 1'!H107+'Assignment or Proposal'!H107+'Final exam'!H107+'quiz 2'!H107+'Poster or Presentation'!H107+'practical exam or OSCE'!H107)&lt;&gt;0,'Mid1'!H107+'Mid2'!H107+'quiz 1'!H107+'Assignment or Proposal'!H107+'Final exam'!H107+'quiz 2'!H107+'Poster or Presentation'!H107+'practical exam or OSCE'!H107,"")</f>
        <v/>
      </c>
      <c r="L108" s="57" t="str">
        <f>IF(('Mid1'!I107+'Mid2'!I107+'quiz 1'!I107+'Assignment or Proposal'!I107+'Final exam'!I107+'quiz 2'!I107+'Poster or Presentation'!I107+'practical exam or OSCE'!I107)&lt;&gt;0,'Mid1'!I107+'Mid2'!I107+'quiz 1'!I107+'Assignment or Proposal'!I107+'Final exam'!I107+'quiz 2'!I107+'Poster or Presentation'!I107+'practical exam or OSCE'!I107,"")</f>
        <v/>
      </c>
      <c r="M108" s="57" t="str">
        <f>IF(('Mid1'!J107+'Mid2'!J107+'quiz 1'!J107+'Assignment or Proposal'!J107+'Final exam'!J107+'quiz 2'!J107+'Poster or Presentation'!J107+'practical exam or OSCE'!J107)&lt;&gt;0,'Mid1'!J107+'Mid2'!J107+'quiz 1'!J107+'Assignment or Proposal'!J107+'Final exam'!J107+'quiz 2'!J107+'Poster or Presentation'!J107+'practical exam or OSCE'!J107,"")</f>
        <v/>
      </c>
      <c r="N108" s="5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O108" s="5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P108" s="57" t="str">
        <f>IF(('Mid1'!M107+'Mid2'!M107+'quiz 1'!M107+'Assignment or Proposal'!M107+'Final exam'!M107+'quiz 2'!M107+'Poster or Presentation'!M107+'practical exam or OSCE'!M107)&lt;&gt;0,'Mid1'!M107+'Mid2'!M107+'quiz 1'!M107+'Assignment or Proposal'!M107+'Final exam'!M107+'quiz 2'!M107+'Poster or Presentation'!M107+'practical exam or OSCE'!M107,"")</f>
        <v/>
      </c>
      <c r="Q108" s="136" t="str">
        <f t="shared" si="5"/>
        <v/>
      </c>
    </row>
    <row r="109" spans="1:17" ht="20.25" hidden="1" customHeight="1" x14ac:dyDescent="0.25">
      <c r="A109" s="24">
        <v>98</v>
      </c>
      <c r="B109" s="24" t="str">
        <f>IF(StList!B100&lt;&gt;"",StList!B100,"")</f>
        <v>Pharmaceutical sciences</v>
      </c>
      <c r="C109" s="24" t="str">
        <f>IF(StList!E100&lt;&gt;"",StList!E100,"")</f>
        <v/>
      </c>
      <c r="D109" s="24" t="str">
        <f>IF(StList!F100&lt;&gt;"",StList!F100,"")</f>
        <v/>
      </c>
      <c r="E109" s="57" t="str">
        <f>IF(('Mid1'!B108+'Mid2'!B108+'quiz 1'!B108+'Assignment or Proposal'!B108+'Final exam'!B108+'quiz 2'!B108+'Poster or Presentation'!B108+'practical exam or OSCE'!B108)&lt;&gt;0,'Mid1'!B108+'Mid2'!B108+'quiz 1'!B108+'Assignment or Proposal'!B108+'Final exam'!B108+'quiz 2'!B108+'Poster or Presentation'!B108+'practical exam or OSCE'!B108,"")</f>
        <v/>
      </c>
      <c r="F109" s="57" t="str">
        <f>IF(('Mid1'!C108+'Mid2'!C108+'quiz 1'!C108+'Assignment or Proposal'!C108+'Final exam'!C108+'quiz 2'!C108+'Poster or Presentation'!C108+'practical exam or OSCE'!C108)&lt;&gt;0,'Mid1'!C108+'Mid2'!C108+'quiz 1'!C108+'Assignment or Proposal'!C108+'Final exam'!C108+'quiz 2'!C108+'Poster or Presentation'!C108+'practical exam or OSCE'!C108,"")</f>
        <v/>
      </c>
      <c r="G109" s="57" t="str">
        <f>IF(('Mid1'!D108+'Mid2'!D108+'quiz 1'!D108+'Assignment or Proposal'!D108+'Final exam'!D108+'quiz 2'!D108+'Poster or Presentation'!D108+'practical exam or OSCE'!D108)&lt;&gt;0,'Mid1'!D108+'Mid2'!D108+'quiz 1'!D108+'Assignment or Proposal'!D108+'Final exam'!D108+'quiz 2'!D108+'Poster or Presentation'!D108+'practical exam or OSCE'!D108,"")</f>
        <v/>
      </c>
      <c r="H109" s="57" t="str">
        <f>IF(('Mid1'!E108+'Mid2'!E108+'quiz 1'!E108+'Assignment or Proposal'!E108+'Final exam'!E108+'quiz 2'!E108+'Poster or Presentation'!E108+'practical exam or OSCE'!E108)&lt;&gt;0,'Mid1'!E108+'Mid2'!E108+'quiz 1'!E108+'Assignment or Proposal'!E108+'Final exam'!E108+'quiz 2'!E108+'Poster or Presentation'!E108+'practical exam or OSCE'!E108,"")</f>
        <v/>
      </c>
      <c r="I109" s="57" t="str">
        <f>IF(('Mid1'!F108+'Mid2'!F108+'quiz 1'!F108+'Assignment or Proposal'!F108+'Final exam'!F108+'quiz 2'!F108+'Poster or Presentation'!F108+'practical exam or OSCE'!F108)&lt;&gt;0,'Mid1'!F108+'Mid2'!F108+'quiz 1'!F108+'Assignment or Proposal'!F108+'Final exam'!F108+'quiz 2'!F108+'Poster or Presentation'!F108+'practical exam or OSCE'!F108,"")</f>
        <v/>
      </c>
      <c r="J109" s="57" t="str">
        <f>IF(('Mid1'!G108+'Mid2'!G108+'quiz 1'!G108+'Assignment or Proposal'!G108+'Final exam'!G108+'quiz 2'!G108+'Poster or Presentation'!G108+'practical exam or OSCE'!G108)&lt;&gt;0,'Mid1'!G108+'Mid2'!G108+'quiz 1'!G108+'Assignment or Proposal'!G108+'Final exam'!G108+'quiz 2'!G108+'Poster or Presentation'!G108+'practical exam or OSCE'!G108,"")</f>
        <v/>
      </c>
      <c r="K109" s="57" t="str">
        <f>IF(('Mid1'!H108+'Mid2'!H108+'quiz 1'!H108+'Assignment or Proposal'!H108+'Final exam'!H108+'quiz 2'!H108+'Poster or Presentation'!H108+'practical exam or OSCE'!H108)&lt;&gt;0,'Mid1'!H108+'Mid2'!H108+'quiz 1'!H108+'Assignment or Proposal'!H108+'Final exam'!H108+'quiz 2'!H108+'Poster or Presentation'!H108+'practical exam or OSCE'!H108,"")</f>
        <v/>
      </c>
      <c r="L109" s="57" t="str">
        <f>IF(('Mid1'!I108+'Mid2'!I108+'quiz 1'!I108+'Assignment or Proposal'!I108+'Final exam'!I108+'quiz 2'!I108+'Poster or Presentation'!I108+'practical exam or OSCE'!I108)&lt;&gt;0,'Mid1'!I108+'Mid2'!I108+'quiz 1'!I108+'Assignment or Proposal'!I108+'Final exam'!I108+'quiz 2'!I108+'Poster or Presentation'!I108+'practical exam or OSCE'!I108,"")</f>
        <v/>
      </c>
      <c r="M109" s="57" t="str">
        <f>IF(('Mid1'!J108+'Mid2'!J108+'quiz 1'!J108+'Assignment or Proposal'!J108+'Final exam'!J108+'quiz 2'!J108+'Poster or Presentation'!J108+'practical exam or OSCE'!J108)&lt;&gt;0,'Mid1'!J108+'Mid2'!J108+'quiz 1'!J108+'Assignment or Proposal'!J108+'Final exam'!J108+'quiz 2'!J108+'Poster or Presentation'!J108+'practical exam or OSCE'!J108,"")</f>
        <v/>
      </c>
      <c r="N109" s="5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O109" s="5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P109" s="57" t="str">
        <f>IF(('Mid1'!M108+'Mid2'!M108+'quiz 1'!M108+'Assignment or Proposal'!M108+'Final exam'!M108+'quiz 2'!M108+'Poster or Presentation'!M108+'practical exam or OSCE'!M108)&lt;&gt;0,'Mid1'!M108+'Mid2'!M108+'quiz 1'!M108+'Assignment or Proposal'!M108+'Final exam'!M108+'quiz 2'!M108+'Poster or Presentation'!M108+'practical exam or OSCE'!M108,"")</f>
        <v/>
      </c>
      <c r="Q109" s="136" t="str">
        <f t="shared" si="5"/>
        <v/>
      </c>
    </row>
    <row r="110" spans="1:17" ht="20.25" hidden="1" customHeight="1" x14ac:dyDescent="0.25">
      <c r="A110" s="24">
        <v>99</v>
      </c>
      <c r="B110" s="24" t="str">
        <f>IF(StList!B101&lt;&gt;"",StList!B101,"")</f>
        <v>Pharmaceutical sciences</v>
      </c>
      <c r="C110" s="24" t="str">
        <f>IF(StList!E101&lt;&gt;"",StList!E101,"")</f>
        <v/>
      </c>
      <c r="D110" s="24" t="str">
        <f>IF(StList!F101&lt;&gt;"",StList!F101,"")</f>
        <v/>
      </c>
      <c r="E110" s="57" t="str">
        <f>IF(('Mid1'!B109+'Mid2'!B109+'quiz 1'!B109+'Assignment or Proposal'!B109+'Final exam'!B109+'quiz 2'!B109+'Poster or Presentation'!B109+'practical exam or OSCE'!B109)&lt;&gt;0,'Mid1'!B109+'Mid2'!B109+'quiz 1'!B109+'Assignment or Proposal'!B109+'Final exam'!B109+'quiz 2'!B109+'Poster or Presentation'!B109+'practical exam or OSCE'!B109,"")</f>
        <v/>
      </c>
      <c r="F110" s="57" t="str">
        <f>IF(('Mid1'!C109+'Mid2'!C109+'quiz 1'!C109+'Assignment or Proposal'!C109+'Final exam'!C109+'quiz 2'!C109+'Poster or Presentation'!C109+'practical exam or OSCE'!C109)&lt;&gt;0,'Mid1'!C109+'Mid2'!C109+'quiz 1'!C109+'Assignment or Proposal'!C109+'Final exam'!C109+'quiz 2'!C109+'Poster or Presentation'!C109+'practical exam or OSCE'!C109,"")</f>
        <v/>
      </c>
      <c r="G110" s="57" t="str">
        <f>IF(('Mid1'!D109+'Mid2'!D109+'quiz 1'!D109+'Assignment or Proposal'!D109+'Final exam'!D109+'quiz 2'!D109+'Poster or Presentation'!D109+'practical exam or OSCE'!D109)&lt;&gt;0,'Mid1'!D109+'Mid2'!D109+'quiz 1'!D109+'Assignment or Proposal'!D109+'Final exam'!D109+'quiz 2'!D109+'Poster or Presentation'!D109+'practical exam or OSCE'!D109,"")</f>
        <v/>
      </c>
      <c r="H110" s="57" t="str">
        <f>IF(('Mid1'!E109+'Mid2'!E109+'quiz 1'!E109+'Assignment or Proposal'!E109+'Final exam'!E109+'quiz 2'!E109+'Poster or Presentation'!E109+'practical exam or OSCE'!E109)&lt;&gt;0,'Mid1'!E109+'Mid2'!E109+'quiz 1'!E109+'Assignment or Proposal'!E109+'Final exam'!E109+'quiz 2'!E109+'Poster or Presentation'!E109+'practical exam or OSCE'!E109,"")</f>
        <v/>
      </c>
      <c r="I110" s="57" t="str">
        <f>IF(('Mid1'!F109+'Mid2'!F109+'quiz 1'!F109+'Assignment or Proposal'!F109+'Final exam'!F109+'quiz 2'!F109+'Poster or Presentation'!F109+'practical exam or OSCE'!F109)&lt;&gt;0,'Mid1'!F109+'Mid2'!F109+'quiz 1'!F109+'Assignment or Proposal'!F109+'Final exam'!F109+'quiz 2'!F109+'Poster or Presentation'!F109+'practical exam or OSCE'!F109,"")</f>
        <v/>
      </c>
      <c r="J110" s="57" t="str">
        <f>IF(('Mid1'!G109+'Mid2'!G109+'quiz 1'!G109+'Assignment or Proposal'!G109+'Final exam'!G109+'quiz 2'!G109+'Poster or Presentation'!G109+'practical exam or OSCE'!G109)&lt;&gt;0,'Mid1'!G109+'Mid2'!G109+'quiz 1'!G109+'Assignment or Proposal'!G109+'Final exam'!G109+'quiz 2'!G109+'Poster or Presentation'!G109+'practical exam or OSCE'!G109,"")</f>
        <v/>
      </c>
      <c r="K110" s="57" t="str">
        <f>IF(('Mid1'!H109+'Mid2'!H109+'quiz 1'!H109+'Assignment or Proposal'!H109+'Final exam'!H109+'quiz 2'!H109+'Poster or Presentation'!H109+'practical exam or OSCE'!H109)&lt;&gt;0,'Mid1'!H109+'Mid2'!H109+'quiz 1'!H109+'Assignment or Proposal'!H109+'Final exam'!H109+'quiz 2'!H109+'Poster or Presentation'!H109+'practical exam or OSCE'!H109,"")</f>
        <v/>
      </c>
      <c r="L110" s="57" t="str">
        <f>IF(('Mid1'!I109+'Mid2'!I109+'quiz 1'!I109+'Assignment or Proposal'!I109+'Final exam'!I109+'quiz 2'!I109+'Poster or Presentation'!I109+'practical exam or OSCE'!I109)&lt;&gt;0,'Mid1'!I109+'Mid2'!I109+'quiz 1'!I109+'Assignment or Proposal'!I109+'Final exam'!I109+'quiz 2'!I109+'Poster or Presentation'!I109+'practical exam or OSCE'!I109,"")</f>
        <v/>
      </c>
      <c r="M110" s="57" t="str">
        <f>IF(('Mid1'!J109+'Mid2'!J109+'quiz 1'!J109+'Assignment or Proposal'!J109+'Final exam'!J109+'quiz 2'!J109+'Poster or Presentation'!J109+'practical exam or OSCE'!J109)&lt;&gt;0,'Mid1'!J109+'Mid2'!J109+'quiz 1'!J109+'Assignment or Proposal'!J109+'Final exam'!J109+'quiz 2'!J109+'Poster or Presentation'!J109+'practical exam or OSCE'!J109,"")</f>
        <v/>
      </c>
      <c r="N110" s="5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O110" s="5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P110" s="57" t="str">
        <f>IF(('Mid1'!M109+'Mid2'!M109+'quiz 1'!M109+'Assignment or Proposal'!M109+'Final exam'!M109+'quiz 2'!M109+'Poster or Presentation'!M109+'practical exam or OSCE'!M109)&lt;&gt;0,'Mid1'!M109+'Mid2'!M109+'quiz 1'!M109+'Assignment or Proposal'!M109+'Final exam'!M109+'quiz 2'!M109+'Poster or Presentation'!M109+'practical exam or OSCE'!M109,"")</f>
        <v/>
      </c>
      <c r="Q110" s="136" t="str">
        <f t="shared" si="5"/>
        <v/>
      </c>
    </row>
    <row r="111" spans="1:17" ht="20.25" hidden="1" customHeight="1" x14ac:dyDescent="0.25">
      <c r="A111" s="24">
        <v>100</v>
      </c>
      <c r="B111" s="24" t="str">
        <f>IF(StList!B102&lt;&gt;"",StList!B102,"")</f>
        <v>Pharmaceutical sciences</v>
      </c>
      <c r="C111" s="24" t="str">
        <f>IF(StList!E102&lt;&gt;"",StList!E102,"")</f>
        <v/>
      </c>
      <c r="D111" s="24" t="str">
        <f>IF(StList!F102&lt;&gt;"",StList!F102,"")</f>
        <v/>
      </c>
      <c r="E111" s="57" t="str">
        <f>IF(('Mid1'!B110+'Mid2'!B110+'quiz 1'!B110+'Assignment or Proposal'!B110+'Final exam'!B110+'quiz 2'!B110+'Poster or Presentation'!B110+'practical exam or OSCE'!B110)&lt;&gt;0,'Mid1'!B110+'Mid2'!B110+'quiz 1'!B110+'Assignment or Proposal'!B110+'Final exam'!B110+'quiz 2'!B110+'Poster or Presentation'!B110+'practical exam or OSCE'!B110,"")</f>
        <v/>
      </c>
      <c r="F111" s="57" t="str">
        <f>IF(('Mid1'!C110+'Mid2'!C110+'quiz 1'!C110+'Assignment or Proposal'!C110+'Final exam'!C110+'quiz 2'!C110+'Poster or Presentation'!C110+'practical exam or OSCE'!C110)&lt;&gt;0,'Mid1'!C110+'Mid2'!C110+'quiz 1'!C110+'Assignment or Proposal'!C110+'Final exam'!C110+'quiz 2'!C110+'Poster or Presentation'!C110+'practical exam or OSCE'!C110,"")</f>
        <v/>
      </c>
      <c r="G111" s="57" t="str">
        <f>IF(('Mid1'!D110+'Mid2'!D110+'quiz 1'!D110+'Assignment or Proposal'!D110+'Final exam'!D110+'quiz 2'!D110+'Poster or Presentation'!D110+'practical exam or OSCE'!D110)&lt;&gt;0,'Mid1'!D110+'Mid2'!D110+'quiz 1'!D110+'Assignment or Proposal'!D110+'Final exam'!D110+'quiz 2'!D110+'Poster or Presentation'!D110+'practical exam or OSCE'!D110,"")</f>
        <v/>
      </c>
      <c r="H111" s="57" t="str">
        <f>IF(('Mid1'!E110+'Mid2'!E110+'quiz 1'!E110+'Assignment or Proposal'!E110+'Final exam'!E110+'quiz 2'!E110+'Poster or Presentation'!E110+'practical exam or OSCE'!E110)&lt;&gt;0,'Mid1'!E110+'Mid2'!E110+'quiz 1'!E110+'Assignment or Proposal'!E110+'Final exam'!E110+'quiz 2'!E110+'Poster or Presentation'!E110+'practical exam or OSCE'!E110,"")</f>
        <v/>
      </c>
      <c r="I111" s="57" t="str">
        <f>IF(('Mid1'!F110+'Mid2'!F110+'quiz 1'!F110+'Assignment or Proposal'!F110+'Final exam'!F110+'quiz 2'!F110+'Poster or Presentation'!F110+'practical exam or OSCE'!F110)&lt;&gt;0,'Mid1'!F110+'Mid2'!F110+'quiz 1'!F110+'Assignment or Proposal'!F110+'Final exam'!F110+'quiz 2'!F110+'Poster or Presentation'!F110+'practical exam or OSCE'!F110,"")</f>
        <v/>
      </c>
      <c r="J111" s="57" t="str">
        <f>IF(('Mid1'!G110+'Mid2'!G110+'quiz 1'!G110+'Assignment or Proposal'!G110+'Final exam'!G110+'quiz 2'!G110+'Poster or Presentation'!G110+'practical exam or OSCE'!G110)&lt;&gt;0,'Mid1'!G110+'Mid2'!G110+'quiz 1'!G110+'Assignment or Proposal'!G110+'Final exam'!G110+'quiz 2'!G110+'Poster or Presentation'!G110+'practical exam or OSCE'!G110,"")</f>
        <v/>
      </c>
      <c r="K111" s="57" t="str">
        <f>IF(('Mid1'!H110+'Mid2'!H110+'quiz 1'!H110+'Assignment or Proposal'!H110+'Final exam'!H110+'quiz 2'!H110+'Poster or Presentation'!H110+'practical exam or OSCE'!H110)&lt;&gt;0,'Mid1'!H110+'Mid2'!H110+'quiz 1'!H110+'Assignment or Proposal'!H110+'Final exam'!H110+'quiz 2'!H110+'Poster or Presentation'!H110+'practical exam or OSCE'!H110,"")</f>
        <v/>
      </c>
      <c r="L111" s="57" t="str">
        <f>IF(('Mid1'!I110+'Mid2'!I110+'quiz 1'!I110+'Assignment or Proposal'!I110+'Final exam'!I110+'quiz 2'!I110+'Poster or Presentation'!I110+'practical exam or OSCE'!I110)&lt;&gt;0,'Mid1'!I110+'Mid2'!I110+'quiz 1'!I110+'Assignment or Proposal'!I110+'Final exam'!I110+'quiz 2'!I110+'Poster or Presentation'!I110+'practical exam or OSCE'!I110,"")</f>
        <v/>
      </c>
      <c r="M111" s="57" t="str">
        <f>IF(('Mid1'!J110+'Mid2'!J110+'quiz 1'!J110+'Assignment or Proposal'!J110+'Final exam'!J110+'quiz 2'!J110+'Poster or Presentation'!J110+'practical exam or OSCE'!J110)&lt;&gt;0,'Mid1'!J110+'Mid2'!J110+'quiz 1'!J110+'Assignment or Proposal'!J110+'Final exam'!J110+'quiz 2'!J110+'Poster or Presentation'!J110+'practical exam or OSCE'!J110,"")</f>
        <v/>
      </c>
      <c r="N111" s="5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O111" s="5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P111" s="57" t="str">
        <f>IF(('Mid1'!M110+'Mid2'!M110+'quiz 1'!M110+'Assignment or Proposal'!M110+'Final exam'!M110+'quiz 2'!M110+'Poster or Presentation'!M110+'practical exam or OSCE'!M110)&lt;&gt;0,'Mid1'!M110+'Mid2'!M110+'quiz 1'!M110+'Assignment or Proposal'!M110+'Final exam'!M110+'quiz 2'!M110+'Poster or Presentation'!M110+'practical exam or OSCE'!M110,"")</f>
        <v/>
      </c>
      <c r="Q111" s="136" t="str">
        <f t="shared" si="5"/>
        <v/>
      </c>
    </row>
    <row r="112" spans="1:17" ht="20.25" hidden="1" customHeight="1" x14ac:dyDescent="0.25">
      <c r="A112" s="24">
        <v>101</v>
      </c>
      <c r="B112" s="24" t="str">
        <f>IF(StList!B103&lt;&gt;"",StList!B103,"")</f>
        <v>Pharmaceutical sciences</v>
      </c>
      <c r="C112" s="24" t="str">
        <f>IF(StList!E103&lt;&gt;"",StList!E103,"")</f>
        <v/>
      </c>
      <c r="D112" s="24" t="str">
        <f>IF(StList!F103&lt;&gt;"",StList!F103,"")</f>
        <v/>
      </c>
      <c r="E112" s="57" t="str">
        <f>IF(('Mid1'!B111+'Mid2'!B111+'quiz 1'!B111+'Assignment or Proposal'!B111+'Final exam'!B111+'quiz 2'!B111+'Poster or Presentation'!B111+'practical exam or OSCE'!B111)&lt;&gt;0,'Mid1'!B111+'Mid2'!B111+'quiz 1'!B111+'Assignment or Proposal'!B111+'Final exam'!B111+'quiz 2'!B111+'Poster or Presentation'!B111+'practical exam or OSCE'!B111,"")</f>
        <v/>
      </c>
      <c r="F112" s="57" t="str">
        <f>IF(('Mid1'!C111+'Mid2'!C111+'quiz 1'!C111+'Assignment or Proposal'!C111+'Final exam'!C111+'quiz 2'!C111+'Poster or Presentation'!C111+'practical exam or OSCE'!C111)&lt;&gt;0,'Mid1'!C111+'Mid2'!C111+'quiz 1'!C111+'Assignment or Proposal'!C111+'Final exam'!C111+'quiz 2'!C111+'Poster or Presentation'!C111+'practical exam or OSCE'!C111,"")</f>
        <v/>
      </c>
      <c r="G112" s="57" t="str">
        <f>IF(('Mid1'!D111+'Mid2'!D111+'quiz 1'!D111+'Assignment or Proposal'!D111+'Final exam'!D111+'quiz 2'!D111+'Poster or Presentation'!D111+'practical exam or OSCE'!D111)&lt;&gt;0,'Mid1'!D111+'Mid2'!D111+'quiz 1'!D111+'Assignment or Proposal'!D111+'Final exam'!D111+'quiz 2'!D111+'Poster or Presentation'!D111+'practical exam or OSCE'!D111,"")</f>
        <v/>
      </c>
      <c r="H112" s="57" t="str">
        <f>IF(('Mid1'!E111+'Mid2'!E111+'quiz 1'!E111+'Assignment or Proposal'!E111+'Final exam'!E111+'quiz 2'!E111+'Poster or Presentation'!E111+'practical exam or OSCE'!E111)&lt;&gt;0,'Mid1'!E111+'Mid2'!E111+'quiz 1'!E111+'Assignment or Proposal'!E111+'Final exam'!E111+'quiz 2'!E111+'Poster or Presentation'!E111+'practical exam or OSCE'!E111,"")</f>
        <v/>
      </c>
      <c r="I112" s="57" t="str">
        <f>IF(('Mid1'!F111+'Mid2'!F111+'quiz 1'!F111+'Assignment or Proposal'!F111+'Final exam'!F111+'quiz 2'!F111+'Poster or Presentation'!F111+'practical exam or OSCE'!F111)&lt;&gt;0,'Mid1'!F111+'Mid2'!F111+'quiz 1'!F111+'Assignment or Proposal'!F111+'Final exam'!F111+'quiz 2'!F111+'Poster or Presentation'!F111+'practical exam or OSCE'!F111,"")</f>
        <v/>
      </c>
      <c r="J112" s="57" t="str">
        <f>IF(('Mid1'!G111+'Mid2'!G111+'quiz 1'!G111+'Assignment or Proposal'!G111+'Final exam'!G111+'quiz 2'!G111+'Poster or Presentation'!G111+'practical exam or OSCE'!G111)&lt;&gt;0,'Mid1'!G111+'Mid2'!G111+'quiz 1'!G111+'Assignment or Proposal'!G111+'Final exam'!G111+'quiz 2'!G111+'Poster or Presentation'!G111+'practical exam or OSCE'!G111,"")</f>
        <v/>
      </c>
      <c r="K112" s="57" t="str">
        <f>IF(('Mid1'!H111+'Mid2'!H111+'quiz 1'!H111+'Assignment or Proposal'!H111+'Final exam'!H111+'quiz 2'!H111+'Poster or Presentation'!H111+'practical exam or OSCE'!H111)&lt;&gt;0,'Mid1'!H111+'Mid2'!H111+'quiz 1'!H111+'Assignment or Proposal'!H111+'Final exam'!H111+'quiz 2'!H111+'Poster or Presentation'!H111+'practical exam or OSCE'!H111,"")</f>
        <v/>
      </c>
      <c r="L112" s="57" t="str">
        <f>IF(('Mid1'!I111+'Mid2'!I111+'quiz 1'!I111+'Assignment or Proposal'!I111+'Final exam'!I111+'quiz 2'!I111+'Poster or Presentation'!I111+'practical exam or OSCE'!I111)&lt;&gt;0,'Mid1'!I111+'Mid2'!I111+'quiz 1'!I111+'Assignment or Proposal'!I111+'Final exam'!I111+'quiz 2'!I111+'Poster or Presentation'!I111+'practical exam or OSCE'!I111,"")</f>
        <v/>
      </c>
      <c r="M112" s="57" t="str">
        <f>IF(('Mid1'!J111+'Mid2'!J111+'quiz 1'!J111+'Assignment or Proposal'!J111+'Final exam'!J111+'quiz 2'!J111+'Poster or Presentation'!J111+'practical exam or OSCE'!J111)&lt;&gt;0,'Mid1'!J111+'Mid2'!J111+'quiz 1'!J111+'Assignment or Proposal'!J111+'Final exam'!J111+'quiz 2'!J111+'Poster or Presentation'!J111+'practical exam or OSCE'!J111,"")</f>
        <v/>
      </c>
      <c r="N112" s="5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O112" s="5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P112" s="57" t="str">
        <f>IF(('Mid1'!M111+'Mid2'!M111+'quiz 1'!M111+'Assignment or Proposal'!M111+'Final exam'!M111+'quiz 2'!M111+'Poster or Presentation'!M111+'practical exam or OSCE'!M111)&lt;&gt;0,'Mid1'!M111+'Mid2'!M111+'quiz 1'!M111+'Assignment or Proposal'!M111+'Final exam'!M111+'quiz 2'!M111+'Poster or Presentation'!M111+'practical exam or OSCE'!M111,"")</f>
        <v/>
      </c>
      <c r="Q112" s="136" t="str">
        <f t="shared" si="5"/>
        <v/>
      </c>
    </row>
    <row r="113" spans="1:17" ht="20.25" hidden="1" customHeight="1" x14ac:dyDescent="0.25">
      <c r="A113" s="24">
        <v>102</v>
      </c>
      <c r="B113" s="24" t="str">
        <f>IF(StList!B104&lt;&gt;"",StList!B104,"")</f>
        <v>Pharmaceutical sciences</v>
      </c>
      <c r="C113" s="24" t="str">
        <f>IF(StList!E104&lt;&gt;"",StList!E104,"")</f>
        <v/>
      </c>
      <c r="D113" s="24" t="str">
        <f>IF(StList!F104&lt;&gt;"",StList!F104,"")</f>
        <v/>
      </c>
      <c r="E113" s="57" t="str">
        <f>IF(('Mid1'!B112+'Mid2'!B112+'quiz 1'!B112+'Assignment or Proposal'!B112+'Final exam'!B112+'quiz 2'!B112+'Poster or Presentation'!B112+'practical exam or OSCE'!B112)&lt;&gt;0,'Mid1'!B112+'Mid2'!B112+'quiz 1'!B112+'Assignment or Proposal'!B112+'Final exam'!B112+'quiz 2'!B112+'Poster or Presentation'!B112+'practical exam or OSCE'!B112,"")</f>
        <v/>
      </c>
      <c r="F113" s="57" t="str">
        <f>IF(('Mid1'!C112+'Mid2'!C112+'quiz 1'!C112+'Assignment or Proposal'!C112+'Final exam'!C112+'quiz 2'!C112+'Poster or Presentation'!C112+'practical exam or OSCE'!C112)&lt;&gt;0,'Mid1'!C112+'Mid2'!C112+'quiz 1'!C112+'Assignment or Proposal'!C112+'Final exam'!C112+'quiz 2'!C112+'Poster or Presentation'!C112+'practical exam or OSCE'!C112,"")</f>
        <v/>
      </c>
      <c r="G113" s="57" t="str">
        <f>IF(('Mid1'!D112+'Mid2'!D112+'quiz 1'!D112+'Assignment or Proposal'!D112+'Final exam'!D112+'quiz 2'!D112+'Poster or Presentation'!D112+'practical exam or OSCE'!D112)&lt;&gt;0,'Mid1'!D112+'Mid2'!D112+'quiz 1'!D112+'Assignment or Proposal'!D112+'Final exam'!D112+'quiz 2'!D112+'Poster or Presentation'!D112+'practical exam or OSCE'!D112,"")</f>
        <v/>
      </c>
      <c r="H113" s="57" t="str">
        <f>IF(('Mid1'!E112+'Mid2'!E112+'quiz 1'!E112+'Assignment or Proposal'!E112+'Final exam'!E112+'quiz 2'!E112+'Poster or Presentation'!E112+'practical exam or OSCE'!E112)&lt;&gt;0,'Mid1'!E112+'Mid2'!E112+'quiz 1'!E112+'Assignment or Proposal'!E112+'Final exam'!E112+'quiz 2'!E112+'Poster or Presentation'!E112+'practical exam or OSCE'!E112,"")</f>
        <v/>
      </c>
      <c r="I113" s="57" t="str">
        <f>IF(('Mid1'!F112+'Mid2'!F112+'quiz 1'!F112+'Assignment or Proposal'!F112+'Final exam'!F112+'quiz 2'!F112+'Poster or Presentation'!F112+'practical exam or OSCE'!F112)&lt;&gt;0,'Mid1'!F112+'Mid2'!F112+'quiz 1'!F112+'Assignment or Proposal'!F112+'Final exam'!F112+'quiz 2'!F112+'Poster or Presentation'!F112+'practical exam or OSCE'!F112,"")</f>
        <v/>
      </c>
      <c r="J113" s="57" t="str">
        <f>IF(('Mid1'!G112+'Mid2'!G112+'quiz 1'!G112+'Assignment or Proposal'!G112+'Final exam'!G112+'quiz 2'!G112+'Poster or Presentation'!G112+'practical exam or OSCE'!G112)&lt;&gt;0,'Mid1'!G112+'Mid2'!G112+'quiz 1'!G112+'Assignment or Proposal'!G112+'Final exam'!G112+'quiz 2'!G112+'Poster or Presentation'!G112+'practical exam or OSCE'!G112,"")</f>
        <v/>
      </c>
      <c r="K113" s="57" t="str">
        <f>IF(('Mid1'!H112+'Mid2'!H112+'quiz 1'!H112+'Assignment or Proposal'!H112+'Final exam'!H112+'quiz 2'!H112+'Poster or Presentation'!H112+'practical exam or OSCE'!H112)&lt;&gt;0,'Mid1'!H112+'Mid2'!H112+'quiz 1'!H112+'Assignment or Proposal'!H112+'Final exam'!H112+'quiz 2'!H112+'Poster or Presentation'!H112+'practical exam or OSCE'!H112,"")</f>
        <v/>
      </c>
      <c r="L113" s="57" t="str">
        <f>IF(('Mid1'!I112+'Mid2'!I112+'quiz 1'!I112+'Assignment or Proposal'!I112+'Final exam'!I112+'quiz 2'!I112+'Poster or Presentation'!I112+'practical exam or OSCE'!I112)&lt;&gt;0,'Mid1'!I112+'Mid2'!I112+'quiz 1'!I112+'Assignment or Proposal'!I112+'Final exam'!I112+'quiz 2'!I112+'Poster or Presentation'!I112+'practical exam or OSCE'!I112,"")</f>
        <v/>
      </c>
      <c r="M113" s="57" t="str">
        <f>IF(('Mid1'!J112+'Mid2'!J112+'quiz 1'!J112+'Assignment or Proposal'!J112+'Final exam'!J112+'quiz 2'!J112+'Poster or Presentation'!J112+'practical exam or OSCE'!J112)&lt;&gt;0,'Mid1'!J112+'Mid2'!J112+'quiz 1'!J112+'Assignment or Proposal'!J112+'Final exam'!J112+'quiz 2'!J112+'Poster or Presentation'!J112+'practical exam or OSCE'!J112,"")</f>
        <v/>
      </c>
      <c r="N113" s="5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O113" s="5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P113" s="57" t="str">
        <f>IF(('Mid1'!M112+'Mid2'!M112+'quiz 1'!M112+'Assignment or Proposal'!M112+'Final exam'!M112+'quiz 2'!M112+'Poster or Presentation'!M112+'practical exam or OSCE'!M112)&lt;&gt;0,'Mid1'!M112+'Mid2'!M112+'quiz 1'!M112+'Assignment or Proposal'!M112+'Final exam'!M112+'quiz 2'!M112+'Poster or Presentation'!M112+'practical exam or OSCE'!M112,"")</f>
        <v/>
      </c>
      <c r="Q113" s="136" t="str">
        <f t="shared" si="5"/>
        <v/>
      </c>
    </row>
    <row r="114" spans="1:17" ht="20.25" hidden="1" customHeight="1" x14ac:dyDescent="0.25">
      <c r="A114" s="24">
        <v>103</v>
      </c>
      <c r="B114" s="24" t="str">
        <f>IF(StList!B105&lt;&gt;"",StList!B105,"")</f>
        <v>Pharmaceutical sciences</v>
      </c>
      <c r="C114" s="24" t="str">
        <f>IF(StList!E105&lt;&gt;"",StList!E105,"")</f>
        <v/>
      </c>
      <c r="D114" s="24" t="str">
        <f>IF(StList!F105&lt;&gt;"",StList!F105,"")</f>
        <v/>
      </c>
      <c r="E114" s="57" t="str">
        <f>IF(('Mid1'!B113+'Mid2'!B113+'quiz 1'!B113+'Assignment or Proposal'!B113+'Final exam'!B113+'quiz 2'!B113+'Poster or Presentation'!B113+'practical exam or OSCE'!B113)&lt;&gt;0,'Mid1'!B113+'Mid2'!B113+'quiz 1'!B113+'Assignment or Proposal'!B113+'Final exam'!B113+'quiz 2'!B113+'Poster or Presentation'!B113+'practical exam or OSCE'!B113,"")</f>
        <v/>
      </c>
      <c r="F114" s="57" t="str">
        <f>IF(('Mid1'!C113+'Mid2'!C113+'quiz 1'!C113+'Assignment or Proposal'!C113+'Final exam'!C113+'quiz 2'!C113+'Poster or Presentation'!C113+'practical exam or OSCE'!C113)&lt;&gt;0,'Mid1'!C113+'Mid2'!C113+'quiz 1'!C113+'Assignment or Proposal'!C113+'Final exam'!C113+'quiz 2'!C113+'Poster or Presentation'!C113+'practical exam or OSCE'!C113,"")</f>
        <v/>
      </c>
      <c r="G114" s="57" t="str">
        <f>IF(('Mid1'!D113+'Mid2'!D113+'quiz 1'!D113+'Assignment or Proposal'!D113+'Final exam'!D113+'quiz 2'!D113+'Poster or Presentation'!D113+'practical exam or OSCE'!D113)&lt;&gt;0,'Mid1'!D113+'Mid2'!D113+'quiz 1'!D113+'Assignment or Proposal'!D113+'Final exam'!D113+'quiz 2'!D113+'Poster or Presentation'!D113+'practical exam or OSCE'!D113,"")</f>
        <v/>
      </c>
      <c r="H114" s="57" t="str">
        <f>IF(('Mid1'!E113+'Mid2'!E113+'quiz 1'!E113+'Assignment or Proposal'!E113+'Final exam'!E113+'quiz 2'!E113+'Poster or Presentation'!E113+'practical exam or OSCE'!E113)&lt;&gt;0,'Mid1'!E113+'Mid2'!E113+'quiz 1'!E113+'Assignment or Proposal'!E113+'Final exam'!E113+'quiz 2'!E113+'Poster or Presentation'!E113+'practical exam or OSCE'!E113,"")</f>
        <v/>
      </c>
      <c r="I114" s="57" t="str">
        <f>IF(('Mid1'!F113+'Mid2'!F113+'quiz 1'!F113+'Assignment or Proposal'!F113+'Final exam'!F113+'quiz 2'!F113+'Poster or Presentation'!F113+'practical exam or OSCE'!F113)&lt;&gt;0,'Mid1'!F113+'Mid2'!F113+'quiz 1'!F113+'Assignment or Proposal'!F113+'Final exam'!F113+'quiz 2'!F113+'Poster or Presentation'!F113+'practical exam or OSCE'!F113,"")</f>
        <v/>
      </c>
      <c r="J114" s="57" t="str">
        <f>IF(('Mid1'!G113+'Mid2'!G113+'quiz 1'!G113+'Assignment or Proposal'!G113+'Final exam'!G113+'quiz 2'!G113+'Poster or Presentation'!G113+'practical exam or OSCE'!G113)&lt;&gt;0,'Mid1'!G113+'Mid2'!G113+'quiz 1'!G113+'Assignment or Proposal'!G113+'Final exam'!G113+'quiz 2'!G113+'Poster or Presentation'!G113+'practical exam or OSCE'!G113,"")</f>
        <v/>
      </c>
      <c r="K114" s="57" t="str">
        <f>IF(('Mid1'!H113+'Mid2'!H113+'quiz 1'!H113+'Assignment or Proposal'!H113+'Final exam'!H113+'quiz 2'!H113+'Poster or Presentation'!H113+'practical exam or OSCE'!H113)&lt;&gt;0,'Mid1'!H113+'Mid2'!H113+'quiz 1'!H113+'Assignment or Proposal'!H113+'Final exam'!H113+'quiz 2'!H113+'Poster or Presentation'!H113+'practical exam or OSCE'!H113,"")</f>
        <v/>
      </c>
      <c r="L114" s="57" t="str">
        <f>IF(('Mid1'!I113+'Mid2'!I113+'quiz 1'!I113+'Assignment or Proposal'!I113+'Final exam'!I113+'quiz 2'!I113+'Poster or Presentation'!I113+'practical exam or OSCE'!I113)&lt;&gt;0,'Mid1'!I113+'Mid2'!I113+'quiz 1'!I113+'Assignment or Proposal'!I113+'Final exam'!I113+'quiz 2'!I113+'Poster or Presentation'!I113+'practical exam or OSCE'!I113,"")</f>
        <v/>
      </c>
      <c r="M114" s="57" t="str">
        <f>IF(('Mid1'!J113+'Mid2'!J113+'quiz 1'!J113+'Assignment or Proposal'!J113+'Final exam'!J113+'quiz 2'!J113+'Poster or Presentation'!J113+'practical exam or OSCE'!J113)&lt;&gt;0,'Mid1'!J113+'Mid2'!J113+'quiz 1'!J113+'Assignment or Proposal'!J113+'Final exam'!J113+'quiz 2'!J113+'Poster or Presentation'!J113+'practical exam or OSCE'!J113,"")</f>
        <v/>
      </c>
      <c r="N114" s="5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O114" s="5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P114" s="57" t="str">
        <f>IF(('Mid1'!M113+'Mid2'!M113+'quiz 1'!M113+'Assignment or Proposal'!M113+'Final exam'!M113+'quiz 2'!M113+'Poster or Presentation'!M113+'practical exam or OSCE'!M113)&lt;&gt;0,'Mid1'!M113+'Mid2'!M113+'quiz 1'!M113+'Assignment or Proposal'!M113+'Final exam'!M113+'quiz 2'!M113+'Poster or Presentation'!M113+'practical exam or OSCE'!M113,"")</f>
        <v/>
      </c>
      <c r="Q114" s="136" t="str">
        <f t="shared" si="5"/>
        <v/>
      </c>
    </row>
    <row r="115" spans="1:17" ht="20.25" hidden="1" customHeight="1" x14ac:dyDescent="0.25">
      <c r="A115" s="24">
        <v>104</v>
      </c>
      <c r="B115" s="24" t="str">
        <f>IF(StList!B106&lt;&gt;"",StList!B106,"")</f>
        <v>Pharmaceutical sciences</v>
      </c>
      <c r="C115" s="24" t="str">
        <f>IF(StList!E106&lt;&gt;"",StList!E106,"")</f>
        <v/>
      </c>
      <c r="D115" s="24" t="str">
        <f>IF(StList!F106&lt;&gt;"",StList!F106,"")</f>
        <v/>
      </c>
      <c r="E115" s="57" t="str">
        <f>IF(('Mid1'!B114+'Mid2'!B114+'quiz 1'!B114+'Assignment or Proposal'!B114+'Final exam'!B114+'quiz 2'!B114+'Poster or Presentation'!B114+'practical exam or OSCE'!B114)&lt;&gt;0,'Mid1'!B114+'Mid2'!B114+'quiz 1'!B114+'Assignment or Proposal'!B114+'Final exam'!B114+'quiz 2'!B114+'Poster or Presentation'!B114+'practical exam or OSCE'!B114,"")</f>
        <v/>
      </c>
      <c r="F115" s="57" t="str">
        <f>IF(('Mid1'!C114+'Mid2'!C114+'quiz 1'!C114+'Assignment or Proposal'!C114+'Final exam'!C114+'quiz 2'!C114+'Poster or Presentation'!C114+'practical exam or OSCE'!C114)&lt;&gt;0,'Mid1'!C114+'Mid2'!C114+'quiz 1'!C114+'Assignment or Proposal'!C114+'Final exam'!C114+'quiz 2'!C114+'Poster or Presentation'!C114+'practical exam or OSCE'!C114,"")</f>
        <v/>
      </c>
      <c r="G115" s="57" t="str">
        <f>IF(('Mid1'!D114+'Mid2'!D114+'quiz 1'!D114+'Assignment or Proposal'!D114+'Final exam'!D114+'quiz 2'!D114+'Poster or Presentation'!D114+'practical exam or OSCE'!D114)&lt;&gt;0,'Mid1'!D114+'Mid2'!D114+'quiz 1'!D114+'Assignment or Proposal'!D114+'Final exam'!D114+'quiz 2'!D114+'Poster or Presentation'!D114+'practical exam or OSCE'!D114,"")</f>
        <v/>
      </c>
      <c r="H115" s="57" t="str">
        <f>IF(('Mid1'!E114+'Mid2'!E114+'quiz 1'!E114+'Assignment or Proposal'!E114+'Final exam'!E114+'quiz 2'!E114+'Poster or Presentation'!E114+'practical exam or OSCE'!E114)&lt;&gt;0,'Mid1'!E114+'Mid2'!E114+'quiz 1'!E114+'Assignment or Proposal'!E114+'Final exam'!E114+'quiz 2'!E114+'Poster or Presentation'!E114+'practical exam or OSCE'!E114,"")</f>
        <v/>
      </c>
      <c r="I115" s="57" t="str">
        <f>IF(('Mid1'!F114+'Mid2'!F114+'quiz 1'!F114+'Assignment or Proposal'!F114+'Final exam'!F114+'quiz 2'!F114+'Poster or Presentation'!F114+'practical exam or OSCE'!F114)&lt;&gt;0,'Mid1'!F114+'Mid2'!F114+'quiz 1'!F114+'Assignment or Proposal'!F114+'Final exam'!F114+'quiz 2'!F114+'Poster or Presentation'!F114+'practical exam or OSCE'!F114,"")</f>
        <v/>
      </c>
      <c r="J115" s="57" t="str">
        <f>IF(('Mid1'!G114+'Mid2'!G114+'quiz 1'!G114+'Assignment or Proposal'!G114+'Final exam'!G114+'quiz 2'!G114+'Poster or Presentation'!G114+'practical exam or OSCE'!G114)&lt;&gt;0,'Mid1'!G114+'Mid2'!G114+'quiz 1'!G114+'Assignment or Proposal'!G114+'Final exam'!G114+'quiz 2'!G114+'Poster or Presentation'!G114+'practical exam or OSCE'!G114,"")</f>
        <v/>
      </c>
      <c r="K115" s="57" t="str">
        <f>IF(('Mid1'!H114+'Mid2'!H114+'quiz 1'!H114+'Assignment or Proposal'!H114+'Final exam'!H114+'quiz 2'!H114+'Poster or Presentation'!H114+'practical exam or OSCE'!H114)&lt;&gt;0,'Mid1'!H114+'Mid2'!H114+'quiz 1'!H114+'Assignment or Proposal'!H114+'Final exam'!H114+'quiz 2'!H114+'Poster or Presentation'!H114+'practical exam or OSCE'!H114,"")</f>
        <v/>
      </c>
      <c r="L115" s="57" t="str">
        <f>IF(('Mid1'!I114+'Mid2'!I114+'quiz 1'!I114+'Assignment or Proposal'!I114+'Final exam'!I114+'quiz 2'!I114+'Poster or Presentation'!I114+'practical exam or OSCE'!I114)&lt;&gt;0,'Mid1'!I114+'Mid2'!I114+'quiz 1'!I114+'Assignment or Proposal'!I114+'Final exam'!I114+'quiz 2'!I114+'Poster or Presentation'!I114+'practical exam or OSCE'!I114,"")</f>
        <v/>
      </c>
      <c r="M115" s="57" t="str">
        <f>IF(('Mid1'!J114+'Mid2'!J114+'quiz 1'!J114+'Assignment or Proposal'!J114+'Final exam'!J114+'quiz 2'!J114+'Poster or Presentation'!J114+'practical exam or OSCE'!J114)&lt;&gt;0,'Mid1'!J114+'Mid2'!J114+'quiz 1'!J114+'Assignment or Proposal'!J114+'Final exam'!J114+'quiz 2'!J114+'Poster or Presentation'!J114+'practical exam or OSCE'!J114,"")</f>
        <v/>
      </c>
      <c r="N115" s="5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O115" s="5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P115" s="57" t="str">
        <f>IF(('Mid1'!M114+'Mid2'!M114+'quiz 1'!M114+'Assignment or Proposal'!M114+'Final exam'!M114+'quiz 2'!M114+'Poster or Presentation'!M114+'practical exam or OSCE'!M114)&lt;&gt;0,'Mid1'!M114+'Mid2'!M114+'quiz 1'!M114+'Assignment or Proposal'!M114+'Final exam'!M114+'quiz 2'!M114+'Poster or Presentation'!M114+'practical exam or OSCE'!M114,"")</f>
        <v/>
      </c>
      <c r="Q115" s="136" t="str">
        <f t="shared" si="5"/>
        <v/>
      </c>
    </row>
    <row r="116" spans="1:17" ht="20.25" hidden="1" customHeight="1" x14ac:dyDescent="0.25">
      <c r="A116" s="24">
        <v>105</v>
      </c>
      <c r="B116" s="24" t="str">
        <f>IF(StList!B107&lt;&gt;"",StList!B107,"")</f>
        <v>Pharmaceutical sciences</v>
      </c>
      <c r="C116" s="24" t="str">
        <f>IF(StList!E107&lt;&gt;"",StList!E107,"")</f>
        <v/>
      </c>
      <c r="D116" s="24" t="str">
        <f>IF(StList!F107&lt;&gt;"",StList!F107,"")</f>
        <v/>
      </c>
      <c r="E116" s="57" t="str">
        <f>IF(('Mid1'!B115+'Mid2'!B115+'quiz 1'!B115+'Assignment or Proposal'!B115+'Final exam'!B115+'quiz 2'!B115+'Poster or Presentation'!B115+'practical exam or OSCE'!B115)&lt;&gt;0,'Mid1'!B115+'Mid2'!B115+'quiz 1'!B115+'Assignment or Proposal'!B115+'Final exam'!B115+'quiz 2'!B115+'Poster or Presentation'!B115+'practical exam or OSCE'!B115,"")</f>
        <v/>
      </c>
      <c r="F116" s="57" t="str">
        <f>IF(('Mid1'!C115+'Mid2'!C115+'quiz 1'!C115+'Assignment or Proposal'!C115+'Final exam'!C115+'quiz 2'!C115+'Poster or Presentation'!C115+'practical exam or OSCE'!C115)&lt;&gt;0,'Mid1'!C115+'Mid2'!C115+'quiz 1'!C115+'Assignment or Proposal'!C115+'Final exam'!C115+'quiz 2'!C115+'Poster or Presentation'!C115+'practical exam or OSCE'!C115,"")</f>
        <v/>
      </c>
      <c r="G116" s="57" t="str">
        <f>IF(('Mid1'!D115+'Mid2'!D115+'quiz 1'!D115+'Assignment or Proposal'!D115+'Final exam'!D115+'quiz 2'!D115+'Poster or Presentation'!D115+'practical exam or OSCE'!D115)&lt;&gt;0,'Mid1'!D115+'Mid2'!D115+'quiz 1'!D115+'Assignment or Proposal'!D115+'Final exam'!D115+'quiz 2'!D115+'Poster or Presentation'!D115+'practical exam or OSCE'!D115,"")</f>
        <v/>
      </c>
      <c r="H116" s="57" t="str">
        <f>IF(('Mid1'!E115+'Mid2'!E115+'quiz 1'!E115+'Assignment or Proposal'!E115+'Final exam'!E115+'quiz 2'!E115+'Poster or Presentation'!E115+'practical exam or OSCE'!E115)&lt;&gt;0,'Mid1'!E115+'Mid2'!E115+'quiz 1'!E115+'Assignment or Proposal'!E115+'Final exam'!E115+'quiz 2'!E115+'Poster or Presentation'!E115+'practical exam or OSCE'!E115,"")</f>
        <v/>
      </c>
      <c r="I116" s="57" t="str">
        <f>IF(('Mid1'!F115+'Mid2'!F115+'quiz 1'!F115+'Assignment or Proposal'!F115+'Final exam'!F115+'quiz 2'!F115+'Poster or Presentation'!F115+'practical exam or OSCE'!F115)&lt;&gt;0,'Mid1'!F115+'Mid2'!F115+'quiz 1'!F115+'Assignment or Proposal'!F115+'Final exam'!F115+'quiz 2'!F115+'Poster or Presentation'!F115+'practical exam or OSCE'!F115,"")</f>
        <v/>
      </c>
      <c r="J116" s="57" t="str">
        <f>IF(('Mid1'!G115+'Mid2'!G115+'quiz 1'!G115+'Assignment or Proposal'!G115+'Final exam'!G115+'quiz 2'!G115+'Poster or Presentation'!G115+'practical exam or OSCE'!G115)&lt;&gt;0,'Mid1'!G115+'Mid2'!G115+'quiz 1'!G115+'Assignment or Proposal'!G115+'Final exam'!G115+'quiz 2'!G115+'Poster or Presentation'!G115+'practical exam or OSCE'!G115,"")</f>
        <v/>
      </c>
      <c r="K116" s="57" t="str">
        <f>IF(('Mid1'!H115+'Mid2'!H115+'quiz 1'!H115+'Assignment or Proposal'!H115+'Final exam'!H115+'quiz 2'!H115+'Poster or Presentation'!H115+'practical exam or OSCE'!H115)&lt;&gt;0,'Mid1'!H115+'Mid2'!H115+'quiz 1'!H115+'Assignment or Proposal'!H115+'Final exam'!H115+'quiz 2'!H115+'Poster or Presentation'!H115+'practical exam or OSCE'!H115,"")</f>
        <v/>
      </c>
      <c r="L116" s="57" t="str">
        <f>IF(('Mid1'!I115+'Mid2'!I115+'quiz 1'!I115+'Assignment or Proposal'!I115+'Final exam'!I115+'quiz 2'!I115+'Poster or Presentation'!I115+'practical exam or OSCE'!I115)&lt;&gt;0,'Mid1'!I115+'Mid2'!I115+'quiz 1'!I115+'Assignment or Proposal'!I115+'Final exam'!I115+'quiz 2'!I115+'Poster or Presentation'!I115+'practical exam or OSCE'!I115,"")</f>
        <v/>
      </c>
      <c r="M116" s="57" t="str">
        <f>IF(('Mid1'!J115+'Mid2'!J115+'quiz 1'!J115+'Assignment or Proposal'!J115+'Final exam'!J115+'quiz 2'!J115+'Poster or Presentation'!J115+'practical exam or OSCE'!J115)&lt;&gt;0,'Mid1'!J115+'Mid2'!J115+'quiz 1'!J115+'Assignment or Proposal'!J115+'Final exam'!J115+'quiz 2'!J115+'Poster or Presentation'!J115+'practical exam or OSCE'!J115,"")</f>
        <v/>
      </c>
      <c r="N116" s="5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O116" s="5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P116" s="57" t="str">
        <f>IF(('Mid1'!M115+'Mid2'!M115+'quiz 1'!M115+'Assignment or Proposal'!M115+'Final exam'!M115+'quiz 2'!M115+'Poster or Presentation'!M115+'practical exam or OSCE'!M115)&lt;&gt;0,'Mid1'!M115+'Mid2'!M115+'quiz 1'!M115+'Assignment or Proposal'!M115+'Final exam'!M115+'quiz 2'!M115+'Poster or Presentation'!M115+'practical exam or OSCE'!M115,"")</f>
        <v/>
      </c>
      <c r="Q116" s="136" t="str">
        <f t="shared" si="5"/>
        <v/>
      </c>
    </row>
    <row r="117" spans="1:17" ht="20.25" hidden="1" customHeight="1" x14ac:dyDescent="0.25">
      <c r="A117" s="24">
        <v>106</v>
      </c>
      <c r="B117" s="24" t="str">
        <f>IF(StList!B108&lt;&gt;"",StList!B108,"")</f>
        <v>Pharmaceutical sciences</v>
      </c>
      <c r="C117" s="24" t="str">
        <f>IF(StList!E108&lt;&gt;"",StList!E108,"")</f>
        <v/>
      </c>
      <c r="D117" s="24" t="str">
        <f>IF(StList!F108&lt;&gt;"",StList!F108,"")</f>
        <v/>
      </c>
      <c r="E117" s="57" t="str">
        <f>IF(('Mid1'!B116+'Mid2'!B116+'quiz 1'!B116+'Assignment or Proposal'!B116+'Final exam'!B116+'quiz 2'!B116+'Poster or Presentation'!B116+'practical exam or OSCE'!B116)&lt;&gt;0,'Mid1'!B116+'Mid2'!B116+'quiz 1'!B116+'Assignment or Proposal'!B116+'Final exam'!B116+'quiz 2'!B116+'Poster or Presentation'!B116+'practical exam or OSCE'!B116,"")</f>
        <v/>
      </c>
      <c r="F117" s="57" t="str">
        <f>IF(('Mid1'!C116+'Mid2'!C116+'quiz 1'!C116+'Assignment or Proposal'!C116+'Final exam'!C116+'quiz 2'!C116+'Poster or Presentation'!C116+'practical exam or OSCE'!C116)&lt;&gt;0,'Mid1'!C116+'Mid2'!C116+'quiz 1'!C116+'Assignment or Proposal'!C116+'Final exam'!C116+'quiz 2'!C116+'Poster or Presentation'!C116+'practical exam or OSCE'!C116,"")</f>
        <v/>
      </c>
      <c r="G117" s="57" t="str">
        <f>IF(('Mid1'!D116+'Mid2'!D116+'quiz 1'!D116+'Assignment or Proposal'!D116+'Final exam'!D116+'quiz 2'!D116+'Poster or Presentation'!D116+'practical exam or OSCE'!D116)&lt;&gt;0,'Mid1'!D116+'Mid2'!D116+'quiz 1'!D116+'Assignment or Proposal'!D116+'Final exam'!D116+'quiz 2'!D116+'Poster or Presentation'!D116+'practical exam or OSCE'!D116,"")</f>
        <v/>
      </c>
      <c r="H117" s="57" t="str">
        <f>IF(('Mid1'!E116+'Mid2'!E116+'quiz 1'!E116+'Assignment or Proposal'!E116+'Final exam'!E116+'quiz 2'!E116+'Poster or Presentation'!E116+'practical exam or OSCE'!E116)&lt;&gt;0,'Mid1'!E116+'Mid2'!E116+'quiz 1'!E116+'Assignment or Proposal'!E116+'Final exam'!E116+'quiz 2'!E116+'Poster or Presentation'!E116+'practical exam or OSCE'!E116,"")</f>
        <v/>
      </c>
      <c r="I117" s="57" t="str">
        <f>IF(('Mid1'!F116+'Mid2'!F116+'quiz 1'!F116+'Assignment or Proposal'!F116+'Final exam'!F116+'quiz 2'!F116+'Poster or Presentation'!F116+'practical exam or OSCE'!F116)&lt;&gt;0,'Mid1'!F116+'Mid2'!F116+'quiz 1'!F116+'Assignment or Proposal'!F116+'Final exam'!F116+'quiz 2'!F116+'Poster or Presentation'!F116+'practical exam or OSCE'!F116,"")</f>
        <v/>
      </c>
      <c r="J117" s="57" t="str">
        <f>IF(('Mid1'!G116+'Mid2'!G116+'quiz 1'!G116+'Assignment or Proposal'!G116+'Final exam'!G116+'quiz 2'!G116+'Poster or Presentation'!G116+'practical exam or OSCE'!G116)&lt;&gt;0,'Mid1'!G116+'Mid2'!G116+'quiz 1'!G116+'Assignment or Proposal'!G116+'Final exam'!G116+'quiz 2'!G116+'Poster or Presentation'!G116+'practical exam or OSCE'!G116,"")</f>
        <v/>
      </c>
      <c r="K117" s="57" t="str">
        <f>IF(('Mid1'!H116+'Mid2'!H116+'quiz 1'!H116+'Assignment or Proposal'!H116+'Final exam'!H116+'quiz 2'!H116+'Poster or Presentation'!H116+'practical exam or OSCE'!H116)&lt;&gt;0,'Mid1'!H116+'Mid2'!H116+'quiz 1'!H116+'Assignment or Proposal'!H116+'Final exam'!H116+'quiz 2'!H116+'Poster or Presentation'!H116+'practical exam or OSCE'!H116,"")</f>
        <v/>
      </c>
      <c r="L117" s="57" t="str">
        <f>IF(('Mid1'!I116+'Mid2'!I116+'quiz 1'!I116+'Assignment or Proposal'!I116+'Final exam'!I116+'quiz 2'!I116+'Poster or Presentation'!I116+'practical exam or OSCE'!I116)&lt;&gt;0,'Mid1'!I116+'Mid2'!I116+'quiz 1'!I116+'Assignment or Proposal'!I116+'Final exam'!I116+'quiz 2'!I116+'Poster or Presentation'!I116+'practical exam or OSCE'!I116,"")</f>
        <v/>
      </c>
      <c r="M117" s="57" t="str">
        <f>IF(('Mid1'!J116+'Mid2'!J116+'quiz 1'!J116+'Assignment or Proposal'!J116+'Final exam'!J116+'quiz 2'!J116+'Poster or Presentation'!J116+'practical exam or OSCE'!J116)&lt;&gt;0,'Mid1'!J116+'Mid2'!J116+'quiz 1'!J116+'Assignment or Proposal'!J116+'Final exam'!J116+'quiz 2'!J116+'Poster or Presentation'!J116+'practical exam or OSCE'!J116,"")</f>
        <v/>
      </c>
      <c r="N117" s="5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O117" s="5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P117" s="57" t="str">
        <f>IF(('Mid1'!M116+'Mid2'!M116+'quiz 1'!M116+'Assignment or Proposal'!M116+'Final exam'!M116+'quiz 2'!M116+'Poster or Presentation'!M116+'practical exam or OSCE'!M116)&lt;&gt;0,'Mid1'!M116+'Mid2'!M116+'quiz 1'!M116+'Assignment or Proposal'!M116+'Final exam'!M116+'quiz 2'!M116+'Poster or Presentation'!M116+'practical exam or OSCE'!M116,"")</f>
        <v/>
      </c>
      <c r="Q117" s="136" t="str">
        <f t="shared" si="5"/>
        <v/>
      </c>
    </row>
    <row r="118" spans="1:17" ht="20.25" hidden="1" customHeight="1" x14ac:dyDescent="0.25">
      <c r="A118" s="24">
        <v>107</v>
      </c>
      <c r="B118" s="24" t="str">
        <f>IF(StList!B109&lt;&gt;"",StList!B109,"")</f>
        <v>Pharmaceutical sciences</v>
      </c>
      <c r="C118" s="24" t="str">
        <f>IF(StList!E109&lt;&gt;"",StList!E109,"")</f>
        <v/>
      </c>
      <c r="D118" s="24" t="str">
        <f>IF(StList!F109&lt;&gt;"",StList!F109,"")</f>
        <v/>
      </c>
      <c r="E118" s="57" t="str">
        <f>IF(('Mid1'!B117+'Mid2'!B117+'quiz 1'!B117+'Assignment or Proposal'!B117+'Final exam'!B117+'quiz 2'!B117+'Poster or Presentation'!B117+'practical exam or OSCE'!B117)&lt;&gt;0,'Mid1'!B117+'Mid2'!B117+'quiz 1'!B117+'Assignment or Proposal'!B117+'Final exam'!B117+'quiz 2'!B117+'Poster or Presentation'!B117+'practical exam or OSCE'!B117,"")</f>
        <v/>
      </c>
      <c r="F118" s="57" t="str">
        <f>IF(('Mid1'!C117+'Mid2'!C117+'quiz 1'!C117+'Assignment or Proposal'!C117+'Final exam'!C117+'quiz 2'!C117+'Poster or Presentation'!C117+'practical exam or OSCE'!C117)&lt;&gt;0,'Mid1'!C117+'Mid2'!C117+'quiz 1'!C117+'Assignment or Proposal'!C117+'Final exam'!C117+'quiz 2'!C117+'Poster or Presentation'!C117+'practical exam or OSCE'!C117,"")</f>
        <v/>
      </c>
      <c r="G118" s="57" t="str">
        <f>IF(('Mid1'!D117+'Mid2'!D117+'quiz 1'!D117+'Assignment or Proposal'!D117+'Final exam'!D117+'quiz 2'!D117+'Poster or Presentation'!D117+'practical exam or OSCE'!D117)&lt;&gt;0,'Mid1'!D117+'Mid2'!D117+'quiz 1'!D117+'Assignment or Proposal'!D117+'Final exam'!D117+'quiz 2'!D117+'Poster or Presentation'!D117+'practical exam or OSCE'!D117,"")</f>
        <v/>
      </c>
      <c r="H118" s="57" t="str">
        <f>IF(('Mid1'!E117+'Mid2'!E117+'quiz 1'!E117+'Assignment or Proposal'!E117+'Final exam'!E117+'quiz 2'!E117+'Poster or Presentation'!E117+'practical exam or OSCE'!E117)&lt;&gt;0,'Mid1'!E117+'Mid2'!E117+'quiz 1'!E117+'Assignment or Proposal'!E117+'Final exam'!E117+'quiz 2'!E117+'Poster or Presentation'!E117+'practical exam or OSCE'!E117,"")</f>
        <v/>
      </c>
      <c r="I118" s="57" t="str">
        <f>IF(('Mid1'!F117+'Mid2'!F117+'quiz 1'!F117+'Assignment or Proposal'!F117+'Final exam'!F117+'quiz 2'!F117+'Poster or Presentation'!F117+'practical exam or OSCE'!F117)&lt;&gt;0,'Mid1'!F117+'Mid2'!F117+'quiz 1'!F117+'Assignment or Proposal'!F117+'Final exam'!F117+'quiz 2'!F117+'Poster or Presentation'!F117+'practical exam or OSCE'!F117,"")</f>
        <v/>
      </c>
      <c r="J118" s="57" t="str">
        <f>IF(('Mid1'!G117+'Mid2'!G117+'quiz 1'!G117+'Assignment or Proposal'!G117+'Final exam'!G117+'quiz 2'!G117+'Poster or Presentation'!G117+'practical exam or OSCE'!G117)&lt;&gt;0,'Mid1'!G117+'Mid2'!G117+'quiz 1'!G117+'Assignment or Proposal'!G117+'Final exam'!G117+'quiz 2'!G117+'Poster or Presentation'!G117+'practical exam or OSCE'!G117,"")</f>
        <v/>
      </c>
      <c r="K118" s="57" t="str">
        <f>IF(('Mid1'!H117+'Mid2'!H117+'quiz 1'!H117+'Assignment or Proposal'!H117+'Final exam'!H117+'quiz 2'!H117+'Poster or Presentation'!H117+'practical exam or OSCE'!H117)&lt;&gt;0,'Mid1'!H117+'Mid2'!H117+'quiz 1'!H117+'Assignment or Proposal'!H117+'Final exam'!H117+'quiz 2'!H117+'Poster or Presentation'!H117+'practical exam or OSCE'!H117,"")</f>
        <v/>
      </c>
      <c r="L118" s="57" t="str">
        <f>IF(('Mid1'!I117+'Mid2'!I117+'quiz 1'!I117+'Assignment or Proposal'!I117+'Final exam'!I117+'quiz 2'!I117+'Poster or Presentation'!I117+'practical exam or OSCE'!I117)&lt;&gt;0,'Mid1'!I117+'Mid2'!I117+'quiz 1'!I117+'Assignment or Proposal'!I117+'Final exam'!I117+'quiz 2'!I117+'Poster or Presentation'!I117+'practical exam or OSCE'!I117,"")</f>
        <v/>
      </c>
      <c r="M118" s="57" t="str">
        <f>IF(('Mid1'!J117+'Mid2'!J117+'quiz 1'!J117+'Assignment or Proposal'!J117+'Final exam'!J117+'quiz 2'!J117+'Poster or Presentation'!J117+'practical exam or OSCE'!J117)&lt;&gt;0,'Mid1'!J117+'Mid2'!J117+'quiz 1'!J117+'Assignment or Proposal'!J117+'Final exam'!J117+'quiz 2'!J117+'Poster or Presentation'!J117+'practical exam or OSCE'!J117,"")</f>
        <v/>
      </c>
      <c r="N118" s="5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O118" s="5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P118" s="57" t="str">
        <f>IF(('Mid1'!M117+'Mid2'!M117+'quiz 1'!M117+'Assignment or Proposal'!M117+'Final exam'!M117+'quiz 2'!M117+'Poster or Presentation'!M117+'practical exam or OSCE'!M117)&lt;&gt;0,'Mid1'!M117+'Mid2'!M117+'quiz 1'!M117+'Assignment or Proposal'!M117+'Final exam'!M117+'quiz 2'!M117+'Poster or Presentation'!M117+'practical exam or OSCE'!M117,"")</f>
        <v/>
      </c>
      <c r="Q118" s="136" t="str">
        <f t="shared" si="5"/>
        <v/>
      </c>
    </row>
    <row r="119" spans="1:17" ht="20.25" hidden="1" customHeight="1" x14ac:dyDescent="0.25">
      <c r="A119" s="24">
        <v>108</v>
      </c>
      <c r="B119" s="24" t="str">
        <f>IF(StList!B110&lt;&gt;"",StList!B110,"")</f>
        <v>Pharmaceutical sciences</v>
      </c>
      <c r="C119" s="24" t="str">
        <f>IF(StList!E110&lt;&gt;"",StList!E110,"")</f>
        <v/>
      </c>
      <c r="D119" s="24" t="str">
        <f>IF(StList!F110&lt;&gt;"",StList!F110,"")</f>
        <v/>
      </c>
      <c r="E119" s="57" t="str">
        <f>IF(('Mid1'!B118+'Mid2'!B118+'quiz 1'!B118+'Assignment or Proposal'!B118+'Final exam'!B118+'quiz 2'!B118+'Poster or Presentation'!B118+'practical exam or OSCE'!B118)&lt;&gt;0,'Mid1'!B118+'Mid2'!B118+'quiz 1'!B118+'Assignment or Proposal'!B118+'Final exam'!B118+'quiz 2'!B118+'Poster or Presentation'!B118+'practical exam or OSCE'!B118,"")</f>
        <v/>
      </c>
      <c r="F119" s="57" t="str">
        <f>IF(('Mid1'!C118+'Mid2'!C118+'quiz 1'!C118+'Assignment or Proposal'!C118+'Final exam'!C118+'quiz 2'!C118+'Poster or Presentation'!C118+'practical exam or OSCE'!C118)&lt;&gt;0,'Mid1'!C118+'Mid2'!C118+'quiz 1'!C118+'Assignment or Proposal'!C118+'Final exam'!C118+'quiz 2'!C118+'Poster or Presentation'!C118+'practical exam or OSCE'!C118,"")</f>
        <v/>
      </c>
      <c r="G119" s="57" t="str">
        <f>IF(('Mid1'!D118+'Mid2'!D118+'quiz 1'!D118+'Assignment or Proposal'!D118+'Final exam'!D118+'quiz 2'!D118+'Poster or Presentation'!D118+'practical exam or OSCE'!D118)&lt;&gt;0,'Mid1'!D118+'Mid2'!D118+'quiz 1'!D118+'Assignment or Proposal'!D118+'Final exam'!D118+'quiz 2'!D118+'Poster or Presentation'!D118+'practical exam or OSCE'!D118,"")</f>
        <v/>
      </c>
      <c r="H119" s="57" t="str">
        <f>IF(('Mid1'!E118+'Mid2'!E118+'quiz 1'!E118+'Assignment or Proposal'!E118+'Final exam'!E118+'quiz 2'!E118+'Poster or Presentation'!E118+'practical exam or OSCE'!E118)&lt;&gt;0,'Mid1'!E118+'Mid2'!E118+'quiz 1'!E118+'Assignment or Proposal'!E118+'Final exam'!E118+'quiz 2'!E118+'Poster or Presentation'!E118+'practical exam or OSCE'!E118,"")</f>
        <v/>
      </c>
      <c r="I119" s="57" t="str">
        <f>IF(('Mid1'!F118+'Mid2'!F118+'quiz 1'!F118+'Assignment or Proposal'!F118+'Final exam'!F118+'quiz 2'!F118+'Poster or Presentation'!F118+'practical exam or OSCE'!F118)&lt;&gt;0,'Mid1'!F118+'Mid2'!F118+'quiz 1'!F118+'Assignment or Proposal'!F118+'Final exam'!F118+'quiz 2'!F118+'Poster or Presentation'!F118+'practical exam or OSCE'!F118,"")</f>
        <v/>
      </c>
      <c r="J119" s="57" t="str">
        <f>IF(('Mid1'!G118+'Mid2'!G118+'quiz 1'!G118+'Assignment or Proposal'!G118+'Final exam'!G118+'quiz 2'!G118+'Poster or Presentation'!G118+'practical exam or OSCE'!G118)&lt;&gt;0,'Mid1'!G118+'Mid2'!G118+'quiz 1'!G118+'Assignment or Proposal'!G118+'Final exam'!G118+'quiz 2'!G118+'Poster or Presentation'!G118+'practical exam or OSCE'!G118,"")</f>
        <v/>
      </c>
      <c r="K119" s="57" t="str">
        <f>IF(('Mid1'!H118+'Mid2'!H118+'quiz 1'!H118+'Assignment or Proposal'!H118+'Final exam'!H118+'quiz 2'!H118+'Poster or Presentation'!H118+'practical exam or OSCE'!H118)&lt;&gt;0,'Mid1'!H118+'Mid2'!H118+'quiz 1'!H118+'Assignment or Proposal'!H118+'Final exam'!H118+'quiz 2'!H118+'Poster or Presentation'!H118+'practical exam or OSCE'!H118,"")</f>
        <v/>
      </c>
      <c r="L119" s="57" t="str">
        <f>IF(('Mid1'!I118+'Mid2'!I118+'quiz 1'!I118+'Assignment or Proposal'!I118+'Final exam'!I118+'quiz 2'!I118+'Poster or Presentation'!I118+'practical exam or OSCE'!I118)&lt;&gt;0,'Mid1'!I118+'Mid2'!I118+'quiz 1'!I118+'Assignment or Proposal'!I118+'Final exam'!I118+'quiz 2'!I118+'Poster or Presentation'!I118+'practical exam or OSCE'!I118,"")</f>
        <v/>
      </c>
      <c r="M119" s="57" t="str">
        <f>IF(('Mid1'!J118+'Mid2'!J118+'quiz 1'!J118+'Assignment or Proposal'!J118+'Final exam'!J118+'quiz 2'!J118+'Poster or Presentation'!J118+'practical exam or OSCE'!J118)&lt;&gt;0,'Mid1'!J118+'Mid2'!J118+'quiz 1'!J118+'Assignment or Proposal'!J118+'Final exam'!J118+'quiz 2'!J118+'Poster or Presentation'!J118+'practical exam or OSCE'!J118,"")</f>
        <v/>
      </c>
      <c r="N119" s="5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O119" s="5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P119" s="57" t="str">
        <f>IF(('Mid1'!M118+'Mid2'!M118+'quiz 1'!M118+'Assignment or Proposal'!M118+'Final exam'!M118+'quiz 2'!M118+'Poster or Presentation'!M118+'practical exam or OSCE'!M118)&lt;&gt;0,'Mid1'!M118+'Mid2'!M118+'quiz 1'!M118+'Assignment or Proposal'!M118+'Final exam'!M118+'quiz 2'!M118+'Poster or Presentation'!M118+'practical exam or OSCE'!M118,"")</f>
        <v/>
      </c>
      <c r="Q119" s="136" t="str">
        <f t="shared" si="5"/>
        <v/>
      </c>
    </row>
    <row r="120" spans="1:17" ht="20.25" hidden="1" customHeight="1" x14ac:dyDescent="0.25">
      <c r="A120" s="24">
        <v>109</v>
      </c>
      <c r="B120" s="24" t="str">
        <f>IF(StList!B111&lt;&gt;"",StList!B111,"")</f>
        <v>Pharmaceutical sciences</v>
      </c>
      <c r="C120" s="24" t="str">
        <f>IF(StList!E111&lt;&gt;"",StList!E111,"")</f>
        <v/>
      </c>
      <c r="D120" s="24" t="str">
        <f>IF(StList!F111&lt;&gt;"",StList!F111,"")</f>
        <v/>
      </c>
      <c r="E120" s="57" t="str">
        <f>IF(('Mid1'!B119+'Mid2'!B119+'quiz 1'!B119+'Assignment or Proposal'!B119+'Final exam'!B119+'quiz 2'!B119+'Poster or Presentation'!B119+'practical exam or OSCE'!B119)&lt;&gt;0,'Mid1'!B119+'Mid2'!B119+'quiz 1'!B119+'Assignment or Proposal'!B119+'Final exam'!B119+'quiz 2'!B119+'Poster or Presentation'!B119+'practical exam or OSCE'!B119,"")</f>
        <v/>
      </c>
      <c r="F120" s="57" t="str">
        <f>IF(('Mid1'!C119+'Mid2'!C119+'quiz 1'!C119+'Assignment or Proposal'!C119+'Final exam'!C119+'quiz 2'!C119+'Poster or Presentation'!C119+'practical exam or OSCE'!C119)&lt;&gt;0,'Mid1'!C119+'Mid2'!C119+'quiz 1'!C119+'Assignment or Proposal'!C119+'Final exam'!C119+'quiz 2'!C119+'Poster or Presentation'!C119+'practical exam or OSCE'!C119,"")</f>
        <v/>
      </c>
      <c r="G120" s="57" t="str">
        <f>IF(('Mid1'!D119+'Mid2'!D119+'quiz 1'!D119+'Assignment or Proposal'!D119+'Final exam'!D119+'quiz 2'!D119+'Poster or Presentation'!D119+'practical exam or OSCE'!D119)&lt;&gt;0,'Mid1'!D119+'Mid2'!D119+'quiz 1'!D119+'Assignment or Proposal'!D119+'Final exam'!D119+'quiz 2'!D119+'Poster or Presentation'!D119+'practical exam or OSCE'!D119,"")</f>
        <v/>
      </c>
      <c r="H120" s="57" t="str">
        <f>IF(('Mid1'!E119+'Mid2'!E119+'quiz 1'!E119+'Assignment or Proposal'!E119+'Final exam'!E119+'quiz 2'!E119+'Poster or Presentation'!E119+'practical exam or OSCE'!E119)&lt;&gt;0,'Mid1'!E119+'Mid2'!E119+'quiz 1'!E119+'Assignment or Proposal'!E119+'Final exam'!E119+'quiz 2'!E119+'Poster or Presentation'!E119+'practical exam or OSCE'!E119,"")</f>
        <v/>
      </c>
      <c r="I120" s="57" t="str">
        <f>IF(('Mid1'!F119+'Mid2'!F119+'quiz 1'!F119+'Assignment or Proposal'!F119+'Final exam'!F119+'quiz 2'!F119+'Poster or Presentation'!F119+'practical exam or OSCE'!F119)&lt;&gt;0,'Mid1'!F119+'Mid2'!F119+'quiz 1'!F119+'Assignment or Proposal'!F119+'Final exam'!F119+'quiz 2'!F119+'Poster or Presentation'!F119+'practical exam or OSCE'!F119,"")</f>
        <v/>
      </c>
      <c r="J120" s="57" t="str">
        <f>IF(('Mid1'!G119+'Mid2'!G119+'quiz 1'!G119+'Assignment or Proposal'!G119+'Final exam'!G119+'quiz 2'!G119+'Poster or Presentation'!G119+'practical exam or OSCE'!G119)&lt;&gt;0,'Mid1'!G119+'Mid2'!G119+'quiz 1'!G119+'Assignment or Proposal'!G119+'Final exam'!G119+'quiz 2'!G119+'Poster or Presentation'!G119+'practical exam or OSCE'!G119,"")</f>
        <v/>
      </c>
      <c r="K120" s="57" t="str">
        <f>IF(('Mid1'!H119+'Mid2'!H119+'quiz 1'!H119+'Assignment or Proposal'!H119+'Final exam'!H119+'quiz 2'!H119+'Poster or Presentation'!H119+'practical exam or OSCE'!H119)&lt;&gt;0,'Mid1'!H119+'Mid2'!H119+'quiz 1'!H119+'Assignment or Proposal'!H119+'Final exam'!H119+'quiz 2'!H119+'Poster or Presentation'!H119+'practical exam or OSCE'!H119,"")</f>
        <v/>
      </c>
      <c r="L120" s="57" t="str">
        <f>IF(('Mid1'!I119+'Mid2'!I119+'quiz 1'!I119+'Assignment or Proposal'!I119+'Final exam'!I119+'quiz 2'!I119+'Poster or Presentation'!I119+'practical exam or OSCE'!I119)&lt;&gt;0,'Mid1'!I119+'Mid2'!I119+'quiz 1'!I119+'Assignment or Proposal'!I119+'Final exam'!I119+'quiz 2'!I119+'Poster or Presentation'!I119+'practical exam or OSCE'!I119,"")</f>
        <v/>
      </c>
      <c r="M120" s="57" t="str">
        <f>IF(('Mid1'!J119+'Mid2'!J119+'quiz 1'!J119+'Assignment or Proposal'!J119+'Final exam'!J119+'quiz 2'!J119+'Poster or Presentation'!J119+'practical exam or OSCE'!J119)&lt;&gt;0,'Mid1'!J119+'Mid2'!J119+'quiz 1'!J119+'Assignment or Proposal'!J119+'Final exam'!J119+'quiz 2'!J119+'Poster or Presentation'!J119+'practical exam or OSCE'!J119,"")</f>
        <v/>
      </c>
      <c r="N120" s="5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O120" s="5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P120" s="57" t="str">
        <f>IF(('Mid1'!M119+'Mid2'!M119+'quiz 1'!M119+'Assignment or Proposal'!M119+'Final exam'!M119+'quiz 2'!M119+'Poster or Presentation'!M119+'practical exam or OSCE'!M119)&lt;&gt;0,'Mid1'!M119+'Mid2'!M119+'quiz 1'!M119+'Assignment or Proposal'!M119+'Final exam'!M119+'quiz 2'!M119+'Poster or Presentation'!M119+'practical exam or OSCE'!M119,"")</f>
        <v/>
      </c>
      <c r="Q120" s="136" t="str">
        <f t="shared" si="5"/>
        <v/>
      </c>
    </row>
    <row r="121" spans="1:17" ht="20.25" hidden="1" customHeight="1" x14ac:dyDescent="0.25">
      <c r="A121" s="24">
        <v>110</v>
      </c>
      <c r="B121" s="24" t="str">
        <f>IF(StList!B112&lt;&gt;"",StList!B112,"")</f>
        <v>Pharmaceutical sciences</v>
      </c>
      <c r="C121" s="24" t="str">
        <f>IF(StList!E112&lt;&gt;"",StList!E112,"")</f>
        <v/>
      </c>
      <c r="D121" s="24" t="str">
        <f>IF(StList!F112&lt;&gt;"",StList!F112,"")</f>
        <v/>
      </c>
      <c r="E121" s="57" t="str">
        <f>IF(('Mid1'!B120+'Mid2'!B120+'quiz 1'!B120+'Assignment or Proposal'!B120+'Final exam'!B120+'quiz 2'!B120+'Poster or Presentation'!B120+'practical exam or OSCE'!B120)&lt;&gt;0,'Mid1'!B120+'Mid2'!B120+'quiz 1'!B120+'Assignment or Proposal'!B120+'Final exam'!B120+'quiz 2'!B120+'Poster or Presentation'!B120+'practical exam or OSCE'!B120,"")</f>
        <v/>
      </c>
      <c r="F121" s="57" t="str">
        <f>IF(('Mid1'!C120+'Mid2'!C120+'quiz 1'!C120+'Assignment or Proposal'!C120+'Final exam'!C120+'quiz 2'!C120+'Poster or Presentation'!C120+'practical exam or OSCE'!C120)&lt;&gt;0,'Mid1'!C120+'Mid2'!C120+'quiz 1'!C120+'Assignment or Proposal'!C120+'Final exam'!C120+'quiz 2'!C120+'Poster or Presentation'!C120+'practical exam or OSCE'!C120,"")</f>
        <v/>
      </c>
      <c r="G121" s="57" t="str">
        <f>IF(('Mid1'!D120+'Mid2'!D120+'quiz 1'!D120+'Assignment or Proposal'!D120+'Final exam'!D120+'quiz 2'!D120+'Poster or Presentation'!D120+'practical exam or OSCE'!D120)&lt;&gt;0,'Mid1'!D120+'Mid2'!D120+'quiz 1'!D120+'Assignment or Proposal'!D120+'Final exam'!D120+'quiz 2'!D120+'Poster or Presentation'!D120+'practical exam or OSCE'!D120,"")</f>
        <v/>
      </c>
      <c r="H121" s="57" t="str">
        <f>IF(('Mid1'!E120+'Mid2'!E120+'quiz 1'!E120+'Assignment or Proposal'!E120+'Final exam'!E120+'quiz 2'!E120+'Poster or Presentation'!E120+'practical exam or OSCE'!E120)&lt;&gt;0,'Mid1'!E120+'Mid2'!E120+'quiz 1'!E120+'Assignment or Proposal'!E120+'Final exam'!E120+'quiz 2'!E120+'Poster or Presentation'!E120+'practical exam or OSCE'!E120,"")</f>
        <v/>
      </c>
      <c r="I121" s="57" t="str">
        <f>IF(('Mid1'!F120+'Mid2'!F120+'quiz 1'!F120+'Assignment or Proposal'!F120+'Final exam'!F120+'quiz 2'!F120+'Poster or Presentation'!F120+'practical exam or OSCE'!F120)&lt;&gt;0,'Mid1'!F120+'Mid2'!F120+'quiz 1'!F120+'Assignment or Proposal'!F120+'Final exam'!F120+'quiz 2'!F120+'Poster or Presentation'!F120+'practical exam or OSCE'!F120,"")</f>
        <v/>
      </c>
      <c r="J121" s="57" t="str">
        <f>IF(('Mid1'!G120+'Mid2'!G120+'quiz 1'!G120+'Assignment or Proposal'!G120+'Final exam'!G120+'quiz 2'!G120+'Poster or Presentation'!G120+'practical exam or OSCE'!G120)&lt;&gt;0,'Mid1'!G120+'Mid2'!G120+'quiz 1'!G120+'Assignment or Proposal'!G120+'Final exam'!G120+'quiz 2'!G120+'Poster or Presentation'!G120+'practical exam or OSCE'!G120,"")</f>
        <v/>
      </c>
      <c r="K121" s="57" t="str">
        <f>IF(('Mid1'!H120+'Mid2'!H120+'quiz 1'!H120+'Assignment or Proposal'!H120+'Final exam'!H120+'quiz 2'!H120+'Poster or Presentation'!H120+'practical exam or OSCE'!H120)&lt;&gt;0,'Mid1'!H120+'Mid2'!H120+'quiz 1'!H120+'Assignment or Proposal'!H120+'Final exam'!H120+'quiz 2'!H120+'Poster or Presentation'!H120+'practical exam or OSCE'!H120,"")</f>
        <v/>
      </c>
      <c r="L121" s="57" t="str">
        <f>IF(('Mid1'!I120+'Mid2'!I120+'quiz 1'!I120+'Assignment or Proposal'!I120+'Final exam'!I120+'quiz 2'!I120+'Poster or Presentation'!I120+'practical exam or OSCE'!I120)&lt;&gt;0,'Mid1'!I120+'Mid2'!I120+'quiz 1'!I120+'Assignment or Proposal'!I120+'Final exam'!I120+'quiz 2'!I120+'Poster or Presentation'!I120+'practical exam or OSCE'!I120,"")</f>
        <v/>
      </c>
      <c r="M121" s="57" t="str">
        <f>IF(('Mid1'!J120+'Mid2'!J120+'quiz 1'!J120+'Assignment or Proposal'!J120+'Final exam'!J120+'quiz 2'!J120+'Poster or Presentation'!J120+'practical exam or OSCE'!J120)&lt;&gt;0,'Mid1'!J120+'Mid2'!J120+'quiz 1'!J120+'Assignment or Proposal'!J120+'Final exam'!J120+'quiz 2'!J120+'Poster or Presentation'!J120+'practical exam or OSCE'!J120,"")</f>
        <v/>
      </c>
      <c r="N121" s="5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O121" s="5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P121" s="57" t="str">
        <f>IF(('Mid1'!M120+'Mid2'!M120+'quiz 1'!M120+'Assignment or Proposal'!M120+'Final exam'!M120+'quiz 2'!M120+'Poster or Presentation'!M120+'practical exam or OSCE'!M120)&lt;&gt;0,'Mid1'!M120+'Mid2'!M120+'quiz 1'!M120+'Assignment or Proposal'!M120+'Final exam'!M120+'quiz 2'!M120+'Poster or Presentation'!M120+'practical exam or OSCE'!M120,"")</f>
        <v/>
      </c>
      <c r="Q121" s="136" t="str">
        <f t="shared" si="5"/>
        <v/>
      </c>
    </row>
    <row r="122" spans="1:17" ht="12.75" hidden="1" customHeight="1" x14ac:dyDescent="0.25"/>
    <row r="124" spans="1:17" s="1" customFormat="1" ht="26.25" hidden="1" customHeight="1" x14ac:dyDescent="0.25">
      <c r="A124" s="421" t="s">
        <v>84</v>
      </c>
      <c r="B124" s="421"/>
      <c r="C124" s="421"/>
      <c r="D124" s="421"/>
      <c r="E124" s="421"/>
      <c r="F124" s="421"/>
      <c r="G124" s="421"/>
      <c r="H124" s="421"/>
      <c r="I124" s="421"/>
      <c r="J124" s="421"/>
      <c r="K124" s="421"/>
      <c r="L124" s="421"/>
      <c r="M124" s="421"/>
      <c r="N124" s="421"/>
      <c r="O124" s="421"/>
      <c r="P124" s="421"/>
      <c r="Q124" s="421"/>
    </row>
    <row r="125" spans="1:17" s="1" customFormat="1" ht="26.25" hidden="1" customHeight="1" x14ac:dyDescent="0.25">
      <c r="A125" s="73">
        <v>1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59"/>
      <c r="O125" s="259"/>
      <c r="P125" s="259"/>
      <c r="Q125" s="259"/>
    </row>
    <row r="126" spans="1:17" s="1" customFormat="1" ht="26.25" hidden="1" customHeight="1" x14ac:dyDescent="0.25">
      <c r="A126" s="73">
        <v>2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59"/>
      <c r="O126" s="259"/>
      <c r="P126" s="259"/>
      <c r="Q126" s="259"/>
    </row>
    <row r="127" spans="1:17" s="1" customFormat="1" ht="26.25" hidden="1" customHeight="1" x14ac:dyDescent="0.25">
      <c r="A127" s="73">
        <v>3</v>
      </c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59"/>
      <c r="Q127" s="259"/>
    </row>
    <row r="128" spans="1:17" s="1" customFormat="1" ht="26.25" hidden="1" customHeight="1" x14ac:dyDescent="0.25">
      <c r="A128" s="73">
        <v>4</v>
      </c>
      <c r="B128" s="259"/>
      <c r="C128" s="259"/>
      <c r="D128" s="259"/>
      <c r="E128" s="259"/>
      <c r="F128" s="259"/>
      <c r="G128" s="259"/>
      <c r="H128" s="259"/>
      <c r="I128" s="259"/>
      <c r="J128" s="259"/>
      <c r="K128" s="259"/>
      <c r="L128" s="259"/>
      <c r="M128" s="259"/>
      <c r="N128" s="259"/>
      <c r="O128" s="259"/>
      <c r="P128" s="259"/>
      <c r="Q128" s="259"/>
    </row>
    <row r="129" spans="1:17" s="1" customFormat="1" ht="26.25" hidden="1" customHeight="1" x14ac:dyDescent="0.25">
      <c r="A129" s="421" t="s">
        <v>100</v>
      </c>
      <c r="B129" s="421"/>
      <c r="C129" s="421"/>
      <c r="D129" s="421"/>
      <c r="E129" s="421"/>
      <c r="F129" s="421"/>
      <c r="G129" s="421"/>
      <c r="H129" s="421"/>
      <c r="I129" s="421"/>
      <c r="J129" s="421"/>
      <c r="K129" s="421"/>
      <c r="L129" s="421"/>
      <c r="M129" s="421"/>
      <c r="N129" s="421"/>
      <c r="O129" s="421"/>
      <c r="P129" s="421"/>
      <c r="Q129" s="421"/>
    </row>
    <row r="130" spans="1:17" s="1" customFormat="1" ht="26.25" hidden="1" customHeight="1" x14ac:dyDescent="0.25">
      <c r="A130" s="73">
        <v>1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59"/>
      <c r="O130" s="259"/>
      <c r="P130" s="259"/>
      <c r="Q130" s="259"/>
    </row>
    <row r="131" spans="1:17" s="1" customFormat="1" ht="26.25" hidden="1" customHeight="1" x14ac:dyDescent="0.25">
      <c r="A131" s="73">
        <v>2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59"/>
      <c r="O131" s="259"/>
      <c r="P131" s="259"/>
      <c r="Q131" s="259"/>
    </row>
    <row r="132" spans="1:17" s="1" customFormat="1" ht="26.25" hidden="1" customHeight="1" x14ac:dyDescent="0.25">
      <c r="A132" s="73">
        <v>3</v>
      </c>
      <c r="B132" s="259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59"/>
      <c r="Q132" s="259"/>
    </row>
    <row r="133" spans="1:17" s="1" customFormat="1" ht="26.25" hidden="1" customHeight="1" x14ac:dyDescent="0.25">
      <c r="A133" s="73">
        <v>4</v>
      </c>
      <c r="B133" s="259"/>
      <c r="C133" s="259"/>
      <c r="D133" s="259"/>
      <c r="E133" s="259"/>
      <c r="F133" s="259"/>
      <c r="G133" s="259"/>
      <c r="H133" s="259"/>
      <c r="I133" s="259"/>
      <c r="J133" s="259"/>
      <c r="K133" s="259"/>
      <c r="L133" s="259"/>
      <c r="M133" s="259"/>
      <c r="N133" s="259"/>
      <c r="O133" s="259"/>
      <c r="P133" s="259"/>
      <c r="Q133" s="259"/>
    </row>
    <row r="134" spans="1:17" s="1" customFormat="1" ht="26.25" hidden="1" customHeight="1" x14ac:dyDescent="0.25"/>
    <row r="135" spans="1:17" ht="27.75" customHeight="1" x14ac:dyDescent="0.25">
      <c r="A135" s="274" t="s">
        <v>133</v>
      </c>
      <c r="B135" s="274"/>
      <c r="C135" s="274"/>
      <c r="D135" s="274"/>
      <c r="E135" s="274"/>
      <c r="F135" s="274"/>
      <c r="G135" s="274" t="s">
        <v>114</v>
      </c>
      <c r="H135" s="274"/>
      <c r="I135" s="274"/>
      <c r="J135" s="274" t="s">
        <v>134</v>
      </c>
      <c r="K135" s="274"/>
      <c r="L135" s="274"/>
      <c r="M135" s="274"/>
      <c r="N135" s="274"/>
      <c r="O135" s="274"/>
      <c r="P135" s="274"/>
      <c r="Q135" s="274"/>
    </row>
    <row r="136" spans="1:17" ht="40.5" customHeight="1" x14ac:dyDescent="0.25">
      <c r="A136" s="275" t="s">
        <v>8</v>
      </c>
      <c r="B136" s="275"/>
      <c r="C136" s="275"/>
      <c r="D136" s="275" t="str">
        <f>Config!B2</f>
        <v>Dr Md Tanwir Athar</v>
      </c>
      <c r="E136" s="275"/>
      <c r="F136" s="275"/>
      <c r="G136" s="276"/>
      <c r="H136" s="277"/>
      <c r="I136" s="278"/>
      <c r="J136" s="259" t="s">
        <v>91</v>
      </c>
      <c r="K136" s="259"/>
      <c r="L136" s="259"/>
      <c r="M136" s="422"/>
      <c r="N136" s="422"/>
      <c r="O136" s="422"/>
      <c r="P136" s="422"/>
      <c r="Q136" s="422"/>
    </row>
    <row r="137" spans="1:17" ht="40.5" customHeight="1" x14ac:dyDescent="0.25">
      <c r="A137" s="259" t="s">
        <v>86</v>
      </c>
      <c r="B137" s="259"/>
      <c r="C137" s="259"/>
      <c r="D137" s="275"/>
      <c r="E137" s="275"/>
      <c r="F137" s="275"/>
      <c r="G137" s="279"/>
      <c r="H137" s="280"/>
      <c r="I137" s="281"/>
      <c r="J137" s="259" t="s">
        <v>86</v>
      </c>
      <c r="K137" s="259"/>
      <c r="L137" s="259"/>
      <c r="M137" s="422"/>
      <c r="N137" s="422"/>
      <c r="O137" s="422"/>
      <c r="P137" s="422"/>
      <c r="Q137" s="422"/>
    </row>
  </sheetData>
  <sheetProtection sheet="1" objects="1" scenarios="1"/>
  <autoFilter ref="A11:Q121" xr:uid="{00000000-0009-0000-0000-00000C000000}"/>
  <mergeCells count="26">
    <mergeCell ref="A129:Q129"/>
    <mergeCell ref="B130:Q130"/>
    <mergeCell ref="B131:Q131"/>
    <mergeCell ref="B132:Q132"/>
    <mergeCell ref="B133:Q133"/>
    <mergeCell ref="M136:Q136"/>
    <mergeCell ref="M137:Q137"/>
    <mergeCell ref="A135:F135"/>
    <mergeCell ref="G135:I135"/>
    <mergeCell ref="J136:L136"/>
    <mergeCell ref="J135:Q135"/>
    <mergeCell ref="J137:L137"/>
    <mergeCell ref="A136:C136"/>
    <mergeCell ref="A137:C137"/>
    <mergeCell ref="D136:F136"/>
    <mergeCell ref="D137:F137"/>
    <mergeCell ref="G136:I137"/>
    <mergeCell ref="B125:Q125"/>
    <mergeCell ref="B126:Q126"/>
    <mergeCell ref="B127:Q127"/>
    <mergeCell ref="B128:Q128"/>
    <mergeCell ref="F1:H1"/>
    <mergeCell ref="J1:K1"/>
    <mergeCell ref="L1:P1"/>
    <mergeCell ref="A9:B9"/>
    <mergeCell ref="A124:Q124"/>
  </mergeCells>
  <conditionalFormatting sqref="E11:Q11">
    <cfRule type="cellIs" dxfId="12" priority="9" operator="equal">
      <formula>0</formula>
    </cfRule>
  </conditionalFormatting>
  <conditionalFormatting sqref="A1:Q121">
    <cfRule type="containsBlanks" dxfId="11" priority="8">
      <formula>LEN(TRIM(A1))=0</formula>
    </cfRule>
  </conditionalFormatting>
  <conditionalFormatting sqref="E12:P121">
    <cfRule type="cellIs" dxfId="10" priority="5" operator="greaterThan">
      <formula>E$8</formula>
    </cfRule>
  </conditionalFormatting>
  <conditionalFormatting sqref="Q14">
    <cfRule type="cellIs" dxfId="9" priority="4" operator="greaterThan">
      <formula>Q$8</formula>
    </cfRule>
  </conditionalFormatting>
  <conditionalFormatting sqref="Q18:Q121">
    <cfRule type="cellIs" dxfId="8" priority="3" operator="greaterThan">
      <formula>Q$8</formula>
    </cfRule>
  </conditionalFormatting>
  <conditionalFormatting sqref="Q15:Q17">
    <cfRule type="cellIs" dxfId="7" priority="2" operator="greaterThan">
      <formula>Q$8</formula>
    </cfRule>
  </conditionalFormatting>
  <conditionalFormatting sqref="Q13">
    <cfRule type="cellIs" dxfId="6" priority="1" operator="greaterThan">
      <formula>Q$8</formula>
    </cfRule>
  </conditionalFormatting>
  <pageMargins left="0.23622047244094499" right="0.23622047244094499" top="0.74803149606299202" bottom="0.74803149606299202" header="0.31496062992126" footer="0.31496062992126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247650</xdr:colOff>
                    <xdr:row>0</xdr:row>
                    <xdr:rowOff>200025</xdr:rowOff>
                  </from>
                  <to>
                    <xdr:col>19</xdr:col>
                    <xdr:colOff>447675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3" tint="-0.249977111117893"/>
    <pageSetUpPr fitToPage="1"/>
  </sheetPr>
  <dimension ref="A1:S137"/>
  <sheetViews>
    <sheetView showGridLines="0" zoomScale="70" zoomScaleNormal="70" workbookViewId="0">
      <pane ySplit="11" topLeftCell="A12" activePane="bottomLeft" state="frozen"/>
      <selection pane="bottomLeft" activeCell="E19" sqref="E19"/>
    </sheetView>
  </sheetViews>
  <sheetFormatPr defaultColWidth="9.140625" defaultRowHeight="20.25" customHeight="1" x14ac:dyDescent="0.25"/>
  <cols>
    <col min="1" max="1" width="5.7109375" style="23" customWidth="1"/>
    <col min="2" max="2" width="9.140625" style="23"/>
    <col min="3" max="3" width="12.7109375" style="23" customWidth="1"/>
    <col min="4" max="4" width="32.5703125" style="23" customWidth="1"/>
    <col min="5" max="7" width="11.42578125" style="26" customWidth="1"/>
    <col min="8" max="8" width="15.42578125" style="23" bestFit="1" customWidth="1"/>
    <col min="9" max="11" width="11.42578125" style="23" customWidth="1"/>
    <col min="12" max="12" width="15.28515625" style="23" customWidth="1"/>
    <col min="13" max="13" width="14.140625" style="23" customWidth="1"/>
    <col min="14" max="14" width="10.5703125" style="26" customWidth="1"/>
    <col min="15" max="15" width="11.42578125" style="26" customWidth="1"/>
    <col min="16" max="16" width="10.140625" style="26" customWidth="1"/>
    <col min="17" max="17" width="36.7109375" style="23" customWidth="1"/>
    <col min="18" max="16384" width="9.140625" style="23"/>
  </cols>
  <sheetData>
    <row r="1" spans="1:17" s="26" customFormat="1" ht="40.5" customHeight="1" thickBot="1" x14ac:dyDescent="0.3">
      <c r="A1" s="107" t="s">
        <v>12</v>
      </c>
      <c r="B1" s="97">
        <f>Config!B3</f>
        <v>462</v>
      </c>
      <c r="C1" s="97" t="s">
        <v>88</v>
      </c>
      <c r="D1" s="97" t="str">
        <f>Config!B1</f>
        <v>pharmacy</v>
      </c>
      <c r="E1" s="97" t="s">
        <v>0</v>
      </c>
      <c r="F1" s="296" t="str">
        <f>Config!B4</f>
        <v>Pharmacognosy-I</v>
      </c>
      <c r="G1" s="296"/>
      <c r="H1" s="296"/>
      <c r="I1" s="97" t="str">
        <f>Config!A10</f>
        <v>PHG301</v>
      </c>
      <c r="J1" s="430" t="s">
        <v>90</v>
      </c>
      <c r="K1" s="430"/>
      <c r="L1" s="430" t="str">
        <f>Config!B2</f>
        <v>Dr Md Tanwir Athar</v>
      </c>
      <c r="M1" s="430"/>
      <c r="N1" s="430"/>
      <c r="O1" s="430"/>
      <c r="P1" s="431"/>
    </row>
    <row r="2" spans="1:17" ht="28.5" customHeight="1" thickBot="1" x14ac:dyDescent="0.3">
      <c r="A2" s="432" t="s">
        <v>93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4"/>
    </row>
    <row r="3" spans="1:17" s="102" customFormat="1" ht="47.25" x14ac:dyDescent="0.25">
      <c r="A3" s="435" t="s">
        <v>70</v>
      </c>
      <c r="B3" s="436"/>
      <c r="C3" s="436"/>
      <c r="D3" s="436"/>
      <c r="E3" s="223" t="str">
        <f>Config!A43</f>
        <v>midterm exam 1</v>
      </c>
      <c r="F3" s="223" t="str">
        <f>Config!A44</f>
        <v>midterm exam 2</v>
      </c>
      <c r="G3" s="223" t="str">
        <f>Config!A45</f>
        <v>quiz 1</v>
      </c>
      <c r="H3" s="223" t="str">
        <f>Config!A47</f>
        <v>Assignment/Proposal</v>
      </c>
      <c r="I3" s="223" t="str">
        <f>Config!A46</f>
        <v>quiz 2</v>
      </c>
      <c r="J3" s="223" t="str">
        <f>Config!A48</f>
        <v>Poster/Presentation</v>
      </c>
      <c r="K3" s="223" t="str">
        <f>Config!A49</f>
        <v>practical exam/OSCE</v>
      </c>
      <c r="L3" s="223" t="s">
        <v>72</v>
      </c>
      <c r="M3" s="223" t="str">
        <f>Config!A50</f>
        <v>final exam</v>
      </c>
      <c r="N3" s="223" t="s">
        <v>73</v>
      </c>
      <c r="O3" s="223" t="s">
        <v>74</v>
      </c>
      <c r="P3" s="224" t="s">
        <v>75</v>
      </c>
    </row>
    <row r="4" spans="1:17" ht="20.25" customHeight="1" x14ac:dyDescent="0.25">
      <c r="A4" s="437" t="s">
        <v>94</v>
      </c>
      <c r="B4" s="438"/>
      <c r="C4" s="438"/>
      <c r="D4" s="438"/>
      <c r="E4" s="27">
        <f>'Mid1'!N3</f>
        <v>20</v>
      </c>
      <c r="F4" s="27">
        <f>'Mid2'!N3</f>
        <v>0</v>
      </c>
      <c r="G4" s="27">
        <f>'quiz 1'!N3</f>
        <v>5</v>
      </c>
      <c r="H4" s="27">
        <f>'Assignment or Proposal'!N3</f>
        <v>5</v>
      </c>
      <c r="I4" s="27">
        <f>'quiz 2'!N3</f>
        <v>0</v>
      </c>
      <c r="J4" s="27">
        <f>'Poster or Presentation'!N3</f>
        <v>0</v>
      </c>
      <c r="K4" s="27">
        <f>'practical exam or OSCE'!N3</f>
        <v>20</v>
      </c>
      <c r="L4" s="27">
        <f>SUM(E4:K4)</f>
        <v>50</v>
      </c>
      <c r="M4" s="27">
        <f>'Final exam'!N3</f>
        <v>50</v>
      </c>
      <c r="N4" s="27">
        <f>L4+M4</f>
        <v>100</v>
      </c>
      <c r="O4" s="7">
        <f>IF(N4&gt;94,5,IF(N4&gt;89,4.5,IF(N4&gt;84,4,IF(N4&gt;79,3.5,IF(N4&gt;74,3,IF(N4&gt;69,2.5,IF(N4&gt;64,2.25,IF(N4&gt;59,2,1))))))))</f>
        <v>5</v>
      </c>
      <c r="P4" s="106" t="str">
        <f>IF(N4&lt;&gt;"",IF(N4&gt;94,"A+",IF(N4&gt;89,"A",IF(N4&gt;84,"B+",IF(N4&gt;79,"B",IF(N4&gt;74,"C+",IF(N4&gt;69,"C",IF(N4&gt;64,"D+",IF(N4&gt;59,"D","F")))))))),"")</f>
        <v>A+</v>
      </c>
    </row>
    <row r="5" spans="1:17" ht="20.25" customHeight="1" x14ac:dyDescent="0.25">
      <c r="A5" s="439" t="s">
        <v>95</v>
      </c>
      <c r="B5" s="420"/>
      <c r="C5" s="420"/>
      <c r="D5" s="420"/>
      <c r="E5" s="57">
        <f>IF(COUNT(E12:E121)&lt;&gt;0,MAX(E12:E121),"")</f>
        <v>20</v>
      </c>
      <c r="F5" s="57" t="str">
        <f t="shared" ref="F5:N5" si="0">IF(COUNT(F12:F121)&lt;&gt;0,MAX(F12:F121),"")</f>
        <v/>
      </c>
      <c r="G5" s="57">
        <f t="shared" si="0"/>
        <v>5</v>
      </c>
      <c r="H5" s="57">
        <f t="shared" si="0"/>
        <v>5</v>
      </c>
      <c r="I5" s="57" t="str">
        <f t="shared" si="0"/>
        <v/>
      </c>
      <c r="J5" s="57" t="str">
        <f t="shared" si="0"/>
        <v/>
      </c>
      <c r="K5" s="57">
        <f t="shared" si="0"/>
        <v>20</v>
      </c>
      <c r="L5" s="57">
        <f t="shared" si="0"/>
        <v>50</v>
      </c>
      <c r="M5" s="57">
        <f t="shared" si="0"/>
        <v>41</v>
      </c>
      <c r="N5" s="57">
        <f t="shared" si="0"/>
        <v>90</v>
      </c>
      <c r="O5" s="57">
        <f>IF(N5&gt;94,5,IF(N5&gt;89,4.5,IF(N5&gt;84,4,IF(N5&gt;79,3.5,IF(N5&gt;74,3,IF(N5&gt;69,2.5,IF(N5&gt;64,2.25,IF(N5&gt;59,2,1))))))))</f>
        <v>4.5</v>
      </c>
      <c r="P5" s="104" t="str">
        <f>IF(N5&lt;&gt;"",IF(N5&gt;94,"A+",IF(N5&gt;89,"A",IF(N5&gt;84,"B+",IF(N5&gt;79,"B",IF(N5&gt;74,"C+",IF(N5&gt;69,"C",IF(N5&gt;64,"D+",IF(N5&gt;59,"D","F")))))))),"")</f>
        <v>A</v>
      </c>
    </row>
    <row r="6" spans="1:17" ht="20.25" customHeight="1" x14ac:dyDescent="0.25">
      <c r="A6" s="439" t="s">
        <v>96</v>
      </c>
      <c r="B6" s="420"/>
      <c r="C6" s="420"/>
      <c r="D6" s="420"/>
      <c r="E6" s="57">
        <f>IF(COUNT(E12:E121)&lt;&gt;0,MIN(E12:E121),"")</f>
        <v>12</v>
      </c>
      <c r="F6" s="57" t="str">
        <f t="shared" ref="F6:N6" si="1">IF(COUNT(F12:F121)&lt;&gt;0,MIN(F12:F121),"")</f>
        <v/>
      </c>
      <c r="G6" s="57">
        <f t="shared" si="1"/>
        <v>1</v>
      </c>
      <c r="H6" s="57">
        <f t="shared" si="1"/>
        <v>5</v>
      </c>
      <c r="I6" s="57" t="str">
        <f t="shared" si="1"/>
        <v/>
      </c>
      <c r="J6" s="57" t="str">
        <f t="shared" si="1"/>
        <v/>
      </c>
      <c r="K6" s="57">
        <f t="shared" si="1"/>
        <v>17</v>
      </c>
      <c r="L6" s="57">
        <f t="shared" si="1"/>
        <v>39</v>
      </c>
      <c r="M6" s="57">
        <f t="shared" si="1"/>
        <v>21</v>
      </c>
      <c r="N6" s="57">
        <f t="shared" si="1"/>
        <v>60</v>
      </c>
      <c r="O6" s="57">
        <f>IF(N6&gt;94,5,IF(N6&gt;89,4.5,IF(N6&gt;84,4,IF(N6&gt;79,3.5,IF(N6&gt;74,3,IF(N6&gt;69,2.5,IF(N6&gt;64,2.25,IF(N6&gt;59,2,1))))))))</f>
        <v>2</v>
      </c>
      <c r="P6" s="104" t="str">
        <f>IF(N6&lt;&gt;"",IF(N6&gt;94,"A+",IF(N6&gt;89,"A",IF(N6&gt;84,"B+",IF(N6&gt;79,"B",IF(N6&gt;74,"C+",IF(N6&gt;69,"C",IF(N6&gt;64,"D+",IF(N6&gt;59,"D","F")))))))),"")</f>
        <v>D</v>
      </c>
    </row>
    <row r="7" spans="1:17" ht="20.25" customHeight="1" thickBot="1" x14ac:dyDescent="0.3">
      <c r="A7" s="439" t="s">
        <v>97</v>
      </c>
      <c r="B7" s="420"/>
      <c r="C7" s="420"/>
      <c r="D7" s="420"/>
      <c r="E7" s="57">
        <f>IF(COUNT(E12:E121)&lt;&gt;0,AVERAGE(E12:E121),"")</f>
        <v>16.444444444444443</v>
      </c>
      <c r="F7" s="57" t="str">
        <f t="shared" ref="F7:N7" si="2">IF(COUNT(F12:F121)&lt;&gt;0,AVERAGE(F12:F121),"")</f>
        <v/>
      </c>
      <c r="G7" s="57">
        <f t="shared" si="2"/>
        <v>3.3333333333333335</v>
      </c>
      <c r="H7" s="57">
        <f t="shared" si="2"/>
        <v>5</v>
      </c>
      <c r="I7" s="57" t="str">
        <f t="shared" si="2"/>
        <v/>
      </c>
      <c r="J7" s="57" t="str">
        <f t="shared" si="2"/>
        <v/>
      </c>
      <c r="K7" s="57">
        <f t="shared" si="2"/>
        <v>19.111111111111111</v>
      </c>
      <c r="L7" s="57">
        <f t="shared" si="2"/>
        <v>43.888888888888886</v>
      </c>
      <c r="M7" s="57">
        <f t="shared" si="2"/>
        <v>34.888888888888886</v>
      </c>
      <c r="N7" s="57">
        <f t="shared" si="2"/>
        <v>78.777777777777771</v>
      </c>
      <c r="O7" s="57">
        <f>IF(N7&gt;94,5,IF(N7&gt;89,4.5,IF(N7&gt;84,4,IF(N7&gt;79,3.5,IF(N7&gt;74,3,IF(N7&gt;69,2.5,IF(N7&gt;64,2.25,IF(N7&gt;59,2,1))))))))</f>
        <v>3</v>
      </c>
      <c r="P7" s="104" t="str">
        <f>IF(N7&lt;&gt;"",IF(N7&gt;94,"A+",IF(N7&gt;89,"A",IF(N7&gt;84,"B+",IF(N7&gt;79,"B",IF(N7&gt;74,"C+",IF(N7&gt;69,"C",IF(N7&gt;64,"D+",IF(N7&gt;59,"D","F")))))))),"")</f>
        <v>C+</v>
      </c>
    </row>
    <row r="8" spans="1:17" ht="22.5" customHeight="1" thickBot="1" x14ac:dyDescent="0.3">
      <c r="A8" s="426" t="s">
        <v>111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8"/>
    </row>
    <row r="9" spans="1:17" ht="27" customHeight="1" thickBot="1" x14ac:dyDescent="0.3">
      <c r="A9" s="429" t="s">
        <v>98</v>
      </c>
      <c r="B9" s="430"/>
      <c r="C9" s="97">
        <f>COUNT(C12:C121)</f>
        <v>9</v>
      </c>
      <c r="D9" s="97" t="s">
        <v>110</v>
      </c>
      <c r="E9" s="97">
        <f>IF(COUNT(E12:E121)&lt;&gt;0,COUNT(E12:E121),"")</f>
        <v>9</v>
      </c>
      <c r="F9" s="97" t="str">
        <f t="shared" ref="F9:M9" si="3">IF(COUNT(F12:F121)&lt;&gt;0,COUNT(F12:F121),"")</f>
        <v/>
      </c>
      <c r="G9" s="97">
        <f t="shared" si="3"/>
        <v>9</v>
      </c>
      <c r="H9" s="97">
        <f t="shared" si="3"/>
        <v>9</v>
      </c>
      <c r="I9" s="97" t="str">
        <f t="shared" si="3"/>
        <v/>
      </c>
      <c r="J9" s="97" t="str">
        <f t="shared" si="3"/>
        <v/>
      </c>
      <c r="K9" s="97">
        <f t="shared" si="3"/>
        <v>9</v>
      </c>
      <c r="L9" s="97">
        <f t="shared" si="3"/>
        <v>9</v>
      </c>
      <c r="M9" s="97">
        <f t="shared" si="3"/>
        <v>9</v>
      </c>
      <c r="N9" s="440" t="s">
        <v>108</v>
      </c>
      <c r="O9" s="441"/>
      <c r="P9" s="118">
        <f>IF((C9-M9)&gt;0,(C9-M9),0)</f>
        <v>0</v>
      </c>
    </row>
    <row r="10" spans="1:17" ht="32.25" customHeight="1" thickBot="1" x14ac:dyDescent="0.3">
      <c r="A10" s="423" t="s">
        <v>99</v>
      </c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5"/>
    </row>
    <row r="11" spans="1:17" s="102" customFormat="1" ht="48" thickBot="1" x14ac:dyDescent="0.3">
      <c r="A11" s="222" t="s">
        <v>3</v>
      </c>
      <c r="B11" s="225" t="s">
        <v>4</v>
      </c>
      <c r="C11" s="226" t="s">
        <v>7</v>
      </c>
      <c r="D11" s="226" t="s">
        <v>8</v>
      </c>
      <c r="E11" s="226" t="str">
        <f>E3</f>
        <v>midterm exam 1</v>
      </c>
      <c r="F11" s="226" t="str">
        <f t="shared" ref="F11:M11" si="4">F3</f>
        <v>midterm exam 2</v>
      </c>
      <c r="G11" s="226" t="str">
        <f t="shared" si="4"/>
        <v>quiz 1</v>
      </c>
      <c r="H11" s="226" t="str">
        <f t="shared" si="4"/>
        <v>Assignment/Proposal</v>
      </c>
      <c r="I11" s="226" t="str">
        <f t="shared" si="4"/>
        <v>quiz 2</v>
      </c>
      <c r="J11" s="226" t="str">
        <f t="shared" si="4"/>
        <v>Poster/Presentation</v>
      </c>
      <c r="K11" s="226" t="str">
        <f t="shared" si="4"/>
        <v>practical exam/OSCE</v>
      </c>
      <c r="L11" s="226" t="str">
        <f t="shared" si="4"/>
        <v>SumInTerm</v>
      </c>
      <c r="M11" s="226" t="str">
        <f t="shared" si="4"/>
        <v>final exam</v>
      </c>
      <c r="N11" s="226" t="s">
        <v>87</v>
      </c>
      <c r="O11" s="156" t="s">
        <v>74</v>
      </c>
      <c r="P11" s="160" t="s">
        <v>75</v>
      </c>
    </row>
    <row r="12" spans="1:17" ht="20.25" customHeight="1" x14ac:dyDescent="0.25">
      <c r="A12" s="173">
        <v>1</v>
      </c>
      <c r="B12" s="99" t="str">
        <f>IF(StList!B3&lt;&gt;"",StList!B3,"")</f>
        <v>Pharmaceutical sciences</v>
      </c>
      <c r="C12" s="170">
        <f>IF(StList!E3&lt;&gt;"",StList!E3,"")</f>
        <v>431003107</v>
      </c>
      <c r="D12" s="170" t="str">
        <f>IF(StList!F3&lt;&gt;"",StList!F3,"")</f>
        <v> SADEEM FAHAD S ALSEDRANI</v>
      </c>
      <c r="E12" s="98">
        <f>'Mid1'!N11</f>
        <v>12</v>
      </c>
      <c r="F12" s="98" t="str">
        <f>'Mid2'!N11</f>
        <v/>
      </c>
      <c r="G12" s="98">
        <f>'quiz 1'!N11</f>
        <v>3</v>
      </c>
      <c r="H12" s="98">
        <f>'Assignment or Proposal'!N11</f>
        <v>5</v>
      </c>
      <c r="I12" s="98" t="str">
        <f>'quiz 2'!N11</f>
        <v/>
      </c>
      <c r="J12" s="98" t="str">
        <f>'Poster or Presentation'!N11</f>
        <v/>
      </c>
      <c r="K12" s="98">
        <f>'practical exam or OSCE'!N11</f>
        <v>19</v>
      </c>
      <c r="L12" s="100">
        <f>IF(SUM(E12:K12)&lt;&gt;0,SUM(E12:K12)/$L$4*50,"")</f>
        <v>39</v>
      </c>
      <c r="M12" s="100">
        <f>'Final exam'!N11</f>
        <v>31</v>
      </c>
      <c r="N12" s="101">
        <f>IF(L12&lt;&gt;"",IF(M12&lt;&gt;"",ROUND(L12,0)+ROUND(M12,0),""),"")</f>
        <v>70</v>
      </c>
      <c r="O12" s="123">
        <f>IF(N12&lt;&gt;"",IF(N12&gt;94,5,IF(N12&gt;89,4.5,IF(N12&gt;84,4,IF(N12&gt;79,3.5,IF(N12&gt;74,3,IF(N12&gt;69,2.5,IF(N12&gt;64,2.25,IF(N12&gt;59,2,1)))))))),"")</f>
        <v>2.5</v>
      </c>
      <c r="P12" s="104" t="str">
        <f>IF(N12&lt;&gt;"",IF(N12&gt;94,"A+",IF(N12&gt;89,"A",IF(N12&gt;84,"B+",IF(N12&gt;79,"B",IF(N12&gt;74,"C+",IF(N12&gt;69,"C",IF(N12&gt;64,"D+",IF(N12&gt;59,"D","F")))))))),"")</f>
        <v>C</v>
      </c>
      <c r="Q12" s="102"/>
    </row>
    <row r="13" spans="1:17" ht="20.25" customHeight="1" x14ac:dyDescent="0.25">
      <c r="A13" s="173">
        <v>2</v>
      </c>
      <c r="B13" s="99" t="str">
        <f>IF(StList!B4&lt;&gt;"",StList!B4,"")</f>
        <v>Pharmaceutical sciences</v>
      </c>
      <c r="C13" s="170">
        <f>IF(StList!E4&lt;&gt;"",StList!E4,"")</f>
        <v>431003423</v>
      </c>
      <c r="D13" s="170" t="str">
        <f>IF(StList!F4&lt;&gt;"",StList!F4,"")</f>
        <v> ROBA RABAH H ALHARBI</v>
      </c>
      <c r="E13" s="98">
        <f>'Mid1'!N12</f>
        <v>15</v>
      </c>
      <c r="F13" s="98" t="str">
        <f>'Mid2'!N12</f>
        <v/>
      </c>
      <c r="G13" s="98">
        <f>'quiz 1'!N12</f>
        <v>2</v>
      </c>
      <c r="H13" s="98">
        <f>'Assignment or Proposal'!N12</f>
        <v>5</v>
      </c>
      <c r="I13" s="98" t="str">
        <f>'quiz 2'!N12</f>
        <v/>
      </c>
      <c r="J13" s="98" t="str">
        <f>'Poster or Presentation'!N12</f>
        <v/>
      </c>
      <c r="K13" s="98">
        <f>'practical exam or OSCE'!N12</f>
        <v>19</v>
      </c>
      <c r="L13" s="100">
        <f>IF(SUM(E13:K13)&lt;&gt;0,SUM(E13:K13)/$L$4*50,"")</f>
        <v>41</v>
      </c>
      <c r="M13" s="100">
        <f>'Final exam'!N12</f>
        <v>34</v>
      </c>
      <c r="N13" s="101">
        <f t="shared" ref="N13:N76" si="5">IF(L13&lt;&gt;"",IF(M13&lt;&gt;"",ROUND(L13,0)+ROUND(M13,0),""),"")</f>
        <v>75</v>
      </c>
      <c r="O13" s="123">
        <f t="shared" ref="O13:O76" si="6">IF(N13&lt;&gt;"",IF(N13&gt;94,5,IF(N13&gt;89,4.5,IF(N13&gt;84,4,IF(N13&gt;79,3.5,IF(N13&gt;74,3,IF(N13&gt;69,2.5,IF(N13&gt;64,2.25,IF(N13&gt;59,2,1)))))))),"")</f>
        <v>3</v>
      </c>
      <c r="P13" s="104" t="str">
        <f t="shared" ref="P13:P76" si="7">IF(N13&lt;&gt;"",IF(N13&gt;94,"A+",IF(N13&gt;89,"A",IF(N13&gt;84,"B+",IF(N13&gt;79,"B",IF(N13&gt;74,"C+",IF(N13&gt;69,"C",IF(N13&gt;64,"D+",IF(N13&gt;59,"D","F")))))))),"")</f>
        <v>C+</v>
      </c>
      <c r="Q13" s="102"/>
    </row>
    <row r="14" spans="1:17" ht="20.25" customHeight="1" x14ac:dyDescent="0.25">
      <c r="A14" s="68">
        <v>3</v>
      </c>
      <c r="B14" s="49" t="str">
        <f>IF(StList!B5&lt;&gt;"",StList!B5,"")</f>
        <v>Pharmaceutical sciences</v>
      </c>
      <c r="C14" s="24">
        <f>IF(StList!E5&lt;&gt;"",StList!E5,"")</f>
        <v>431003483</v>
      </c>
      <c r="D14" s="24" t="str">
        <f>IF(StList!F5&lt;&gt;"",StList!F5,"")</f>
        <v> NUJUD KHAIFAH A ALAMMAR</v>
      </c>
      <c r="E14" s="57">
        <f>'Mid1'!N13</f>
        <v>18</v>
      </c>
      <c r="F14" s="57" t="str">
        <f>'Mid2'!N13</f>
        <v/>
      </c>
      <c r="G14" s="57">
        <f>'quiz 1'!N13</f>
        <v>3</v>
      </c>
      <c r="H14" s="57">
        <f>'Assignment or Proposal'!N13</f>
        <v>5</v>
      </c>
      <c r="I14" s="57" t="str">
        <f>'quiz 2'!N13</f>
        <v/>
      </c>
      <c r="J14" s="57" t="str">
        <f>'Poster or Presentation'!N13</f>
        <v/>
      </c>
      <c r="K14" s="57">
        <f>'practical exam or OSCE'!N13</f>
        <v>19</v>
      </c>
      <c r="L14" s="103">
        <f t="shared" ref="L14:L77" si="8">IF(SUM(E14:K14)&lt;&gt;0,SUM(E14:K14)/$L$4*50,"")</f>
        <v>45</v>
      </c>
      <c r="M14" s="103">
        <f>'Final exam'!N13</f>
        <v>35</v>
      </c>
      <c r="N14" s="101">
        <f t="shared" si="5"/>
        <v>80</v>
      </c>
      <c r="O14" s="123">
        <f t="shared" si="6"/>
        <v>3.5</v>
      </c>
      <c r="P14" s="104" t="str">
        <f t="shared" si="7"/>
        <v>B</v>
      </c>
    </row>
    <row r="15" spans="1:17" ht="20.25" customHeight="1" x14ac:dyDescent="0.25">
      <c r="A15" s="68">
        <v>4</v>
      </c>
      <c r="B15" s="49" t="str">
        <f>IF(StList!B6&lt;&gt;"",StList!B6,"")</f>
        <v>Pharmaceutical sciences</v>
      </c>
      <c r="C15" s="24">
        <f>IF(StList!E6&lt;&gt;"",StList!E6,"")</f>
        <v>432003601</v>
      </c>
      <c r="D15" s="24" t="str">
        <f>IF(StList!F6&lt;&gt;"",StList!F6,"")</f>
        <v> RINA KHALID S ALABDULRAHIM</v>
      </c>
      <c r="E15" s="57">
        <f>'Mid1'!N14</f>
        <v>20</v>
      </c>
      <c r="F15" s="57" t="str">
        <f>'Mid2'!N14</f>
        <v/>
      </c>
      <c r="G15" s="57">
        <f>'quiz 1'!N14</f>
        <v>5</v>
      </c>
      <c r="H15" s="57">
        <f>'Assignment or Proposal'!N14</f>
        <v>5</v>
      </c>
      <c r="I15" s="57" t="str">
        <f>'quiz 2'!N14</f>
        <v/>
      </c>
      <c r="J15" s="57" t="str">
        <f>'Poster or Presentation'!N14</f>
        <v/>
      </c>
      <c r="K15" s="57">
        <f>'practical exam or OSCE'!N14</f>
        <v>20</v>
      </c>
      <c r="L15" s="103">
        <f t="shared" si="8"/>
        <v>50</v>
      </c>
      <c r="M15" s="103">
        <f>'Final exam'!N14</f>
        <v>40</v>
      </c>
      <c r="N15" s="101">
        <f t="shared" si="5"/>
        <v>90</v>
      </c>
      <c r="O15" s="123">
        <f t="shared" si="6"/>
        <v>4.5</v>
      </c>
      <c r="P15" s="104" t="str">
        <f t="shared" si="7"/>
        <v>A</v>
      </c>
    </row>
    <row r="16" spans="1:17" ht="20.25" customHeight="1" x14ac:dyDescent="0.25">
      <c r="A16" s="68">
        <v>5</v>
      </c>
      <c r="B16" s="49" t="str">
        <f>IF(StList!B7&lt;&gt;"",StList!B7,"")</f>
        <v>Pharmaceutical sciences</v>
      </c>
      <c r="C16" s="24">
        <f>IF(StList!E7&lt;&gt;"",StList!E7,"")</f>
        <v>432003648</v>
      </c>
      <c r="D16" s="24" t="str">
        <f>IF(StList!F7&lt;&gt;"",StList!F7,"")</f>
        <v> HANEEN HAJJI E ALHARBI</v>
      </c>
      <c r="E16" s="57">
        <f>'Mid1'!N15</f>
        <v>18</v>
      </c>
      <c r="F16" s="57" t="str">
        <f>'Mid2'!N15</f>
        <v/>
      </c>
      <c r="G16" s="57">
        <f>'quiz 1'!N15</f>
        <v>3</v>
      </c>
      <c r="H16" s="57">
        <f>'Assignment or Proposal'!N15</f>
        <v>5</v>
      </c>
      <c r="I16" s="57" t="str">
        <f>'quiz 2'!N15</f>
        <v/>
      </c>
      <c r="J16" s="57" t="str">
        <f>'Poster or Presentation'!N15</f>
        <v/>
      </c>
      <c r="K16" s="57">
        <f>'practical exam or OSCE'!N15</f>
        <v>19</v>
      </c>
      <c r="L16" s="103">
        <f t="shared" si="8"/>
        <v>45</v>
      </c>
      <c r="M16" s="103">
        <f>'Final exam'!N15</f>
        <v>35</v>
      </c>
      <c r="N16" s="101">
        <f t="shared" si="5"/>
        <v>80</v>
      </c>
      <c r="O16" s="123">
        <f t="shared" si="6"/>
        <v>3.5</v>
      </c>
      <c r="P16" s="104" t="str">
        <f t="shared" si="7"/>
        <v>B</v>
      </c>
    </row>
    <row r="17" spans="1:16" ht="20.25" customHeight="1" x14ac:dyDescent="0.25">
      <c r="A17" s="68">
        <v>6</v>
      </c>
      <c r="B17" s="49" t="str">
        <f>IF(StList!B8&lt;&gt;"",StList!B8,"")</f>
        <v>Pharmaceutical sciences</v>
      </c>
      <c r="C17" s="24">
        <f>IF(StList!E8&lt;&gt;"",StList!E8,"")</f>
        <v>432003748</v>
      </c>
      <c r="D17" s="24" t="str">
        <f>IF(StList!F8&lt;&gt;"",StList!F8,"")</f>
        <v> REEM MANSWER A AJEB</v>
      </c>
      <c r="E17" s="57">
        <f>'Mid1'!N16</f>
        <v>17</v>
      </c>
      <c r="F17" s="57" t="str">
        <f>'Mid2'!N16</f>
        <v/>
      </c>
      <c r="G17" s="57">
        <f>'quiz 1'!N16</f>
        <v>1</v>
      </c>
      <c r="H17" s="57">
        <f>'Assignment or Proposal'!N16</f>
        <v>5</v>
      </c>
      <c r="I17" s="57" t="str">
        <f>'quiz 2'!N16</f>
        <v/>
      </c>
      <c r="J17" s="57" t="str">
        <f>'Poster or Presentation'!N16</f>
        <v/>
      </c>
      <c r="K17" s="57">
        <f>'practical exam or OSCE'!N16</f>
        <v>19</v>
      </c>
      <c r="L17" s="103">
        <f t="shared" si="8"/>
        <v>42</v>
      </c>
      <c r="M17" s="103">
        <f>'Final exam'!N16</f>
        <v>38</v>
      </c>
      <c r="N17" s="101">
        <f t="shared" si="5"/>
        <v>80</v>
      </c>
      <c r="O17" s="123">
        <f t="shared" si="6"/>
        <v>3.5</v>
      </c>
      <c r="P17" s="104" t="str">
        <f t="shared" si="7"/>
        <v>B</v>
      </c>
    </row>
    <row r="18" spans="1:16" ht="20.25" customHeight="1" x14ac:dyDescent="0.25">
      <c r="A18" s="68">
        <v>7</v>
      </c>
      <c r="B18" s="49" t="str">
        <f>IF(StList!B9&lt;&gt;"",StList!B9,"")</f>
        <v>Pharmaceutical sciences</v>
      </c>
      <c r="C18" s="24">
        <f>IF(StList!E9&lt;&gt;"",StList!E9,"")</f>
        <v>452003804</v>
      </c>
      <c r="D18" s="24" t="str">
        <f>IF(StList!F9&lt;&gt;"",StList!F9,"")</f>
        <v> JULIEN KHALID M ALKHALDI</v>
      </c>
      <c r="E18" s="57">
        <f>'Mid1'!N17</f>
        <v>18</v>
      </c>
      <c r="F18" s="57" t="str">
        <f>'Mid2'!N17</f>
        <v/>
      </c>
      <c r="G18" s="57">
        <f>'quiz 1'!N17</f>
        <v>5</v>
      </c>
      <c r="H18" s="57">
        <f>'Assignment or Proposal'!N17</f>
        <v>5</v>
      </c>
      <c r="I18" s="57" t="str">
        <f>'quiz 2'!N17</f>
        <v/>
      </c>
      <c r="J18" s="57" t="str">
        <f>'Poster or Presentation'!N17</f>
        <v/>
      </c>
      <c r="K18" s="57">
        <f>'practical exam or OSCE'!N17</f>
        <v>20</v>
      </c>
      <c r="L18" s="103">
        <f t="shared" si="8"/>
        <v>48</v>
      </c>
      <c r="M18" s="103">
        <f>'Final exam'!N17</f>
        <v>41</v>
      </c>
      <c r="N18" s="101">
        <f t="shared" si="5"/>
        <v>89</v>
      </c>
      <c r="O18" s="123">
        <f t="shared" si="6"/>
        <v>4</v>
      </c>
      <c r="P18" s="104" t="str">
        <f t="shared" si="7"/>
        <v>B+</v>
      </c>
    </row>
    <row r="19" spans="1:16" ht="20.25" customHeight="1" x14ac:dyDescent="0.25">
      <c r="A19" s="68">
        <v>8</v>
      </c>
      <c r="B19" s="49" t="str">
        <f>IF(StList!B10&lt;&gt;"",StList!B10,"")</f>
        <v>Pharmaceutical sciences</v>
      </c>
      <c r="C19" s="24">
        <f>IF(StList!E10&lt;&gt;"",StList!E10,"")</f>
        <v>452003886</v>
      </c>
      <c r="D19" s="24" t="str">
        <f>IF(StList!F10&lt;&gt;"",StList!F10,"")</f>
        <v> SAFFANAH ABDULAZIZ A ALZAYDI</v>
      </c>
      <c r="E19" s="57">
        <f>'Mid1'!N18</f>
        <v>18</v>
      </c>
      <c r="F19" s="57" t="str">
        <f>'Mid2'!N18</f>
        <v/>
      </c>
      <c r="G19" s="57">
        <f>'quiz 1'!N18</f>
        <v>3</v>
      </c>
      <c r="H19" s="57">
        <f>'Assignment or Proposal'!N18</f>
        <v>5</v>
      </c>
      <c r="I19" s="57" t="str">
        <f>'quiz 2'!N18</f>
        <v/>
      </c>
      <c r="J19" s="57" t="str">
        <f>'Poster or Presentation'!N18</f>
        <v/>
      </c>
      <c r="K19" s="57">
        <f>'practical exam or OSCE'!N18</f>
        <v>20</v>
      </c>
      <c r="L19" s="103">
        <f t="shared" si="8"/>
        <v>46</v>
      </c>
      <c r="M19" s="103">
        <f>'Final exam'!N18</f>
        <v>39</v>
      </c>
      <c r="N19" s="101">
        <f t="shared" si="5"/>
        <v>85</v>
      </c>
      <c r="O19" s="123">
        <f t="shared" si="6"/>
        <v>4</v>
      </c>
      <c r="P19" s="104" t="str">
        <f t="shared" si="7"/>
        <v>B+</v>
      </c>
    </row>
    <row r="20" spans="1:16" ht="20.25" customHeight="1" x14ac:dyDescent="0.25">
      <c r="A20" s="68">
        <v>9</v>
      </c>
      <c r="B20" s="49" t="str">
        <f>IF(StList!B11&lt;&gt;"",StList!B11,"")</f>
        <v>Pharmaceutical sciences</v>
      </c>
      <c r="C20" s="24">
        <f>IF(StList!E11&lt;&gt;"",StList!E11,"")</f>
        <v>461003576</v>
      </c>
      <c r="D20" s="24" t="str">
        <f>IF(StList!F11&lt;&gt;"",StList!F11,"")</f>
        <v> SHAIMA BASSAM M ALALI</v>
      </c>
      <c r="E20" s="57">
        <f>'Mid1'!N19</f>
        <v>12</v>
      </c>
      <c r="F20" s="57" t="str">
        <f>'Mid2'!N19</f>
        <v/>
      </c>
      <c r="G20" s="57">
        <f>'quiz 1'!N19</f>
        <v>5</v>
      </c>
      <c r="H20" s="57">
        <f>'Assignment or Proposal'!N19</f>
        <v>5</v>
      </c>
      <c r="I20" s="57" t="str">
        <f>'quiz 2'!N19</f>
        <v/>
      </c>
      <c r="J20" s="57" t="str">
        <f>'Poster or Presentation'!N19</f>
        <v/>
      </c>
      <c r="K20" s="57">
        <f>'practical exam or OSCE'!N19</f>
        <v>17</v>
      </c>
      <c r="L20" s="103">
        <f t="shared" si="8"/>
        <v>39</v>
      </c>
      <c r="M20" s="103">
        <f>'Final exam'!N19</f>
        <v>21</v>
      </c>
      <c r="N20" s="101">
        <f t="shared" si="5"/>
        <v>60</v>
      </c>
      <c r="O20" s="123">
        <f t="shared" si="6"/>
        <v>2</v>
      </c>
      <c r="P20" s="104" t="str">
        <f t="shared" si="7"/>
        <v>D</v>
      </c>
    </row>
    <row r="21" spans="1:16" ht="20.25" hidden="1" customHeight="1" x14ac:dyDescent="0.25">
      <c r="A21" s="68">
        <v>10</v>
      </c>
      <c r="B21" s="49" t="str">
        <f>IF(StList!B12&lt;&gt;"",StList!B12,"")</f>
        <v>Pharmaceutical sciences</v>
      </c>
      <c r="C21" s="24" t="str">
        <f>IF(StList!E12&lt;&gt;"",StList!E12,"")</f>
        <v/>
      </c>
      <c r="D21" s="24" t="str">
        <f>IF(StList!F12&lt;&gt;"",StList!F12,"")</f>
        <v/>
      </c>
      <c r="E21" s="57" t="str">
        <f>'Mid1'!N20</f>
        <v/>
      </c>
      <c r="F21" s="57" t="str">
        <f>'Mid2'!N20</f>
        <v/>
      </c>
      <c r="G21" s="57" t="str">
        <f>'quiz 1'!N20</f>
        <v/>
      </c>
      <c r="H21" s="57" t="str">
        <f>'Assignment or Proposal'!N20</f>
        <v/>
      </c>
      <c r="I21" s="57" t="str">
        <f>'quiz 2'!N20</f>
        <v/>
      </c>
      <c r="J21" s="57" t="str">
        <f>'Poster or Presentation'!N20</f>
        <v/>
      </c>
      <c r="K21" s="57" t="str">
        <f>'practical exam or OSCE'!N20</f>
        <v/>
      </c>
      <c r="L21" s="103" t="str">
        <f t="shared" si="8"/>
        <v/>
      </c>
      <c r="M21" s="103" t="str">
        <f>'Final exam'!N20</f>
        <v/>
      </c>
      <c r="N21" s="101" t="str">
        <f t="shared" si="5"/>
        <v/>
      </c>
      <c r="O21" s="123" t="str">
        <f t="shared" si="6"/>
        <v/>
      </c>
      <c r="P21" s="104" t="str">
        <f t="shared" si="7"/>
        <v/>
      </c>
    </row>
    <row r="22" spans="1:16" ht="20.25" hidden="1" customHeight="1" x14ac:dyDescent="0.25">
      <c r="A22" s="68">
        <v>11</v>
      </c>
      <c r="B22" s="49" t="str">
        <f>IF(StList!B13&lt;&gt;"",StList!B13,"")</f>
        <v>Pharmaceutical sciences</v>
      </c>
      <c r="C22" s="24" t="str">
        <f>IF(StList!E13&lt;&gt;"",StList!E13,"")</f>
        <v/>
      </c>
      <c r="D22" s="24" t="str">
        <f>IF(StList!F13&lt;&gt;"",StList!F13,"")</f>
        <v/>
      </c>
      <c r="E22" s="57" t="str">
        <f>'Mid1'!N21</f>
        <v/>
      </c>
      <c r="F22" s="57" t="str">
        <f>'Mid2'!N21</f>
        <v/>
      </c>
      <c r="G22" s="57" t="str">
        <f>'quiz 1'!N21</f>
        <v/>
      </c>
      <c r="H22" s="57" t="str">
        <f>'Assignment or Proposal'!N21</f>
        <v/>
      </c>
      <c r="I22" s="57" t="str">
        <f>'quiz 2'!N21</f>
        <v/>
      </c>
      <c r="J22" s="57" t="str">
        <f>'Poster or Presentation'!N21</f>
        <v/>
      </c>
      <c r="K22" s="57" t="str">
        <f>'practical exam or OSCE'!N21</f>
        <v/>
      </c>
      <c r="L22" s="103" t="str">
        <f t="shared" si="8"/>
        <v/>
      </c>
      <c r="M22" s="103" t="str">
        <f>'Final exam'!N21</f>
        <v/>
      </c>
      <c r="N22" s="101" t="str">
        <f t="shared" si="5"/>
        <v/>
      </c>
      <c r="O22" s="123" t="str">
        <f t="shared" si="6"/>
        <v/>
      </c>
      <c r="P22" s="104" t="str">
        <f t="shared" si="7"/>
        <v/>
      </c>
    </row>
    <row r="23" spans="1:16" ht="20.25" hidden="1" customHeight="1" x14ac:dyDescent="0.25">
      <c r="A23" s="68">
        <v>12</v>
      </c>
      <c r="B23" s="49" t="str">
        <f>IF(StList!B14&lt;&gt;"",StList!B14,"")</f>
        <v>Pharmaceutical sciences</v>
      </c>
      <c r="C23" s="24" t="str">
        <f>IF(StList!E14&lt;&gt;"",StList!E14,"")</f>
        <v/>
      </c>
      <c r="D23" s="24" t="str">
        <f>IF(StList!F14&lt;&gt;"",StList!F14,"")</f>
        <v/>
      </c>
      <c r="E23" s="57" t="str">
        <f>'Mid1'!N22</f>
        <v/>
      </c>
      <c r="F23" s="57" t="str">
        <f>'Mid2'!N22</f>
        <v/>
      </c>
      <c r="G23" s="57" t="str">
        <f>'quiz 1'!N22</f>
        <v/>
      </c>
      <c r="H23" s="57" t="str">
        <f>'Assignment or Proposal'!N22</f>
        <v/>
      </c>
      <c r="I23" s="57" t="str">
        <f>'quiz 2'!N22</f>
        <v/>
      </c>
      <c r="J23" s="57" t="str">
        <f>'Poster or Presentation'!N22</f>
        <v/>
      </c>
      <c r="K23" s="57" t="str">
        <f>'practical exam or OSCE'!N22</f>
        <v/>
      </c>
      <c r="L23" s="103" t="str">
        <f t="shared" si="8"/>
        <v/>
      </c>
      <c r="M23" s="103" t="str">
        <f>'Final exam'!N22</f>
        <v/>
      </c>
      <c r="N23" s="101" t="str">
        <f t="shared" si="5"/>
        <v/>
      </c>
      <c r="O23" s="123" t="str">
        <f t="shared" si="6"/>
        <v/>
      </c>
      <c r="P23" s="104" t="str">
        <f t="shared" si="7"/>
        <v/>
      </c>
    </row>
    <row r="24" spans="1:16" ht="20.25" hidden="1" customHeight="1" x14ac:dyDescent="0.25">
      <c r="A24" s="68">
        <v>13</v>
      </c>
      <c r="B24" s="49" t="str">
        <f>IF(StList!B15&lt;&gt;"",StList!B15,"")</f>
        <v>Pharmaceutical sciences</v>
      </c>
      <c r="C24" s="24" t="str">
        <f>IF(StList!E15&lt;&gt;"",StList!E15,"")</f>
        <v/>
      </c>
      <c r="D24" s="24" t="str">
        <f>IF(StList!F15&lt;&gt;"",StList!F15,"")</f>
        <v/>
      </c>
      <c r="E24" s="57" t="str">
        <f>'Mid1'!N23</f>
        <v/>
      </c>
      <c r="F24" s="57" t="str">
        <f>'Mid2'!N23</f>
        <v/>
      </c>
      <c r="G24" s="57" t="str">
        <f>'quiz 1'!N23</f>
        <v/>
      </c>
      <c r="H24" s="57" t="str">
        <f>'Assignment or Proposal'!N23</f>
        <v/>
      </c>
      <c r="I24" s="57" t="str">
        <f>'quiz 2'!N23</f>
        <v/>
      </c>
      <c r="J24" s="57" t="str">
        <f>'Poster or Presentation'!N23</f>
        <v/>
      </c>
      <c r="K24" s="57" t="str">
        <f>'practical exam or OSCE'!N23</f>
        <v/>
      </c>
      <c r="L24" s="103" t="str">
        <f t="shared" si="8"/>
        <v/>
      </c>
      <c r="M24" s="103" t="str">
        <f>'Final exam'!N23</f>
        <v/>
      </c>
      <c r="N24" s="101" t="str">
        <f t="shared" si="5"/>
        <v/>
      </c>
      <c r="O24" s="123" t="str">
        <f t="shared" si="6"/>
        <v/>
      </c>
      <c r="P24" s="104" t="str">
        <f t="shared" si="7"/>
        <v/>
      </c>
    </row>
    <row r="25" spans="1:16" ht="20.25" hidden="1" customHeight="1" x14ac:dyDescent="0.25">
      <c r="A25" s="68">
        <v>14</v>
      </c>
      <c r="B25" s="49" t="str">
        <f>IF(StList!B16&lt;&gt;"",StList!B16,"")</f>
        <v>Pharmaceutical sciences</v>
      </c>
      <c r="C25" s="24" t="str">
        <f>IF(StList!E16&lt;&gt;"",StList!E16,"")</f>
        <v/>
      </c>
      <c r="D25" s="24" t="str">
        <f>IF(StList!F16&lt;&gt;"",StList!F16,"")</f>
        <v/>
      </c>
      <c r="E25" s="57" t="str">
        <f>'Mid1'!N24</f>
        <v/>
      </c>
      <c r="F25" s="57" t="str">
        <f>'Mid2'!N24</f>
        <v/>
      </c>
      <c r="G25" s="57" t="str">
        <f>'quiz 1'!N24</f>
        <v/>
      </c>
      <c r="H25" s="57" t="str">
        <f>'Assignment or Proposal'!N24</f>
        <v/>
      </c>
      <c r="I25" s="57" t="str">
        <f>'quiz 2'!N24</f>
        <v/>
      </c>
      <c r="J25" s="57" t="str">
        <f>'Poster or Presentation'!N24</f>
        <v/>
      </c>
      <c r="K25" s="57" t="str">
        <f>'practical exam or OSCE'!N24</f>
        <v/>
      </c>
      <c r="L25" s="103" t="str">
        <f t="shared" si="8"/>
        <v/>
      </c>
      <c r="M25" s="103" t="str">
        <f>'Final exam'!N24</f>
        <v/>
      </c>
      <c r="N25" s="101" t="str">
        <f t="shared" si="5"/>
        <v/>
      </c>
      <c r="O25" s="123" t="str">
        <f t="shared" si="6"/>
        <v/>
      </c>
      <c r="P25" s="104" t="str">
        <f t="shared" si="7"/>
        <v/>
      </c>
    </row>
    <row r="26" spans="1:16" ht="20.25" hidden="1" customHeight="1" x14ac:dyDescent="0.25">
      <c r="A26" s="68">
        <v>15</v>
      </c>
      <c r="B26" s="49" t="str">
        <f>IF(StList!B17&lt;&gt;"",StList!B17,"")</f>
        <v>Pharmaceutical sciences</v>
      </c>
      <c r="C26" s="24" t="str">
        <f>IF(StList!E17&lt;&gt;"",StList!E17,"")</f>
        <v/>
      </c>
      <c r="D26" s="24" t="str">
        <f>IF(StList!F17&lt;&gt;"",StList!F17,"")</f>
        <v/>
      </c>
      <c r="E26" s="57" t="str">
        <f>'Mid1'!N25</f>
        <v/>
      </c>
      <c r="F26" s="57" t="str">
        <f>'Mid2'!N25</f>
        <v/>
      </c>
      <c r="G26" s="57" t="str">
        <f>'quiz 1'!N25</f>
        <v/>
      </c>
      <c r="H26" s="57" t="str">
        <f>'Assignment or Proposal'!N25</f>
        <v/>
      </c>
      <c r="I26" s="57" t="str">
        <f>'quiz 2'!N25</f>
        <v/>
      </c>
      <c r="J26" s="57" t="str">
        <f>'Poster or Presentation'!N25</f>
        <v/>
      </c>
      <c r="K26" s="57" t="str">
        <f>'practical exam or OSCE'!N25</f>
        <v/>
      </c>
      <c r="L26" s="103" t="str">
        <f t="shared" si="8"/>
        <v/>
      </c>
      <c r="M26" s="103" t="str">
        <f>'Final exam'!N25</f>
        <v/>
      </c>
      <c r="N26" s="101" t="str">
        <f t="shared" si="5"/>
        <v/>
      </c>
      <c r="O26" s="123" t="str">
        <f t="shared" si="6"/>
        <v/>
      </c>
      <c r="P26" s="104" t="str">
        <f t="shared" si="7"/>
        <v/>
      </c>
    </row>
    <row r="27" spans="1:16" ht="20.25" hidden="1" customHeight="1" x14ac:dyDescent="0.25">
      <c r="A27" s="68">
        <v>16</v>
      </c>
      <c r="B27" s="49" t="str">
        <f>IF(StList!B18&lt;&gt;"",StList!B18,"")</f>
        <v>Pharmaceutical sciences</v>
      </c>
      <c r="C27" s="24" t="str">
        <f>IF(StList!E18&lt;&gt;"",StList!E18,"")</f>
        <v/>
      </c>
      <c r="D27" s="24" t="str">
        <f>IF(StList!F18&lt;&gt;"",StList!F18,"")</f>
        <v/>
      </c>
      <c r="E27" s="57" t="str">
        <f>'Mid1'!N26</f>
        <v/>
      </c>
      <c r="F27" s="57" t="str">
        <f>'Mid2'!N26</f>
        <v/>
      </c>
      <c r="G27" s="57" t="str">
        <f>'quiz 1'!N26</f>
        <v/>
      </c>
      <c r="H27" s="57" t="str">
        <f>'Assignment or Proposal'!N26</f>
        <v/>
      </c>
      <c r="I27" s="57" t="str">
        <f>'quiz 2'!N26</f>
        <v/>
      </c>
      <c r="J27" s="57" t="str">
        <f>'Poster or Presentation'!N26</f>
        <v/>
      </c>
      <c r="K27" s="57" t="str">
        <f>'practical exam or OSCE'!N26</f>
        <v/>
      </c>
      <c r="L27" s="103" t="str">
        <f t="shared" si="8"/>
        <v/>
      </c>
      <c r="M27" s="103" t="str">
        <f>'Final exam'!N26</f>
        <v/>
      </c>
      <c r="N27" s="101" t="str">
        <f t="shared" si="5"/>
        <v/>
      </c>
      <c r="O27" s="123" t="str">
        <f t="shared" si="6"/>
        <v/>
      </c>
      <c r="P27" s="104" t="str">
        <f t="shared" si="7"/>
        <v/>
      </c>
    </row>
    <row r="28" spans="1:16" ht="20.25" hidden="1" customHeight="1" x14ac:dyDescent="0.25">
      <c r="A28" s="68">
        <v>17</v>
      </c>
      <c r="B28" s="49" t="str">
        <f>IF(StList!B19&lt;&gt;"",StList!B19,"")</f>
        <v>Pharmaceutical sciences</v>
      </c>
      <c r="C28" s="24" t="str">
        <f>IF(StList!E19&lt;&gt;"",StList!E19,"")</f>
        <v/>
      </c>
      <c r="D28" s="24" t="str">
        <f>IF(StList!F19&lt;&gt;"",StList!F19,"")</f>
        <v/>
      </c>
      <c r="E28" s="57" t="str">
        <f>'Mid1'!N27</f>
        <v/>
      </c>
      <c r="F28" s="57" t="str">
        <f>'Mid2'!N27</f>
        <v/>
      </c>
      <c r="G28" s="57" t="str">
        <f>'quiz 1'!N27</f>
        <v/>
      </c>
      <c r="H28" s="57" t="str">
        <f>'Assignment or Proposal'!N27</f>
        <v/>
      </c>
      <c r="I28" s="57" t="str">
        <f>'quiz 2'!N27</f>
        <v/>
      </c>
      <c r="J28" s="57" t="str">
        <f>'Poster or Presentation'!N27</f>
        <v/>
      </c>
      <c r="K28" s="57" t="str">
        <f>'practical exam or OSCE'!N27</f>
        <v/>
      </c>
      <c r="L28" s="103" t="str">
        <f t="shared" si="8"/>
        <v/>
      </c>
      <c r="M28" s="103" t="str">
        <f>'Final exam'!N27</f>
        <v/>
      </c>
      <c r="N28" s="101" t="str">
        <f t="shared" si="5"/>
        <v/>
      </c>
      <c r="O28" s="123" t="str">
        <f t="shared" si="6"/>
        <v/>
      </c>
      <c r="P28" s="104" t="str">
        <f t="shared" si="7"/>
        <v/>
      </c>
    </row>
    <row r="29" spans="1:16" ht="20.25" hidden="1" customHeight="1" x14ac:dyDescent="0.25">
      <c r="A29" s="68">
        <v>18</v>
      </c>
      <c r="B29" s="49" t="str">
        <f>IF(StList!B20&lt;&gt;"",StList!B20,"")</f>
        <v>Pharmaceutical sciences</v>
      </c>
      <c r="C29" s="24" t="str">
        <f>IF(StList!E20&lt;&gt;"",StList!E20,"")</f>
        <v/>
      </c>
      <c r="D29" s="24" t="str">
        <f>IF(StList!F20&lt;&gt;"",StList!F20,"")</f>
        <v/>
      </c>
      <c r="E29" s="57" t="str">
        <f>'Mid1'!N28</f>
        <v/>
      </c>
      <c r="F29" s="57" t="str">
        <f>'Mid2'!N28</f>
        <v/>
      </c>
      <c r="G29" s="57" t="str">
        <f>'quiz 1'!N28</f>
        <v/>
      </c>
      <c r="H29" s="57" t="str">
        <f>'Assignment or Proposal'!N28</f>
        <v/>
      </c>
      <c r="I29" s="57" t="str">
        <f>'quiz 2'!N28</f>
        <v/>
      </c>
      <c r="J29" s="57" t="str">
        <f>'Poster or Presentation'!N28</f>
        <v/>
      </c>
      <c r="K29" s="57" t="str">
        <f>'practical exam or OSCE'!N28</f>
        <v/>
      </c>
      <c r="L29" s="103" t="str">
        <f t="shared" si="8"/>
        <v/>
      </c>
      <c r="M29" s="103" t="str">
        <f>'Final exam'!N28</f>
        <v/>
      </c>
      <c r="N29" s="101" t="str">
        <f t="shared" si="5"/>
        <v/>
      </c>
      <c r="O29" s="123" t="str">
        <f t="shared" si="6"/>
        <v/>
      </c>
      <c r="P29" s="104" t="str">
        <f t="shared" si="7"/>
        <v/>
      </c>
    </row>
    <row r="30" spans="1:16" ht="20.25" hidden="1" customHeight="1" x14ac:dyDescent="0.25">
      <c r="A30" s="68">
        <v>19</v>
      </c>
      <c r="B30" s="49" t="str">
        <f>IF(StList!B21&lt;&gt;"",StList!B21,"")</f>
        <v>Pharmaceutical sciences</v>
      </c>
      <c r="C30" s="24" t="str">
        <f>IF(StList!E21&lt;&gt;"",StList!E21,"")</f>
        <v/>
      </c>
      <c r="D30" s="24" t="str">
        <f>IF(StList!F21&lt;&gt;"",StList!F21,"")</f>
        <v/>
      </c>
      <c r="E30" s="57" t="str">
        <f>'Mid1'!N29</f>
        <v/>
      </c>
      <c r="F30" s="57" t="str">
        <f>'Mid2'!N29</f>
        <v/>
      </c>
      <c r="G30" s="57" t="str">
        <f>'quiz 1'!N29</f>
        <v/>
      </c>
      <c r="H30" s="57" t="str">
        <f>'Assignment or Proposal'!N29</f>
        <v/>
      </c>
      <c r="I30" s="57" t="str">
        <f>'quiz 2'!N29</f>
        <v/>
      </c>
      <c r="J30" s="57" t="str">
        <f>'Poster or Presentation'!N29</f>
        <v/>
      </c>
      <c r="K30" s="57" t="str">
        <f>'practical exam or OSCE'!N29</f>
        <v/>
      </c>
      <c r="L30" s="103" t="str">
        <f t="shared" si="8"/>
        <v/>
      </c>
      <c r="M30" s="103" t="str">
        <f>'Final exam'!N29</f>
        <v/>
      </c>
      <c r="N30" s="101" t="str">
        <f t="shared" si="5"/>
        <v/>
      </c>
      <c r="O30" s="123" t="str">
        <f t="shared" si="6"/>
        <v/>
      </c>
      <c r="P30" s="104" t="str">
        <f t="shared" si="7"/>
        <v/>
      </c>
    </row>
    <row r="31" spans="1:16" ht="20.25" hidden="1" customHeight="1" x14ac:dyDescent="0.25">
      <c r="A31" s="68">
        <v>20</v>
      </c>
      <c r="B31" s="49" t="str">
        <f>IF(StList!B22&lt;&gt;"",StList!B22,"")</f>
        <v>Pharmaceutical sciences</v>
      </c>
      <c r="C31" s="24" t="str">
        <f>IF(StList!E22&lt;&gt;"",StList!E22,"")</f>
        <v/>
      </c>
      <c r="D31" s="24" t="str">
        <f>IF(StList!F22&lt;&gt;"",StList!F22,"")</f>
        <v/>
      </c>
      <c r="E31" s="57" t="str">
        <f>'Mid1'!N30</f>
        <v/>
      </c>
      <c r="F31" s="57" t="str">
        <f>'Mid2'!N30</f>
        <v/>
      </c>
      <c r="G31" s="57" t="str">
        <f>'quiz 1'!N30</f>
        <v/>
      </c>
      <c r="H31" s="57" t="str">
        <f>'Assignment or Proposal'!N30</f>
        <v/>
      </c>
      <c r="I31" s="57" t="str">
        <f>'quiz 2'!N30</f>
        <v/>
      </c>
      <c r="J31" s="57" t="str">
        <f>'Poster or Presentation'!N30</f>
        <v/>
      </c>
      <c r="K31" s="57" t="str">
        <f>'practical exam or OSCE'!N30</f>
        <v/>
      </c>
      <c r="L31" s="103" t="str">
        <f t="shared" si="8"/>
        <v/>
      </c>
      <c r="M31" s="103" t="str">
        <f>'Final exam'!N30</f>
        <v/>
      </c>
      <c r="N31" s="101" t="str">
        <f t="shared" si="5"/>
        <v/>
      </c>
      <c r="O31" s="123" t="str">
        <f t="shared" si="6"/>
        <v/>
      </c>
      <c r="P31" s="104" t="str">
        <f t="shared" si="7"/>
        <v/>
      </c>
    </row>
    <row r="32" spans="1:16" ht="20.25" hidden="1" customHeight="1" x14ac:dyDescent="0.25">
      <c r="A32" s="68">
        <v>21</v>
      </c>
      <c r="B32" s="49" t="str">
        <f>IF(StList!B23&lt;&gt;"",StList!B23,"")</f>
        <v>Pharmaceutical sciences</v>
      </c>
      <c r="C32" s="24" t="str">
        <f>IF(StList!E23&lt;&gt;"",StList!E23,"")</f>
        <v/>
      </c>
      <c r="D32" s="24" t="str">
        <f>IF(StList!F23&lt;&gt;"",StList!F23,"")</f>
        <v/>
      </c>
      <c r="E32" s="57" t="str">
        <f>'Mid1'!N31</f>
        <v/>
      </c>
      <c r="F32" s="57" t="str">
        <f>'Mid2'!N31</f>
        <v/>
      </c>
      <c r="G32" s="57" t="str">
        <f>'quiz 1'!N31</f>
        <v/>
      </c>
      <c r="H32" s="57" t="str">
        <f>'Assignment or Proposal'!N31</f>
        <v/>
      </c>
      <c r="I32" s="57" t="str">
        <f>'quiz 2'!N31</f>
        <v/>
      </c>
      <c r="J32" s="57" t="str">
        <f>'Poster or Presentation'!N31</f>
        <v/>
      </c>
      <c r="K32" s="57" t="str">
        <f>'practical exam or OSCE'!N31</f>
        <v/>
      </c>
      <c r="L32" s="103" t="str">
        <f t="shared" si="8"/>
        <v/>
      </c>
      <c r="M32" s="103" t="str">
        <f>'Final exam'!N31</f>
        <v/>
      </c>
      <c r="N32" s="101" t="str">
        <f t="shared" si="5"/>
        <v/>
      </c>
      <c r="O32" s="123" t="str">
        <f t="shared" si="6"/>
        <v/>
      </c>
      <c r="P32" s="104" t="str">
        <f t="shared" si="7"/>
        <v/>
      </c>
    </row>
    <row r="33" spans="1:16" ht="20.25" hidden="1" customHeight="1" x14ac:dyDescent="0.25">
      <c r="A33" s="68">
        <v>22</v>
      </c>
      <c r="B33" s="49" t="str">
        <f>IF(StList!B24&lt;&gt;"",StList!B24,"")</f>
        <v>Pharmaceutical sciences</v>
      </c>
      <c r="C33" s="24" t="str">
        <f>IF(StList!E24&lt;&gt;"",StList!E24,"")</f>
        <v/>
      </c>
      <c r="D33" s="24" t="str">
        <f>IF(StList!F24&lt;&gt;"",StList!F24,"")</f>
        <v/>
      </c>
      <c r="E33" s="57" t="str">
        <f>'Mid1'!N32</f>
        <v/>
      </c>
      <c r="F33" s="57" t="str">
        <f>'Mid2'!N32</f>
        <v/>
      </c>
      <c r="G33" s="57" t="str">
        <f>'quiz 1'!N32</f>
        <v/>
      </c>
      <c r="H33" s="57" t="str">
        <f>'Assignment or Proposal'!N32</f>
        <v/>
      </c>
      <c r="I33" s="57" t="str">
        <f>'quiz 2'!N32</f>
        <v/>
      </c>
      <c r="J33" s="57" t="str">
        <f>'Poster or Presentation'!N32</f>
        <v/>
      </c>
      <c r="K33" s="57" t="str">
        <f>'practical exam or OSCE'!N32</f>
        <v/>
      </c>
      <c r="L33" s="103" t="str">
        <f t="shared" si="8"/>
        <v/>
      </c>
      <c r="M33" s="103" t="str">
        <f>'Final exam'!N32</f>
        <v/>
      </c>
      <c r="N33" s="101" t="str">
        <f t="shared" si="5"/>
        <v/>
      </c>
      <c r="O33" s="123" t="str">
        <f t="shared" si="6"/>
        <v/>
      </c>
      <c r="P33" s="104" t="str">
        <f t="shared" si="7"/>
        <v/>
      </c>
    </row>
    <row r="34" spans="1:16" ht="20.25" hidden="1" customHeight="1" x14ac:dyDescent="0.25">
      <c r="A34" s="68">
        <v>23</v>
      </c>
      <c r="B34" s="49" t="str">
        <f>IF(StList!B25&lt;&gt;"",StList!B25,"")</f>
        <v>Pharmaceutical sciences</v>
      </c>
      <c r="C34" s="24" t="str">
        <f>IF(StList!E25&lt;&gt;"",StList!E25,"")</f>
        <v/>
      </c>
      <c r="D34" s="24" t="str">
        <f>IF(StList!F25&lt;&gt;"",StList!F25,"")</f>
        <v/>
      </c>
      <c r="E34" s="57" t="str">
        <f>'Mid1'!N33</f>
        <v/>
      </c>
      <c r="F34" s="57" t="str">
        <f>'Mid2'!N33</f>
        <v/>
      </c>
      <c r="G34" s="57" t="str">
        <f>'quiz 1'!N33</f>
        <v/>
      </c>
      <c r="H34" s="57" t="str">
        <f>'Assignment or Proposal'!N33</f>
        <v/>
      </c>
      <c r="I34" s="57" t="str">
        <f>'quiz 2'!N33</f>
        <v/>
      </c>
      <c r="J34" s="57" t="str">
        <f>'Poster or Presentation'!N33</f>
        <v/>
      </c>
      <c r="K34" s="57" t="str">
        <f>'practical exam or OSCE'!N33</f>
        <v/>
      </c>
      <c r="L34" s="103" t="str">
        <f t="shared" si="8"/>
        <v/>
      </c>
      <c r="M34" s="103" t="str">
        <f>'Final exam'!N33</f>
        <v/>
      </c>
      <c r="N34" s="101" t="str">
        <f t="shared" si="5"/>
        <v/>
      </c>
      <c r="O34" s="123" t="str">
        <f t="shared" si="6"/>
        <v/>
      </c>
      <c r="P34" s="104" t="str">
        <f t="shared" si="7"/>
        <v/>
      </c>
    </row>
    <row r="35" spans="1:16" ht="20.25" hidden="1" customHeight="1" x14ac:dyDescent="0.25">
      <c r="A35" s="68">
        <v>24</v>
      </c>
      <c r="B35" s="49" t="str">
        <f>IF(StList!B26&lt;&gt;"",StList!B26,"")</f>
        <v>Pharmaceutical sciences</v>
      </c>
      <c r="C35" s="24" t="str">
        <f>IF(StList!E26&lt;&gt;"",StList!E26,"")</f>
        <v/>
      </c>
      <c r="D35" s="24" t="str">
        <f>IF(StList!F26&lt;&gt;"",StList!F26,"")</f>
        <v/>
      </c>
      <c r="E35" s="57" t="str">
        <f>'Mid1'!N34</f>
        <v/>
      </c>
      <c r="F35" s="57" t="str">
        <f>'Mid2'!N34</f>
        <v/>
      </c>
      <c r="G35" s="57" t="str">
        <f>'quiz 1'!N34</f>
        <v/>
      </c>
      <c r="H35" s="57" t="str">
        <f>'Assignment or Proposal'!N34</f>
        <v/>
      </c>
      <c r="I35" s="57" t="str">
        <f>'quiz 2'!N34</f>
        <v/>
      </c>
      <c r="J35" s="57" t="str">
        <f>'Poster or Presentation'!N34</f>
        <v/>
      </c>
      <c r="K35" s="57" t="str">
        <f>'practical exam or OSCE'!N34</f>
        <v/>
      </c>
      <c r="L35" s="103" t="str">
        <f t="shared" si="8"/>
        <v/>
      </c>
      <c r="M35" s="103" t="str">
        <f>'Final exam'!N34</f>
        <v/>
      </c>
      <c r="N35" s="101" t="str">
        <f t="shared" si="5"/>
        <v/>
      </c>
      <c r="O35" s="123" t="str">
        <f t="shared" si="6"/>
        <v/>
      </c>
      <c r="P35" s="104" t="str">
        <f t="shared" si="7"/>
        <v/>
      </c>
    </row>
    <row r="36" spans="1:16" ht="20.25" hidden="1" customHeight="1" x14ac:dyDescent="0.25">
      <c r="A36" s="68">
        <v>25</v>
      </c>
      <c r="B36" s="49" t="str">
        <f>IF(StList!B27&lt;&gt;"",StList!B27,"")</f>
        <v>Pharmaceutical sciences</v>
      </c>
      <c r="C36" s="24" t="str">
        <f>IF(StList!E27&lt;&gt;"",StList!E27,"")</f>
        <v/>
      </c>
      <c r="D36" s="24" t="str">
        <f>IF(StList!F27&lt;&gt;"",StList!F27,"")</f>
        <v/>
      </c>
      <c r="E36" s="57" t="str">
        <f>'Mid1'!N35</f>
        <v/>
      </c>
      <c r="F36" s="57" t="str">
        <f>'Mid2'!N35</f>
        <v/>
      </c>
      <c r="G36" s="57" t="str">
        <f>'quiz 1'!N35</f>
        <v/>
      </c>
      <c r="H36" s="57" t="str">
        <f>'Assignment or Proposal'!N35</f>
        <v/>
      </c>
      <c r="I36" s="57" t="str">
        <f>'quiz 2'!N35</f>
        <v/>
      </c>
      <c r="J36" s="57" t="str">
        <f>'Poster or Presentation'!N35</f>
        <v/>
      </c>
      <c r="K36" s="57" t="str">
        <f>'practical exam or OSCE'!N35</f>
        <v/>
      </c>
      <c r="L36" s="103" t="str">
        <f t="shared" si="8"/>
        <v/>
      </c>
      <c r="M36" s="103" t="str">
        <f>'Final exam'!N35</f>
        <v/>
      </c>
      <c r="N36" s="101" t="str">
        <f t="shared" si="5"/>
        <v/>
      </c>
      <c r="O36" s="123" t="str">
        <f t="shared" si="6"/>
        <v/>
      </c>
      <c r="P36" s="104" t="str">
        <f t="shared" si="7"/>
        <v/>
      </c>
    </row>
    <row r="37" spans="1:16" ht="20.25" hidden="1" customHeight="1" x14ac:dyDescent="0.25">
      <c r="A37" s="68">
        <v>26</v>
      </c>
      <c r="B37" s="49" t="str">
        <f>IF(StList!B28&lt;&gt;"",StList!B28,"")</f>
        <v>Pharmaceutical sciences</v>
      </c>
      <c r="C37" s="24" t="str">
        <f>IF(StList!E28&lt;&gt;"",StList!E28,"")</f>
        <v/>
      </c>
      <c r="D37" s="24" t="str">
        <f>IF(StList!F28&lt;&gt;"",StList!F28,"")</f>
        <v/>
      </c>
      <c r="E37" s="57" t="str">
        <f>'Mid1'!N36</f>
        <v/>
      </c>
      <c r="F37" s="57" t="str">
        <f>'Mid2'!N36</f>
        <v/>
      </c>
      <c r="G37" s="57" t="str">
        <f>'quiz 1'!N36</f>
        <v/>
      </c>
      <c r="H37" s="57" t="str">
        <f>'Assignment or Proposal'!N36</f>
        <v/>
      </c>
      <c r="I37" s="57" t="str">
        <f>'quiz 2'!N36</f>
        <v/>
      </c>
      <c r="J37" s="57" t="str">
        <f>'Poster or Presentation'!N36</f>
        <v/>
      </c>
      <c r="K37" s="57" t="str">
        <f>'practical exam or OSCE'!N36</f>
        <v/>
      </c>
      <c r="L37" s="103" t="str">
        <f t="shared" si="8"/>
        <v/>
      </c>
      <c r="M37" s="103" t="str">
        <f>'Final exam'!N36</f>
        <v/>
      </c>
      <c r="N37" s="101" t="str">
        <f t="shared" si="5"/>
        <v/>
      </c>
      <c r="O37" s="123" t="str">
        <f t="shared" si="6"/>
        <v/>
      </c>
      <c r="P37" s="104" t="str">
        <f t="shared" si="7"/>
        <v/>
      </c>
    </row>
    <row r="38" spans="1:16" ht="20.25" hidden="1" customHeight="1" x14ac:dyDescent="0.25">
      <c r="A38" s="68">
        <v>27</v>
      </c>
      <c r="B38" s="49" t="str">
        <f>IF(StList!B29&lt;&gt;"",StList!B29,"")</f>
        <v>Pharmaceutical sciences</v>
      </c>
      <c r="C38" s="24" t="str">
        <f>IF(StList!E29&lt;&gt;"",StList!E29,"")</f>
        <v/>
      </c>
      <c r="D38" s="24" t="str">
        <f>IF(StList!F29&lt;&gt;"",StList!F29,"")</f>
        <v/>
      </c>
      <c r="E38" s="57" t="str">
        <f>'Mid1'!N37</f>
        <v/>
      </c>
      <c r="F38" s="57" t="str">
        <f>'Mid2'!N37</f>
        <v/>
      </c>
      <c r="G38" s="57" t="str">
        <f>'quiz 1'!N37</f>
        <v/>
      </c>
      <c r="H38" s="57" t="str">
        <f>'Assignment or Proposal'!N37</f>
        <v/>
      </c>
      <c r="I38" s="57" t="str">
        <f>'quiz 2'!N37</f>
        <v/>
      </c>
      <c r="J38" s="57" t="str">
        <f>'Poster or Presentation'!N37</f>
        <v/>
      </c>
      <c r="K38" s="57" t="str">
        <f>'practical exam or OSCE'!N37</f>
        <v/>
      </c>
      <c r="L38" s="103" t="str">
        <f t="shared" si="8"/>
        <v/>
      </c>
      <c r="M38" s="103" t="str">
        <f>'Final exam'!N37</f>
        <v/>
      </c>
      <c r="N38" s="101" t="str">
        <f t="shared" si="5"/>
        <v/>
      </c>
      <c r="O38" s="123" t="str">
        <f t="shared" si="6"/>
        <v/>
      </c>
      <c r="P38" s="104" t="str">
        <f t="shared" si="7"/>
        <v/>
      </c>
    </row>
    <row r="39" spans="1:16" ht="20.25" hidden="1" customHeight="1" x14ac:dyDescent="0.25">
      <c r="A39" s="68">
        <v>28</v>
      </c>
      <c r="B39" s="49" t="str">
        <f>IF(StList!B30&lt;&gt;"",StList!B30,"")</f>
        <v>Pharmaceutical sciences</v>
      </c>
      <c r="C39" s="24" t="str">
        <f>IF(StList!E30&lt;&gt;"",StList!E30,"")</f>
        <v/>
      </c>
      <c r="D39" s="24" t="str">
        <f>IF(StList!F30&lt;&gt;"",StList!F30,"")</f>
        <v/>
      </c>
      <c r="E39" s="57" t="str">
        <f>'Mid1'!N38</f>
        <v/>
      </c>
      <c r="F39" s="57" t="str">
        <f>'Mid2'!N38</f>
        <v/>
      </c>
      <c r="G39" s="57" t="str">
        <f>'quiz 1'!N38</f>
        <v/>
      </c>
      <c r="H39" s="57" t="str">
        <f>'Assignment or Proposal'!N38</f>
        <v/>
      </c>
      <c r="I39" s="57" t="str">
        <f>'quiz 2'!N38</f>
        <v/>
      </c>
      <c r="J39" s="57" t="str">
        <f>'Poster or Presentation'!N38</f>
        <v/>
      </c>
      <c r="K39" s="57" t="str">
        <f>'practical exam or OSCE'!N38</f>
        <v/>
      </c>
      <c r="L39" s="103" t="str">
        <f t="shared" si="8"/>
        <v/>
      </c>
      <c r="M39" s="103" t="str">
        <f>'Final exam'!N38</f>
        <v/>
      </c>
      <c r="N39" s="101" t="str">
        <f t="shared" si="5"/>
        <v/>
      </c>
      <c r="O39" s="123" t="str">
        <f t="shared" si="6"/>
        <v/>
      </c>
      <c r="P39" s="104" t="str">
        <f t="shared" si="7"/>
        <v/>
      </c>
    </row>
    <row r="40" spans="1:16" ht="20.25" hidden="1" customHeight="1" x14ac:dyDescent="0.25">
      <c r="A40" s="68">
        <v>29</v>
      </c>
      <c r="B40" s="49" t="str">
        <f>IF(StList!B31&lt;&gt;"",StList!B31,"")</f>
        <v>Pharmaceutical sciences</v>
      </c>
      <c r="C40" s="24" t="str">
        <f>IF(StList!E31&lt;&gt;"",StList!E31,"")</f>
        <v/>
      </c>
      <c r="D40" s="24" t="str">
        <f>IF(StList!F31&lt;&gt;"",StList!F31,"")</f>
        <v/>
      </c>
      <c r="E40" s="57" t="str">
        <f>'Mid1'!N39</f>
        <v/>
      </c>
      <c r="F40" s="57" t="str">
        <f>'Mid2'!N39</f>
        <v/>
      </c>
      <c r="G40" s="57" t="str">
        <f>'quiz 1'!N39</f>
        <v/>
      </c>
      <c r="H40" s="57" t="str">
        <f>'Assignment or Proposal'!N39</f>
        <v/>
      </c>
      <c r="I40" s="57" t="str">
        <f>'quiz 2'!N39</f>
        <v/>
      </c>
      <c r="J40" s="57" t="str">
        <f>'Poster or Presentation'!N39</f>
        <v/>
      </c>
      <c r="K40" s="57" t="str">
        <f>'practical exam or OSCE'!N39</f>
        <v/>
      </c>
      <c r="L40" s="103" t="str">
        <f t="shared" si="8"/>
        <v/>
      </c>
      <c r="M40" s="103" t="str">
        <f>'Final exam'!N39</f>
        <v/>
      </c>
      <c r="N40" s="101" t="str">
        <f t="shared" si="5"/>
        <v/>
      </c>
      <c r="O40" s="123" t="str">
        <f t="shared" si="6"/>
        <v/>
      </c>
      <c r="P40" s="104" t="str">
        <f t="shared" si="7"/>
        <v/>
      </c>
    </row>
    <row r="41" spans="1:16" ht="20.25" hidden="1" customHeight="1" x14ac:dyDescent="0.25">
      <c r="A41" s="68">
        <v>30</v>
      </c>
      <c r="B41" s="49" t="str">
        <f>IF(StList!B32&lt;&gt;"",StList!B32,"")</f>
        <v>Pharmaceutical sciences</v>
      </c>
      <c r="C41" s="24" t="str">
        <f>IF(StList!E32&lt;&gt;"",StList!E32,"")</f>
        <v/>
      </c>
      <c r="D41" s="24" t="str">
        <f>IF(StList!F32&lt;&gt;"",StList!F32,"")</f>
        <v/>
      </c>
      <c r="E41" s="57" t="str">
        <f>'Mid1'!N40</f>
        <v/>
      </c>
      <c r="F41" s="57" t="str">
        <f>'Mid2'!N40</f>
        <v/>
      </c>
      <c r="G41" s="57" t="str">
        <f>'quiz 1'!N40</f>
        <v/>
      </c>
      <c r="H41" s="57" t="str">
        <f>'Assignment or Proposal'!N40</f>
        <v/>
      </c>
      <c r="I41" s="57" t="str">
        <f>'quiz 2'!N40</f>
        <v/>
      </c>
      <c r="J41" s="57" t="str">
        <f>'Poster or Presentation'!N40</f>
        <v/>
      </c>
      <c r="K41" s="57" t="str">
        <f>'practical exam or OSCE'!N40</f>
        <v/>
      </c>
      <c r="L41" s="103" t="str">
        <f t="shared" si="8"/>
        <v/>
      </c>
      <c r="M41" s="103" t="str">
        <f>'Final exam'!N40</f>
        <v/>
      </c>
      <c r="N41" s="101" t="str">
        <f t="shared" si="5"/>
        <v/>
      </c>
      <c r="O41" s="123" t="str">
        <f t="shared" si="6"/>
        <v/>
      </c>
      <c r="P41" s="104" t="str">
        <f t="shared" si="7"/>
        <v/>
      </c>
    </row>
    <row r="42" spans="1:16" ht="20.25" hidden="1" customHeight="1" x14ac:dyDescent="0.25">
      <c r="A42" s="68">
        <v>31</v>
      </c>
      <c r="B42" s="49" t="str">
        <f>IF(StList!B33&lt;&gt;"",StList!B33,"")</f>
        <v>Pharmaceutical sciences</v>
      </c>
      <c r="C42" s="24" t="str">
        <f>IF(StList!E33&lt;&gt;"",StList!E33,"")</f>
        <v/>
      </c>
      <c r="D42" s="24" t="str">
        <f>IF(StList!F33&lt;&gt;"",StList!F33,"")</f>
        <v/>
      </c>
      <c r="E42" s="57" t="str">
        <f>'Mid1'!N41</f>
        <v/>
      </c>
      <c r="F42" s="57" t="str">
        <f>'Mid2'!N41</f>
        <v/>
      </c>
      <c r="G42" s="57" t="str">
        <f>'quiz 1'!N41</f>
        <v/>
      </c>
      <c r="H42" s="57" t="str">
        <f>'Assignment or Proposal'!N41</f>
        <v/>
      </c>
      <c r="I42" s="57" t="str">
        <f>'quiz 2'!N41</f>
        <v/>
      </c>
      <c r="J42" s="57" t="str">
        <f>'Poster or Presentation'!N41</f>
        <v/>
      </c>
      <c r="K42" s="57" t="str">
        <f>'practical exam or OSCE'!N41</f>
        <v/>
      </c>
      <c r="L42" s="103" t="str">
        <f t="shared" si="8"/>
        <v/>
      </c>
      <c r="M42" s="103" t="str">
        <f>'Final exam'!N41</f>
        <v/>
      </c>
      <c r="N42" s="101" t="str">
        <f t="shared" si="5"/>
        <v/>
      </c>
      <c r="O42" s="123" t="str">
        <f t="shared" si="6"/>
        <v/>
      </c>
      <c r="P42" s="104" t="str">
        <f t="shared" si="7"/>
        <v/>
      </c>
    </row>
    <row r="43" spans="1:16" ht="20.25" hidden="1" customHeight="1" x14ac:dyDescent="0.25">
      <c r="A43" s="68">
        <v>32</v>
      </c>
      <c r="B43" s="49" t="str">
        <f>IF(StList!B34&lt;&gt;"",StList!B34,"")</f>
        <v>Pharmaceutical sciences</v>
      </c>
      <c r="C43" s="24" t="str">
        <f>IF(StList!E34&lt;&gt;"",StList!E34,"")</f>
        <v/>
      </c>
      <c r="D43" s="24" t="str">
        <f>IF(StList!F34&lt;&gt;"",StList!F34,"")</f>
        <v/>
      </c>
      <c r="E43" s="57" t="str">
        <f>'Mid1'!N42</f>
        <v/>
      </c>
      <c r="F43" s="57" t="str">
        <f>'Mid2'!N42</f>
        <v/>
      </c>
      <c r="G43" s="57" t="str">
        <f>'quiz 1'!N42</f>
        <v/>
      </c>
      <c r="H43" s="57" t="str">
        <f>'Assignment or Proposal'!N42</f>
        <v/>
      </c>
      <c r="I43" s="57" t="str">
        <f>'quiz 2'!N42</f>
        <v/>
      </c>
      <c r="J43" s="57" t="str">
        <f>'Poster or Presentation'!N42</f>
        <v/>
      </c>
      <c r="K43" s="57" t="str">
        <f>'practical exam or OSCE'!N42</f>
        <v/>
      </c>
      <c r="L43" s="103" t="str">
        <f t="shared" si="8"/>
        <v/>
      </c>
      <c r="M43" s="103" t="str">
        <f>'Final exam'!N42</f>
        <v/>
      </c>
      <c r="N43" s="101" t="str">
        <f t="shared" si="5"/>
        <v/>
      </c>
      <c r="O43" s="123" t="str">
        <f t="shared" si="6"/>
        <v/>
      </c>
      <c r="P43" s="104" t="str">
        <f t="shared" si="7"/>
        <v/>
      </c>
    </row>
    <row r="44" spans="1:16" ht="20.25" hidden="1" customHeight="1" x14ac:dyDescent="0.25">
      <c r="A44" s="68">
        <v>33</v>
      </c>
      <c r="B44" s="49" t="str">
        <f>IF(StList!B35&lt;&gt;"",StList!B35,"")</f>
        <v>Pharmaceutical sciences</v>
      </c>
      <c r="C44" s="24" t="str">
        <f>IF(StList!E35&lt;&gt;"",StList!E35,"")</f>
        <v/>
      </c>
      <c r="D44" s="24" t="str">
        <f>IF(StList!F35&lt;&gt;"",StList!F35,"")</f>
        <v/>
      </c>
      <c r="E44" s="57" t="str">
        <f>'Mid1'!N43</f>
        <v/>
      </c>
      <c r="F44" s="57" t="str">
        <f>'Mid2'!N43</f>
        <v/>
      </c>
      <c r="G44" s="57" t="str">
        <f>'quiz 1'!N43</f>
        <v/>
      </c>
      <c r="H44" s="57" t="str">
        <f>'Assignment or Proposal'!N43</f>
        <v/>
      </c>
      <c r="I44" s="57" t="str">
        <f>'quiz 2'!N43</f>
        <v/>
      </c>
      <c r="J44" s="57" t="str">
        <f>'Poster or Presentation'!N43</f>
        <v/>
      </c>
      <c r="K44" s="57" t="str">
        <f>'practical exam or OSCE'!N43</f>
        <v/>
      </c>
      <c r="L44" s="103" t="str">
        <f t="shared" si="8"/>
        <v/>
      </c>
      <c r="M44" s="103" t="str">
        <f>'Final exam'!N43</f>
        <v/>
      </c>
      <c r="N44" s="101" t="str">
        <f t="shared" si="5"/>
        <v/>
      </c>
      <c r="O44" s="123" t="str">
        <f t="shared" si="6"/>
        <v/>
      </c>
      <c r="P44" s="104" t="str">
        <f t="shared" si="7"/>
        <v/>
      </c>
    </row>
    <row r="45" spans="1:16" ht="20.25" hidden="1" customHeight="1" x14ac:dyDescent="0.25">
      <c r="A45" s="68">
        <v>34</v>
      </c>
      <c r="B45" s="49" t="str">
        <f>IF(StList!B36&lt;&gt;"",StList!B36,"")</f>
        <v>Pharmaceutical sciences</v>
      </c>
      <c r="C45" s="24" t="str">
        <f>IF(StList!E36&lt;&gt;"",StList!E36,"")</f>
        <v/>
      </c>
      <c r="D45" s="24" t="str">
        <f>IF(StList!F36&lt;&gt;"",StList!F36,"")</f>
        <v/>
      </c>
      <c r="E45" s="57" t="str">
        <f>'Mid1'!N44</f>
        <v/>
      </c>
      <c r="F45" s="57" t="str">
        <f>'Mid2'!N44</f>
        <v/>
      </c>
      <c r="G45" s="57" t="str">
        <f>'quiz 1'!N44</f>
        <v/>
      </c>
      <c r="H45" s="57" t="str">
        <f>'Assignment or Proposal'!N44</f>
        <v/>
      </c>
      <c r="I45" s="57" t="str">
        <f>'quiz 2'!N44</f>
        <v/>
      </c>
      <c r="J45" s="57" t="str">
        <f>'Poster or Presentation'!N44</f>
        <v/>
      </c>
      <c r="K45" s="57" t="str">
        <f>'practical exam or OSCE'!N44</f>
        <v/>
      </c>
      <c r="L45" s="103" t="str">
        <f t="shared" si="8"/>
        <v/>
      </c>
      <c r="M45" s="103" t="str">
        <f>'Final exam'!N44</f>
        <v/>
      </c>
      <c r="N45" s="101" t="str">
        <f t="shared" si="5"/>
        <v/>
      </c>
      <c r="O45" s="123" t="str">
        <f t="shared" si="6"/>
        <v/>
      </c>
      <c r="P45" s="104" t="str">
        <f t="shared" si="7"/>
        <v/>
      </c>
    </row>
    <row r="46" spans="1:16" ht="20.25" hidden="1" customHeight="1" x14ac:dyDescent="0.25">
      <c r="A46" s="68">
        <v>35</v>
      </c>
      <c r="B46" s="49" t="str">
        <f>IF(StList!B37&lt;&gt;"",StList!B37,"")</f>
        <v>Pharmaceutical sciences</v>
      </c>
      <c r="C46" s="24" t="str">
        <f>IF(StList!E37&lt;&gt;"",StList!E37,"")</f>
        <v/>
      </c>
      <c r="D46" s="24" t="str">
        <f>IF(StList!F37&lt;&gt;"",StList!F37,"")</f>
        <v/>
      </c>
      <c r="E46" s="57" t="str">
        <f>'Mid1'!N45</f>
        <v/>
      </c>
      <c r="F46" s="57" t="str">
        <f>'Mid2'!N45</f>
        <v/>
      </c>
      <c r="G46" s="57" t="str">
        <f>'quiz 1'!N45</f>
        <v/>
      </c>
      <c r="H46" s="57" t="str">
        <f>'Assignment or Proposal'!N45</f>
        <v/>
      </c>
      <c r="I46" s="57" t="str">
        <f>'quiz 2'!N45</f>
        <v/>
      </c>
      <c r="J46" s="57" t="str">
        <f>'Poster or Presentation'!N45</f>
        <v/>
      </c>
      <c r="K46" s="57" t="str">
        <f>'practical exam or OSCE'!N45</f>
        <v/>
      </c>
      <c r="L46" s="103" t="str">
        <f t="shared" si="8"/>
        <v/>
      </c>
      <c r="M46" s="103" t="str">
        <f>'Final exam'!N45</f>
        <v/>
      </c>
      <c r="N46" s="101" t="str">
        <f t="shared" si="5"/>
        <v/>
      </c>
      <c r="O46" s="123" t="str">
        <f t="shared" si="6"/>
        <v/>
      </c>
      <c r="P46" s="104" t="str">
        <f t="shared" si="7"/>
        <v/>
      </c>
    </row>
    <row r="47" spans="1:16" ht="20.25" hidden="1" customHeight="1" x14ac:dyDescent="0.25">
      <c r="A47" s="68">
        <v>36</v>
      </c>
      <c r="B47" s="49" t="str">
        <f>IF(StList!B38&lt;&gt;"",StList!B38,"")</f>
        <v>Pharmaceutical sciences</v>
      </c>
      <c r="C47" s="24" t="str">
        <f>IF(StList!E38&lt;&gt;"",StList!E38,"")</f>
        <v/>
      </c>
      <c r="D47" s="24" t="str">
        <f>IF(StList!F38&lt;&gt;"",StList!F38,"")</f>
        <v/>
      </c>
      <c r="E47" s="57" t="str">
        <f>'Mid1'!N46</f>
        <v/>
      </c>
      <c r="F47" s="57" t="str">
        <f>'Mid2'!N46</f>
        <v/>
      </c>
      <c r="G47" s="57" t="str">
        <f>'quiz 1'!N46</f>
        <v/>
      </c>
      <c r="H47" s="57" t="str">
        <f>'Assignment or Proposal'!N46</f>
        <v/>
      </c>
      <c r="I47" s="57" t="str">
        <f>'quiz 2'!N46</f>
        <v/>
      </c>
      <c r="J47" s="57" t="str">
        <f>'Poster or Presentation'!N46</f>
        <v/>
      </c>
      <c r="K47" s="57" t="str">
        <f>'practical exam or OSCE'!N46</f>
        <v/>
      </c>
      <c r="L47" s="103" t="str">
        <f t="shared" si="8"/>
        <v/>
      </c>
      <c r="M47" s="103" t="str">
        <f>'Final exam'!N46</f>
        <v/>
      </c>
      <c r="N47" s="101" t="str">
        <f t="shared" si="5"/>
        <v/>
      </c>
      <c r="O47" s="123" t="str">
        <f t="shared" si="6"/>
        <v/>
      </c>
      <c r="P47" s="104" t="str">
        <f t="shared" si="7"/>
        <v/>
      </c>
    </row>
    <row r="48" spans="1:16" ht="20.25" hidden="1" customHeight="1" x14ac:dyDescent="0.25">
      <c r="A48" s="68">
        <v>37</v>
      </c>
      <c r="B48" s="49" t="str">
        <f>IF(StList!B39&lt;&gt;"",StList!B39,"")</f>
        <v>Pharmaceutical sciences</v>
      </c>
      <c r="C48" s="24" t="str">
        <f>IF(StList!E39&lt;&gt;"",StList!E39,"")</f>
        <v/>
      </c>
      <c r="D48" s="24" t="str">
        <f>IF(StList!F39&lt;&gt;"",StList!F39,"")</f>
        <v/>
      </c>
      <c r="E48" s="57" t="str">
        <f>'Mid1'!N47</f>
        <v/>
      </c>
      <c r="F48" s="57" t="str">
        <f>'Mid2'!N47</f>
        <v/>
      </c>
      <c r="G48" s="57" t="str">
        <f>'quiz 1'!N47</f>
        <v/>
      </c>
      <c r="H48" s="57" t="str">
        <f>'Assignment or Proposal'!N47</f>
        <v/>
      </c>
      <c r="I48" s="57" t="str">
        <f>'quiz 2'!N47</f>
        <v/>
      </c>
      <c r="J48" s="57" t="str">
        <f>'Poster or Presentation'!N47</f>
        <v/>
      </c>
      <c r="K48" s="57" t="str">
        <f>'practical exam or OSCE'!N47</f>
        <v/>
      </c>
      <c r="L48" s="103" t="str">
        <f t="shared" si="8"/>
        <v/>
      </c>
      <c r="M48" s="103" t="str">
        <f>'Final exam'!N47</f>
        <v/>
      </c>
      <c r="N48" s="101" t="str">
        <f t="shared" si="5"/>
        <v/>
      </c>
      <c r="O48" s="123" t="str">
        <f t="shared" si="6"/>
        <v/>
      </c>
      <c r="P48" s="104" t="str">
        <f t="shared" si="7"/>
        <v/>
      </c>
    </row>
    <row r="49" spans="1:16" ht="20.25" hidden="1" customHeight="1" x14ac:dyDescent="0.25">
      <c r="A49" s="68">
        <v>38</v>
      </c>
      <c r="B49" s="49" t="str">
        <f>IF(StList!B40&lt;&gt;"",StList!B40,"")</f>
        <v>Pharmaceutical sciences</v>
      </c>
      <c r="C49" s="24" t="str">
        <f>IF(StList!E40&lt;&gt;"",StList!E40,"")</f>
        <v/>
      </c>
      <c r="D49" s="24" t="str">
        <f>IF(StList!F40&lt;&gt;"",StList!F40,"")</f>
        <v/>
      </c>
      <c r="E49" s="57" t="str">
        <f>'Mid1'!N48</f>
        <v/>
      </c>
      <c r="F49" s="57" t="str">
        <f>'Mid2'!N48</f>
        <v/>
      </c>
      <c r="G49" s="57" t="str">
        <f>'quiz 1'!N48</f>
        <v/>
      </c>
      <c r="H49" s="57" t="str">
        <f>'Assignment or Proposal'!N48</f>
        <v/>
      </c>
      <c r="I49" s="57" t="str">
        <f>'quiz 2'!N48</f>
        <v/>
      </c>
      <c r="J49" s="57" t="str">
        <f>'Poster or Presentation'!N48</f>
        <v/>
      </c>
      <c r="K49" s="57" t="str">
        <f>'practical exam or OSCE'!N48</f>
        <v/>
      </c>
      <c r="L49" s="103" t="str">
        <f t="shared" si="8"/>
        <v/>
      </c>
      <c r="M49" s="103" t="str">
        <f>'Final exam'!N48</f>
        <v/>
      </c>
      <c r="N49" s="101" t="str">
        <f t="shared" si="5"/>
        <v/>
      </c>
      <c r="O49" s="123" t="str">
        <f t="shared" si="6"/>
        <v/>
      </c>
      <c r="P49" s="104" t="str">
        <f t="shared" si="7"/>
        <v/>
      </c>
    </row>
    <row r="50" spans="1:16" ht="20.25" hidden="1" customHeight="1" x14ac:dyDescent="0.25">
      <c r="A50" s="68">
        <v>39</v>
      </c>
      <c r="B50" s="49" t="str">
        <f>IF(StList!B41&lt;&gt;"",StList!B41,"")</f>
        <v>Pharmaceutical sciences</v>
      </c>
      <c r="C50" s="24" t="str">
        <f>IF(StList!E41&lt;&gt;"",StList!E41,"")</f>
        <v/>
      </c>
      <c r="D50" s="24" t="str">
        <f>IF(StList!F41&lt;&gt;"",StList!F41,"")</f>
        <v/>
      </c>
      <c r="E50" s="57" t="str">
        <f>'Mid1'!N49</f>
        <v/>
      </c>
      <c r="F50" s="57" t="str">
        <f>'Mid2'!N49</f>
        <v/>
      </c>
      <c r="G50" s="57" t="str">
        <f>'quiz 1'!N49</f>
        <v/>
      </c>
      <c r="H50" s="57" t="str">
        <f>'Assignment or Proposal'!N49</f>
        <v/>
      </c>
      <c r="I50" s="57" t="str">
        <f>'quiz 2'!N49</f>
        <v/>
      </c>
      <c r="J50" s="57" t="str">
        <f>'Poster or Presentation'!N49</f>
        <v/>
      </c>
      <c r="K50" s="57" t="str">
        <f>'practical exam or OSCE'!N49</f>
        <v/>
      </c>
      <c r="L50" s="103" t="str">
        <f t="shared" si="8"/>
        <v/>
      </c>
      <c r="M50" s="103" t="str">
        <f>'Final exam'!N49</f>
        <v/>
      </c>
      <c r="N50" s="101" t="str">
        <f t="shared" si="5"/>
        <v/>
      </c>
      <c r="O50" s="123" t="str">
        <f t="shared" si="6"/>
        <v/>
      </c>
      <c r="P50" s="104" t="str">
        <f t="shared" si="7"/>
        <v/>
      </c>
    </row>
    <row r="51" spans="1:16" ht="20.25" hidden="1" customHeight="1" x14ac:dyDescent="0.25">
      <c r="A51" s="68">
        <v>40</v>
      </c>
      <c r="B51" s="49" t="str">
        <f>IF(StList!B42&lt;&gt;"",StList!B42,"")</f>
        <v>Pharmaceutical sciences</v>
      </c>
      <c r="C51" s="24" t="str">
        <f>IF(StList!E42&lt;&gt;"",StList!E42,"")</f>
        <v/>
      </c>
      <c r="D51" s="24" t="str">
        <f>IF(StList!F42&lt;&gt;"",StList!F42,"")</f>
        <v/>
      </c>
      <c r="E51" s="57" t="str">
        <f>'Mid1'!N50</f>
        <v/>
      </c>
      <c r="F51" s="57" t="str">
        <f>'Mid2'!N50</f>
        <v/>
      </c>
      <c r="G51" s="57" t="str">
        <f>'quiz 1'!N50</f>
        <v/>
      </c>
      <c r="H51" s="57" t="str">
        <f>'Assignment or Proposal'!N50</f>
        <v/>
      </c>
      <c r="I51" s="57" t="str">
        <f>'quiz 2'!N50</f>
        <v/>
      </c>
      <c r="J51" s="57" t="str">
        <f>'Poster or Presentation'!N50</f>
        <v/>
      </c>
      <c r="K51" s="57" t="str">
        <f>'practical exam or OSCE'!N50</f>
        <v/>
      </c>
      <c r="L51" s="103" t="str">
        <f t="shared" si="8"/>
        <v/>
      </c>
      <c r="M51" s="103" t="str">
        <f>'Final exam'!N50</f>
        <v/>
      </c>
      <c r="N51" s="101" t="str">
        <f t="shared" si="5"/>
        <v/>
      </c>
      <c r="O51" s="123" t="str">
        <f t="shared" si="6"/>
        <v/>
      </c>
      <c r="P51" s="104" t="str">
        <f t="shared" si="7"/>
        <v/>
      </c>
    </row>
    <row r="52" spans="1:16" ht="20.25" hidden="1" customHeight="1" x14ac:dyDescent="0.25">
      <c r="A52" s="68">
        <v>41</v>
      </c>
      <c r="B52" s="49" t="str">
        <f>IF(StList!B43&lt;&gt;"",StList!B43,"")</f>
        <v>Pharmaceutical sciences</v>
      </c>
      <c r="C52" s="24" t="str">
        <f>IF(StList!E43&lt;&gt;"",StList!E43,"")</f>
        <v/>
      </c>
      <c r="D52" s="24" t="str">
        <f>IF(StList!F43&lt;&gt;"",StList!F43,"")</f>
        <v/>
      </c>
      <c r="E52" s="57" t="str">
        <f>'Mid1'!N51</f>
        <v/>
      </c>
      <c r="F52" s="57" t="str">
        <f>'Mid2'!N51</f>
        <v/>
      </c>
      <c r="G52" s="57" t="str">
        <f>'quiz 1'!N51</f>
        <v/>
      </c>
      <c r="H52" s="57" t="str">
        <f>'Assignment or Proposal'!N51</f>
        <v/>
      </c>
      <c r="I52" s="57" t="str">
        <f>'quiz 2'!N51</f>
        <v/>
      </c>
      <c r="J52" s="57" t="str">
        <f>'Poster or Presentation'!N51</f>
        <v/>
      </c>
      <c r="K52" s="57" t="str">
        <f>'practical exam or OSCE'!N51</f>
        <v/>
      </c>
      <c r="L52" s="103" t="str">
        <f t="shared" si="8"/>
        <v/>
      </c>
      <c r="M52" s="103" t="str">
        <f>'Final exam'!N51</f>
        <v/>
      </c>
      <c r="N52" s="101" t="str">
        <f t="shared" si="5"/>
        <v/>
      </c>
      <c r="O52" s="123" t="str">
        <f t="shared" si="6"/>
        <v/>
      </c>
      <c r="P52" s="104" t="str">
        <f t="shared" si="7"/>
        <v/>
      </c>
    </row>
    <row r="53" spans="1:16" ht="20.25" hidden="1" customHeight="1" x14ac:dyDescent="0.25">
      <c r="A53" s="68">
        <v>42</v>
      </c>
      <c r="B53" s="49" t="str">
        <f>IF(StList!B44&lt;&gt;"",StList!B44,"")</f>
        <v>Pharmaceutical sciences</v>
      </c>
      <c r="C53" s="24" t="str">
        <f>IF(StList!E44&lt;&gt;"",StList!E44,"")</f>
        <v/>
      </c>
      <c r="D53" s="24" t="str">
        <f>IF(StList!F44&lt;&gt;"",StList!F44,"")</f>
        <v/>
      </c>
      <c r="E53" s="57" t="str">
        <f>'Mid1'!N52</f>
        <v/>
      </c>
      <c r="F53" s="57" t="str">
        <f>'Mid2'!N52</f>
        <v/>
      </c>
      <c r="G53" s="57" t="str">
        <f>'quiz 1'!N52</f>
        <v/>
      </c>
      <c r="H53" s="57" t="str">
        <f>'Assignment or Proposal'!N52</f>
        <v/>
      </c>
      <c r="I53" s="57" t="str">
        <f>'quiz 2'!N52</f>
        <v/>
      </c>
      <c r="J53" s="57" t="str">
        <f>'Poster or Presentation'!N52</f>
        <v/>
      </c>
      <c r="K53" s="57" t="str">
        <f>'practical exam or OSCE'!N52</f>
        <v/>
      </c>
      <c r="L53" s="103" t="str">
        <f t="shared" si="8"/>
        <v/>
      </c>
      <c r="M53" s="103" t="str">
        <f>'Final exam'!N52</f>
        <v/>
      </c>
      <c r="N53" s="101" t="str">
        <f t="shared" si="5"/>
        <v/>
      </c>
      <c r="O53" s="123" t="str">
        <f t="shared" si="6"/>
        <v/>
      </c>
      <c r="P53" s="104" t="str">
        <f t="shared" si="7"/>
        <v/>
      </c>
    </row>
    <row r="54" spans="1:16" ht="20.25" hidden="1" customHeight="1" x14ac:dyDescent="0.25">
      <c r="A54" s="68">
        <v>43</v>
      </c>
      <c r="B54" s="49" t="str">
        <f>IF(StList!B45&lt;&gt;"",StList!B45,"")</f>
        <v>Pharmaceutical sciences</v>
      </c>
      <c r="C54" s="24" t="str">
        <f>IF(StList!E45&lt;&gt;"",StList!E45,"")</f>
        <v/>
      </c>
      <c r="D54" s="24" t="str">
        <f>IF(StList!F45&lt;&gt;"",StList!F45,"")</f>
        <v/>
      </c>
      <c r="E54" s="57" t="str">
        <f>'Mid1'!N53</f>
        <v/>
      </c>
      <c r="F54" s="57" t="str">
        <f>'Mid2'!N53</f>
        <v/>
      </c>
      <c r="G54" s="57" t="str">
        <f>'quiz 1'!N53</f>
        <v/>
      </c>
      <c r="H54" s="57" t="str">
        <f>'Assignment or Proposal'!N53</f>
        <v/>
      </c>
      <c r="I54" s="57" t="str">
        <f>'quiz 2'!N53</f>
        <v/>
      </c>
      <c r="J54" s="57" t="str">
        <f>'Poster or Presentation'!N53</f>
        <v/>
      </c>
      <c r="K54" s="57" t="str">
        <f>'practical exam or OSCE'!N53</f>
        <v/>
      </c>
      <c r="L54" s="103" t="str">
        <f t="shared" si="8"/>
        <v/>
      </c>
      <c r="M54" s="103" t="str">
        <f>'Final exam'!N53</f>
        <v/>
      </c>
      <c r="N54" s="101" t="str">
        <f t="shared" si="5"/>
        <v/>
      </c>
      <c r="O54" s="123" t="str">
        <f t="shared" si="6"/>
        <v/>
      </c>
      <c r="P54" s="104" t="str">
        <f t="shared" si="7"/>
        <v/>
      </c>
    </row>
    <row r="55" spans="1:16" ht="20.25" hidden="1" customHeight="1" x14ac:dyDescent="0.25">
      <c r="A55" s="68">
        <v>44</v>
      </c>
      <c r="B55" s="49" t="str">
        <f>IF(StList!B46&lt;&gt;"",StList!B46,"")</f>
        <v>Pharmaceutical sciences</v>
      </c>
      <c r="C55" s="24" t="str">
        <f>IF(StList!E46&lt;&gt;"",StList!E46,"")</f>
        <v/>
      </c>
      <c r="D55" s="24" t="str">
        <f>IF(StList!F46&lt;&gt;"",StList!F46,"")</f>
        <v/>
      </c>
      <c r="E55" s="57" t="str">
        <f>'Mid1'!N54</f>
        <v/>
      </c>
      <c r="F55" s="57" t="str">
        <f>'Mid2'!N54</f>
        <v/>
      </c>
      <c r="G55" s="57" t="str">
        <f>'quiz 1'!N54</f>
        <v/>
      </c>
      <c r="H55" s="57" t="str">
        <f>'Assignment or Proposal'!N54</f>
        <v/>
      </c>
      <c r="I55" s="57" t="str">
        <f>'quiz 2'!N54</f>
        <v/>
      </c>
      <c r="J55" s="57" t="str">
        <f>'Poster or Presentation'!N54</f>
        <v/>
      </c>
      <c r="K55" s="57" t="str">
        <f>'practical exam or OSCE'!N54</f>
        <v/>
      </c>
      <c r="L55" s="103" t="str">
        <f t="shared" si="8"/>
        <v/>
      </c>
      <c r="M55" s="103" t="str">
        <f>'Final exam'!N54</f>
        <v/>
      </c>
      <c r="N55" s="101" t="str">
        <f t="shared" si="5"/>
        <v/>
      </c>
      <c r="O55" s="123" t="str">
        <f t="shared" si="6"/>
        <v/>
      </c>
      <c r="P55" s="104" t="str">
        <f t="shared" si="7"/>
        <v/>
      </c>
    </row>
    <row r="56" spans="1:16" ht="20.25" hidden="1" customHeight="1" x14ac:dyDescent="0.25">
      <c r="A56" s="68">
        <v>45</v>
      </c>
      <c r="B56" s="49" t="str">
        <f>IF(StList!B47&lt;&gt;"",StList!B47,"")</f>
        <v>Pharmaceutical sciences</v>
      </c>
      <c r="C56" s="24" t="str">
        <f>IF(StList!E47&lt;&gt;"",StList!E47,"")</f>
        <v/>
      </c>
      <c r="D56" s="24" t="str">
        <f>IF(StList!F47&lt;&gt;"",StList!F47,"")</f>
        <v/>
      </c>
      <c r="E56" s="57" t="str">
        <f>'Mid1'!N55</f>
        <v/>
      </c>
      <c r="F56" s="57" t="str">
        <f>'Mid2'!N55</f>
        <v/>
      </c>
      <c r="G56" s="57" t="str">
        <f>'quiz 1'!N55</f>
        <v/>
      </c>
      <c r="H56" s="57" t="str">
        <f>'Assignment or Proposal'!N55</f>
        <v/>
      </c>
      <c r="I56" s="57" t="str">
        <f>'quiz 2'!N55</f>
        <v/>
      </c>
      <c r="J56" s="57" t="str">
        <f>'Poster or Presentation'!N55</f>
        <v/>
      </c>
      <c r="K56" s="57" t="str">
        <f>'practical exam or OSCE'!N55</f>
        <v/>
      </c>
      <c r="L56" s="103" t="str">
        <f t="shared" si="8"/>
        <v/>
      </c>
      <c r="M56" s="103" t="str">
        <f>'Final exam'!N55</f>
        <v/>
      </c>
      <c r="N56" s="101" t="str">
        <f t="shared" si="5"/>
        <v/>
      </c>
      <c r="O56" s="123" t="str">
        <f t="shared" si="6"/>
        <v/>
      </c>
      <c r="P56" s="104" t="str">
        <f t="shared" si="7"/>
        <v/>
      </c>
    </row>
    <row r="57" spans="1:16" ht="20.25" hidden="1" customHeight="1" x14ac:dyDescent="0.25">
      <c r="A57" s="68">
        <v>46</v>
      </c>
      <c r="B57" s="49" t="str">
        <f>IF(StList!B48&lt;&gt;"",StList!B48,"")</f>
        <v>Pharmaceutical sciences</v>
      </c>
      <c r="C57" s="24" t="str">
        <f>IF(StList!E48&lt;&gt;"",StList!E48,"")</f>
        <v/>
      </c>
      <c r="D57" s="24" t="str">
        <f>IF(StList!F48&lt;&gt;"",StList!F48,"")</f>
        <v/>
      </c>
      <c r="E57" s="57" t="str">
        <f>'Mid1'!N56</f>
        <v/>
      </c>
      <c r="F57" s="57" t="str">
        <f>'Mid2'!N56</f>
        <v/>
      </c>
      <c r="G57" s="57" t="str">
        <f>'quiz 1'!N56</f>
        <v/>
      </c>
      <c r="H57" s="57" t="str">
        <f>'Assignment or Proposal'!N56</f>
        <v/>
      </c>
      <c r="I57" s="57" t="str">
        <f>'quiz 2'!N56</f>
        <v/>
      </c>
      <c r="J57" s="57" t="str">
        <f>'Poster or Presentation'!N56</f>
        <v/>
      </c>
      <c r="K57" s="57" t="str">
        <f>'practical exam or OSCE'!N56</f>
        <v/>
      </c>
      <c r="L57" s="103" t="str">
        <f t="shared" si="8"/>
        <v/>
      </c>
      <c r="M57" s="103" t="str">
        <f>'Final exam'!N56</f>
        <v/>
      </c>
      <c r="N57" s="101" t="str">
        <f t="shared" si="5"/>
        <v/>
      </c>
      <c r="O57" s="123" t="str">
        <f t="shared" si="6"/>
        <v/>
      </c>
      <c r="P57" s="104" t="str">
        <f t="shared" si="7"/>
        <v/>
      </c>
    </row>
    <row r="58" spans="1:16" ht="20.25" hidden="1" customHeight="1" x14ac:dyDescent="0.25">
      <c r="A58" s="68">
        <v>47</v>
      </c>
      <c r="B58" s="49" t="str">
        <f>IF(StList!B49&lt;&gt;"",StList!B49,"")</f>
        <v>Pharmaceutical sciences</v>
      </c>
      <c r="C58" s="24" t="str">
        <f>IF(StList!E49&lt;&gt;"",StList!E49,"")</f>
        <v/>
      </c>
      <c r="D58" s="24" t="str">
        <f>IF(StList!F49&lt;&gt;"",StList!F49,"")</f>
        <v/>
      </c>
      <c r="E58" s="57" t="str">
        <f>'Mid1'!N57</f>
        <v/>
      </c>
      <c r="F58" s="57" t="str">
        <f>'Mid2'!N57</f>
        <v/>
      </c>
      <c r="G58" s="57" t="str">
        <f>'quiz 1'!N57</f>
        <v/>
      </c>
      <c r="H58" s="57" t="str">
        <f>'Assignment or Proposal'!N57</f>
        <v/>
      </c>
      <c r="I58" s="57" t="str">
        <f>'quiz 2'!N57</f>
        <v/>
      </c>
      <c r="J58" s="57" t="str">
        <f>'Poster or Presentation'!N57</f>
        <v/>
      </c>
      <c r="K58" s="57" t="str">
        <f>'practical exam or OSCE'!N57</f>
        <v/>
      </c>
      <c r="L58" s="103" t="str">
        <f t="shared" si="8"/>
        <v/>
      </c>
      <c r="M58" s="103" t="str">
        <f>'Final exam'!N57</f>
        <v/>
      </c>
      <c r="N58" s="101" t="str">
        <f t="shared" si="5"/>
        <v/>
      </c>
      <c r="O58" s="123" t="str">
        <f t="shared" si="6"/>
        <v/>
      </c>
      <c r="P58" s="104" t="str">
        <f t="shared" si="7"/>
        <v/>
      </c>
    </row>
    <row r="59" spans="1:16" ht="20.25" hidden="1" customHeight="1" x14ac:dyDescent="0.25">
      <c r="A59" s="68">
        <v>48</v>
      </c>
      <c r="B59" s="49" t="str">
        <f>IF(StList!B50&lt;&gt;"",StList!B50,"")</f>
        <v>Pharmaceutical sciences</v>
      </c>
      <c r="C59" s="24" t="str">
        <f>IF(StList!E50&lt;&gt;"",StList!E50,"")</f>
        <v/>
      </c>
      <c r="D59" s="24" t="str">
        <f>IF(StList!F50&lt;&gt;"",StList!F50,"")</f>
        <v/>
      </c>
      <c r="E59" s="57" t="str">
        <f>'Mid1'!N58</f>
        <v/>
      </c>
      <c r="F59" s="57" t="str">
        <f>'Mid2'!N58</f>
        <v/>
      </c>
      <c r="G59" s="57" t="str">
        <f>'quiz 1'!N58</f>
        <v/>
      </c>
      <c r="H59" s="57" t="str">
        <f>'Assignment or Proposal'!N58</f>
        <v/>
      </c>
      <c r="I59" s="57" t="str">
        <f>'quiz 2'!N58</f>
        <v/>
      </c>
      <c r="J59" s="57" t="str">
        <f>'Poster or Presentation'!N58</f>
        <v/>
      </c>
      <c r="K59" s="57" t="str">
        <f>'practical exam or OSCE'!N58</f>
        <v/>
      </c>
      <c r="L59" s="103" t="str">
        <f t="shared" si="8"/>
        <v/>
      </c>
      <c r="M59" s="103" t="str">
        <f>'Final exam'!N58</f>
        <v/>
      </c>
      <c r="N59" s="101" t="str">
        <f t="shared" si="5"/>
        <v/>
      </c>
      <c r="O59" s="123" t="str">
        <f t="shared" si="6"/>
        <v/>
      </c>
      <c r="P59" s="104" t="str">
        <f t="shared" si="7"/>
        <v/>
      </c>
    </row>
    <row r="60" spans="1:16" ht="20.25" hidden="1" customHeight="1" x14ac:dyDescent="0.25">
      <c r="A60" s="68">
        <v>49</v>
      </c>
      <c r="B60" s="49" t="str">
        <f>IF(StList!B51&lt;&gt;"",StList!B51,"")</f>
        <v>Pharmaceutical sciences</v>
      </c>
      <c r="C60" s="24" t="str">
        <f>IF(StList!E51&lt;&gt;"",StList!E51,"")</f>
        <v/>
      </c>
      <c r="D60" s="24" t="str">
        <f>IF(StList!F51&lt;&gt;"",StList!F51,"")</f>
        <v/>
      </c>
      <c r="E60" s="57" t="str">
        <f>'Mid1'!N59</f>
        <v/>
      </c>
      <c r="F60" s="57" t="str">
        <f>'Mid2'!N59</f>
        <v/>
      </c>
      <c r="G60" s="57" t="str">
        <f>'quiz 1'!N59</f>
        <v/>
      </c>
      <c r="H60" s="57" t="str">
        <f>'Assignment or Proposal'!N59</f>
        <v/>
      </c>
      <c r="I60" s="57" t="str">
        <f>'quiz 2'!N59</f>
        <v/>
      </c>
      <c r="J60" s="57" t="str">
        <f>'Poster or Presentation'!N59</f>
        <v/>
      </c>
      <c r="K60" s="57" t="str">
        <f>'practical exam or OSCE'!N59</f>
        <v/>
      </c>
      <c r="L60" s="103" t="str">
        <f t="shared" si="8"/>
        <v/>
      </c>
      <c r="M60" s="103" t="str">
        <f>'Final exam'!N59</f>
        <v/>
      </c>
      <c r="N60" s="101" t="str">
        <f t="shared" si="5"/>
        <v/>
      </c>
      <c r="O60" s="123" t="str">
        <f t="shared" si="6"/>
        <v/>
      </c>
      <c r="P60" s="104" t="str">
        <f t="shared" si="7"/>
        <v/>
      </c>
    </row>
    <row r="61" spans="1:16" ht="20.25" hidden="1" customHeight="1" x14ac:dyDescent="0.25">
      <c r="A61" s="68">
        <v>50</v>
      </c>
      <c r="B61" s="49" t="str">
        <f>IF(StList!B52&lt;&gt;"",StList!B52,"")</f>
        <v>Pharmaceutical sciences</v>
      </c>
      <c r="C61" s="24" t="str">
        <f>IF(StList!E52&lt;&gt;"",StList!E52,"")</f>
        <v/>
      </c>
      <c r="D61" s="24" t="str">
        <f>IF(StList!F52&lt;&gt;"",StList!F52,"")</f>
        <v/>
      </c>
      <c r="E61" s="57" t="str">
        <f>'Mid1'!N60</f>
        <v/>
      </c>
      <c r="F61" s="57" t="str">
        <f>'Mid2'!N60</f>
        <v/>
      </c>
      <c r="G61" s="57" t="str">
        <f>'quiz 1'!N60</f>
        <v/>
      </c>
      <c r="H61" s="57" t="str">
        <f>'Assignment or Proposal'!N60</f>
        <v/>
      </c>
      <c r="I61" s="57" t="str">
        <f>'quiz 2'!N60</f>
        <v/>
      </c>
      <c r="J61" s="57" t="str">
        <f>'Poster or Presentation'!N60</f>
        <v/>
      </c>
      <c r="K61" s="57" t="str">
        <f>'practical exam or OSCE'!N60</f>
        <v/>
      </c>
      <c r="L61" s="103" t="str">
        <f t="shared" si="8"/>
        <v/>
      </c>
      <c r="M61" s="103" t="str">
        <f>'Final exam'!N60</f>
        <v/>
      </c>
      <c r="N61" s="101" t="str">
        <f t="shared" si="5"/>
        <v/>
      </c>
      <c r="O61" s="123" t="str">
        <f t="shared" si="6"/>
        <v/>
      </c>
      <c r="P61" s="104" t="str">
        <f t="shared" si="7"/>
        <v/>
      </c>
    </row>
    <row r="62" spans="1:16" ht="20.25" hidden="1" customHeight="1" x14ac:dyDescent="0.25">
      <c r="A62" s="68">
        <v>51</v>
      </c>
      <c r="B62" s="49" t="str">
        <f>IF(StList!B53&lt;&gt;"",StList!B53,"")</f>
        <v>Pharmaceutical sciences</v>
      </c>
      <c r="C62" s="24" t="str">
        <f>IF(StList!E53&lt;&gt;"",StList!E53,"")</f>
        <v/>
      </c>
      <c r="D62" s="24" t="str">
        <f>IF(StList!F53&lt;&gt;"",StList!F53,"")</f>
        <v/>
      </c>
      <c r="E62" s="57" t="str">
        <f>'Mid1'!N61</f>
        <v/>
      </c>
      <c r="F62" s="57" t="str">
        <f>'Mid2'!N61</f>
        <v/>
      </c>
      <c r="G62" s="57" t="str">
        <f>'quiz 1'!N61</f>
        <v/>
      </c>
      <c r="H62" s="57" t="str">
        <f>'Assignment or Proposal'!N61</f>
        <v/>
      </c>
      <c r="I62" s="57" t="str">
        <f>'quiz 2'!N61</f>
        <v/>
      </c>
      <c r="J62" s="57" t="str">
        <f>'Poster or Presentation'!N61</f>
        <v/>
      </c>
      <c r="K62" s="57" t="str">
        <f>'practical exam or OSCE'!N61</f>
        <v/>
      </c>
      <c r="L62" s="103" t="str">
        <f t="shared" si="8"/>
        <v/>
      </c>
      <c r="M62" s="103" t="str">
        <f>'Final exam'!N61</f>
        <v/>
      </c>
      <c r="N62" s="101" t="str">
        <f t="shared" si="5"/>
        <v/>
      </c>
      <c r="O62" s="123" t="str">
        <f t="shared" si="6"/>
        <v/>
      </c>
      <c r="P62" s="104" t="str">
        <f t="shared" si="7"/>
        <v/>
      </c>
    </row>
    <row r="63" spans="1:16" ht="20.25" hidden="1" customHeight="1" x14ac:dyDescent="0.25">
      <c r="A63" s="68">
        <v>52</v>
      </c>
      <c r="B63" s="49" t="str">
        <f>IF(StList!B54&lt;&gt;"",StList!B54,"")</f>
        <v>Pharmaceutical sciences</v>
      </c>
      <c r="C63" s="24" t="str">
        <f>IF(StList!E54&lt;&gt;"",StList!E54,"")</f>
        <v/>
      </c>
      <c r="D63" s="24" t="str">
        <f>IF(StList!F54&lt;&gt;"",StList!F54,"")</f>
        <v/>
      </c>
      <c r="E63" s="57" t="str">
        <f>'Mid1'!N62</f>
        <v/>
      </c>
      <c r="F63" s="57" t="str">
        <f>'Mid2'!N62</f>
        <v/>
      </c>
      <c r="G63" s="57" t="str">
        <f>'quiz 1'!N62</f>
        <v/>
      </c>
      <c r="H63" s="57" t="str">
        <f>'Assignment or Proposal'!N62</f>
        <v/>
      </c>
      <c r="I63" s="57" t="str">
        <f>'quiz 2'!N62</f>
        <v/>
      </c>
      <c r="J63" s="57" t="str">
        <f>'Poster or Presentation'!N62</f>
        <v/>
      </c>
      <c r="K63" s="57" t="str">
        <f>'practical exam or OSCE'!N62</f>
        <v/>
      </c>
      <c r="L63" s="103" t="str">
        <f t="shared" si="8"/>
        <v/>
      </c>
      <c r="M63" s="103" t="str">
        <f>'Final exam'!N62</f>
        <v/>
      </c>
      <c r="N63" s="101" t="str">
        <f t="shared" si="5"/>
        <v/>
      </c>
      <c r="O63" s="123" t="str">
        <f t="shared" si="6"/>
        <v/>
      </c>
      <c r="P63" s="104" t="str">
        <f t="shared" si="7"/>
        <v/>
      </c>
    </row>
    <row r="64" spans="1:16" ht="20.25" hidden="1" customHeight="1" x14ac:dyDescent="0.25">
      <c r="A64" s="68">
        <v>53</v>
      </c>
      <c r="B64" s="49" t="str">
        <f>IF(StList!B55&lt;&gt;"",StList!B55,"")</f>
        <v>Pharmaceutical sciences</v>
      </c>
      <c r="C64" s="24" t="str">
        <f>IF(StList!E55&lt;&gt;"",StList!E55,"")</f>
        <v/>
      </c>
      <c r="D64" s="24" t="str">
        <f>IF(StList!F55&lt;&gt;"",StList!F55,"")</f>
        <v/>
      </c>
      <c r="E64" s="57" t="str">
        <f>'Mid1'!N63</f>
        <v/>
      </c>
      <c r="F64" s="57" t="str">
        <f>'Mid2'!N63</f>
        <v/>
      </c>
      <c r="G64" s="57" t="str">
        <f>'quiz 1'!N63</f>
        <v/>
      </c>
      <c r="H64" s="57" t="str">
        <f>'Assignment or Proposal'!N63</f>
        <v/>
      </c>
      <c r="I64" s="57" t="str">
        <f>'quiz 2'!N63</f>
        <v/>
      </c>
      <c r="J64" s="57" t="str">
        <f>'Poster or Presentation'!N63</f>
        <v/>
      </c>
      <c r="K64" s="57" t="str">
        <f>'practical exam or OSCE'!N63</f>
        <v/>
      </c>
      <c r="L64" s="103" t="str">
        <f t="shared" si="8"/>
        <v/>
      </c>
      <c r="M64" s="103" t="str">
        <f>'Final exam'!N63</f>
        <v/>
      </c>
      <c r="N64" s="101" t="str">
        <f t="shared" si="5"/>
        <v/>
      </c>
      <c r="O64" s="123" t="str">
        <f t="shared" si="6"/>
        <v/>
      </c>
      <c r="P64" s="104" t="str">
        <f t="shared" si="7"/>
        <v/>
      </c>
    </row>
    <row r="65" spans="1:16" ht="20.25" hidden="1" customHeight="1" x14ac:dyDescent="0.25">
      <c r="A65" s="68">
        <v>54</v>
      </c>
      <c r="B65" s="49" t="str">
        <f>IF(StList!B56&lt;&gt;"",StList!B56,"")</f>
        <v>Pharmaceutical sciences</v>
      </c>
      <c r="C65" s="24" t="str">
        <f>IF(StList!E56&lt;&gt;"",StList!E56,"")</f>
        <v/>
      </c>
      <c r="D65" s="24" t="str">
        <f>IF(StList!F56&lt;&gt;"",StList!F56,"")</f>
        <v/>
      </c>
      <c r="E65" s="57" t="str">
        <f>'Mid1'!N64</f>
        <v/>
      </c>
      <c r="F65" s="57" t="str">
        <f>'Mid2'!N64</f>
        <v/>
      </c>
      <c r="G65" s="57" t="str">
        <f>'quiz 1'!N64</f>
        <v/>
      </c>
      <c r="H65" s="57" t="str">
        <f>'Assignment or Proposal'!N64</f>
        <v/>
      </c>
      <c r="I65" s="57" t="str">
        <f>'quiz 2'!N64</f>
        <v/>
      </c>
      <c r="J65" s="57" t="str">
        <f>'Poster or Presentation'!N64</f>
        <v/>
      </c>
      <c r="K65" s="57" t="str">
        <f>'practical exam or OSCE'!N64</f>
        <v/>
      </c>
      <c r="L65" s="103" t="str">
        <f t="shared" si="8"/>
        <v/>
      </c>
      <c r="M65" s="103" t="str">
        <f>'Final exam'!N64</f>
        <v/>
      </c>
      <c r="N65" s="101" t="str">
        <f t="shared" si="5"/>
        <v/>
      </c>
      <c r="O65" s="123" t="str">
        <f t="shared" si="6"/>
        <v/>
      </c>
      <c r="P65" s="104" t="str">
        <f t="shared" si="7"/>
        <v/>
      </c>
    </row>
    <row r="66" spans="1:16" ht="20.25" hidden="1" customHeight="1" x14ac:dyDescent="0.25">
      <c r="A66" s="68">
        <v>55</v>
      </c>
      <c r="B66" s="49" t="str">
        <f>IF(StList!B57&lt;&gt;"",StList!B57,"")</f>
        <v>Pharmaceutical sciences</v>
      </c>
      <c r="C66" s="24" t="str">
        <f>IF(StList!E57&lt;&gt;"",StList!E57,"")</f>
        <v/>
      </c>
      <c r="D66" s="24" t="str">
        <f>IF(StList!F57&lt;&gt;"",StList!F57,"")</f>
        <v/>
      </c>
      <c r="E66" s="57" t="str">
        <f>'Mid1'!N65</f>
        <v/>
      </c>
      <c r="F66" s="57" t="str">
        <f>'Mid2'!N65</f>
        <v/>
      </c>
      <c r="G66" s="57" t="str">
        <f>'quiz 1'!N65</f>
        <v/>
      </c>
      <c r="H66" s="57" t="str">
        <f>'Assignment or Proposal'!N65</f>
        <v/>
      </c>
      <c r="I66" s="57" t="str">
        <f>'quiz 2'!N65</f>
        <v/>
      </c>
      <c r="J66" s="57" t="str">
        <f>'Poster or Presentation'!N65</f>
        <v/>
      </c>
      <c r="K66" s="57" t="str">
        <f>'practical exam or OSCE'!N65</f>
        <v/>
      </c>
      <c r="L66" s="103" t="str">
        <f t="shared" si="8"/>
        <v/>
      </c>
      <c r="M66" s="103" t="str">
        <f>'Final exam'!N65</f>
        <v/>
      </c>
      <c r="N66" s="101" t="str">
        <f t="shared" si="5"/>
        <v/>
      </c>
      <c r="O66" s="123" t="str">
        <f t="shared" si="6"/>
        <v/>
      </c>
      <c r="P66" s="104" t="str">
        <f t="shared" si="7"/>
        <v/>
      </c>
    </row>
    <row r="67" spans="1:16" ht="20.25" hidden="1" customHeight="1" x14ac:dyDescent="0.25">
      <c r="A67" s="68">
        <v>56</v>
      </c>
      <c r="B67" s="49" t="str">
        <f>IF(StList!B58&lt;&gt;"",StList!B58,"")</f>
        <v>Pharmaceutical sciences</v>
      </c>
      <c r="C67" s="24" t="str">
        <f>IF(StList!E58&lt;&gt;"",StList!E58,"")</f>
        <v/>
      </c>
      <c r="D67" s="24" t="str">
        <f>IF(StList!F58&lt;&gt;"",StList!F58,"")</f>
        <v/>
      </c>
      <c r="E67" s="57" t="str">
        <f>'Mid1'!N66</f>
        <v/>
      </c>
      <c r="F67" s="57" t="str">
        <f>'Mid2'!N66</f>
        <v/>
      </c>
      <c r="G67" s="57" t="str">
        <f>'quiz 1'!N66</f>
        <v/>
      </c>
      <c r="H67" s="57" t="str">
        <f>'Assignment or Proposal'!N66</f>
        <v/>
      </c>
      <c r="I67" s="57" t="str">
        <f>'quiz 2'!N66</f>
        <v/>
      </c>
      <c r="J67" s="57" t="str">
        <f>'Poster or Presentation'!N66</f>
        <v/>
      </c>
      <c r="K67" s="57" t="str">
        <f>'practical exam or OSCE'!N66</f>
        <v/>
      </c>
      <c r="L67" s="103" t="str">
        <f t="shared" si="8"/>
        <v/>
      </c>
      <c r="M67" s="103" t="str">
        <f>'Final exam'!N66</f>
        <v/>
      </c>
      <c r="N67" s="101" t="str">
        <f t="shared" si="5"/>
        <v/>
      </c>
      <c r="O67" s="123" t="str">
        <f t="shared" si="6"/>
        <v/>
      </c>
      <c r="P67" s="104" t="str">
        <f t="shared" si="7"/>
        <v/>
      </c>
    </row>
    <row r="68" spans="1:16" ht="20.25" hidden="1" customHeight="1" x14ac:dyDescent="0.25">
      <c r="A68" s="68">
        <v>57</v>
      </c>
      <c r="B68" s="49" t="str">
        <f>IF(StList!B59&lt;&gt;"",StList!B59,"")</f>
        <v>Pharmaceutical sciences</v>
      </c>
      <c r="C68" s="24" t="str">
        <f>IF(StList!E59&lt;&gt;"",StList!E59,"")</f>
        <v/>
      </c>
      <c r="D68" s="24" t="str">
        <f>IF(StList!F59&lt;&gt;"",StList!F59,"")</f>
        <v/>
      </c>
      <c r="E68" s="57" t="str">
        <f>'Mid1'!N67</f>
        <v/>
      </c>
      <c r="F68" s="57" t="str">
        <f>'Mid2'!N67</f>
        <v/>
      </c>
      <c r="G68" s="57" t="str">
        <f>'quiz 1'!N67</f>
        <v/>
      </c>
      <c r="H68" s="57" t="str">
        <f>'Assignment or Proposal'!N67</f>
        <v/>
      </c>
      <c r="I68" s="57" t="str">
        <f>'quiz 2'!N67</f>
        <v/>
      </c>
      <c r="J68" s="57" t="str">
        <f>'Poster or Presentation'!N67</f>
        <v/>
      </c>
      <c r="K68" s="57" t="str">
        <f>'practical exam or OSCE'!N67</f>
        <v/>
      </c>
      <c r="L68" s="103" t="str">
        <f t="shared" si="8"/>
        <v/>
      </c>
      <c r="M68" s="103" t="str">
        <f>'Final exam'!N67</f>
        <v/>
      </c>
      <c r="N68" s="101" t="str">
        <f t="shared" si="5"/>
        <v/>
      </c>
      <c r="O68" s="123" t="str">
        <f t="shared" si="6"/>
        <v/>
      </c>
      <c r="P68" s="104" t="str">
        <f t="shared" si="7"/>
        <v/>
      </c>
    </row>
    <row r="69" spans="1:16" ht="20.25" hidden="1" customHeight="1" x14ac:dyDescent="0.25">
      <c r="A69" s="68">
        <v>58</v>
      </c>
      <c r="B69" s="49" t="str">
        <f>IF(StList!B60&lt;&gt;"",StList!B60,"")</f>
        <v>Pharmaceutical sciences</v>
      </c>
      <c r="C69" s="24" t="str">
        <f>IF(StList!E60&lt;&gt;"",StList!E60,"")</f>
        <v/>
      </c>
      <c r="D69" s="24" t="str">
        <f>IF(StList!F60&lt;&gt;"",StList!F60,"")</f>
        <v/>
      </c>
      <c r="E69" s="57" t="str">
        <f>'Mid1'!N68</f>
        <v/>
      </c>
      <c r="F69" s="57" t="str">
        <f>'Mid2'!N68</f>
        <v/>
      </c>
      <c r="G69" s="57" t="str">
        <f>'quiz 1'!N68</f>
        <v/>
      </c>
      <c r="H69" s="57" t="str">
        <f>'Assignment or Proposal'!N68</f>
        <v/>
      </c>
      <c r="I69" s="57" t="str">
        <f>'quiz 2'!N68</f>
        <v/>
      </c>
      <c r="J69" s="57" t="str">
        <f>'Poster or Presentation'!N68</f>
        <v/>
      </c>
      <c r="K69" s="57" t="str">
        <f>'practical exam or OSCE'!N68</f>
        <v/>
      </c>
      <c r="L69" s="103" t="str">
        <f t="shared" si="8"/>
        <v/>
      </c>
      <c r="M69" s="103" t="str">
        <f>'Final exam'!N68</f>
        <v/>
      </c>
      <c r="N69" s="101" t="str">
        <f t="shared" si="5"/>
        <v/>
      </c>
      <c r="O69" s="123" t="str">
        <f t="shared" si="6"/>
        <v/>
      </c>
      <c r="P69" s="104" t="str">
        <f t="shared" si="7"/>
        <v/>
      </c>
    </row>
    <row r="70" spans="1:16" ht="20.25" hidden="1" customHeight="1" x14ac:dyDescent="0.25">
      <c r="A70" s="68">
        <v>59</v>
      </c>
      <c r="B70" s="49" t="str">
        <f>IF(StList!B61&lt;&gt;"",StList!B61,"")</f>
        <v>Pharmaceutical sciences</v>
      </c>
      <c r="C70" s="24" t="str">
        <f>IF(StList!E61&lt;&gt;"",StList!E61,"")</f>
        <v/>
      </c>
      <c r="D70" s="24" t="str">
        <f>IF(StList!F61&lt;&gt;"",StList!F61,"")</f>
        <v/>
      </c>
      <c r="E70" s="57" t="str">
        <f>'Mid1'!N69</f>
        <v/>
      </c>
      <c r="F70" s="57" t="str">
        <f>'Mid2'!N69</f>
        <v/>
      </c>
      <c r="G70" s="57" t="str">
        <f>'quiz 1'!N69</f>
        <v/>
      </c>
      <c r="H70" s="57" t="str">
        <f>'Assignment or Proposal'!N69</f>
        <v/>
      </c>
      <c r="I70" s="57" t="str">
        <f>'quiz 2'!N69</f>
        <v/>
      </c>
      <c r="J70" s="57" t="str">
        <f>'Poster or Presentation'!N69</f>
        <v/>
      </c>
      <c r="K70" s="57" t="str">
        <f>'practical exam or OSCE'!N69</f>
        <v/>
      </c>
      <c r="L70" s="103" t="str">
        <f t="shared" si="8"/>
        <v/>
      </c>
      <c r="M70" s="103" t="str">
        <f>'Final exam'!N69</f>
        <v/>
      </c>
      <c r="N70" s="101" t="str">
        <f t="shared" si="5"/>
        <v/>
      </c>
      <c r="O70" s="123" t="str">
        <f t="shared" si="6"/>
        <v/>
      </c>
      <c r="P70" s="104" t="str">
        <f t="shared" si="7"/>
        <v/>
      </c>
    </row>
    <row r="71" spans="1:16" ht="20.25" hidden="1" customHeight="1" x14ac:dyDescent="0.25">
      <c r="A71" s="68">
        <v>60</v>
      </c>
      <c r="B71" s="49" t="str">
        <f>IF(StList!B62&lt;&gt;"",StList!B62,"")</f>
        <v>Pharmaceutical sciences</v>
      </c>
      <c r="C71" s="24" t="str">
        <f>IF(StList!E62&lt;&gt;"",StList!E62,"")</f>
        <v/>
      </c>
      <c r="D71" s="24" t="str">
        <f>IF(StList!F62&lt;&gt;"",StList!F62,"")</f>
        <v/>
      </c>
      <c r="E71" s="57" t="str">
        <f>'Mid1'!N70</f>
        <v/>
      </c>
      <c r="F71" s="57" t="str">
        <f>'Mid2'!N70</f>
        <v/>
      </c>
      <c r="G71" s="57" t="str">
        <f>'quiz 1'!N70</f>
        <v/>
      </c>
      <c r="H71" s="57" t="str">
        <f>'Assignment or Proposal'!N70</f>
        <v/>
      </c>
      <c r="I71" s="57" t="str">
        <f>'quiz 2'!N70</f>
        <v/>
      </c>
      <c r="J71" s="57" t="str">
        <f>'Poster or Presentation'!N70</f>
        <v/>
      </c>
      <c r="K71" s="57" t="str">
        <f>'practical exam or OSCE'!N70</f>
        <v/>
      </c>
      <c r="L71" s="103" t="str">
        <f t="shared" si="8"/>
        <v/>
      </c>
      <c r="M71" s="103" t="str">
        <f>'Final exam'!N70</f>
        <v/>
      </c>
      <c r="N71" s="101" t="str">
        <f t="shared" si="5"/>
        <v/>
      </c>
      <c r="O71" s="123" t="str">
        <f t="shared" si="6"/>
        <v/>
      </c>
      <c r="P71" s="104" t="str">
        <f t="shared" si="7"/>
        <v/>
      </c>
    </row>
    <row r="72" spans="1:16" ht="20.25" hidden="1" customHeight="1" x14ac:dyDescent="0.25">
      <c r="A72" s="68">
        <v>61</v>
      </c>
      <c r="B72" s="49" t="str">
        <f>IF(StList!B63&lt;&gt;"",StList!B63,"")</f>
        <v>Pharmaceutical sciences</v>
      </c>
      <c r="C72" s="24" t="str">
        <f>IF(StList!E63&lt;&gt;"",StList!E63,"")</f>
        <v/>
      </c>
      <c r="D72" s="24" t="str">
        <f>IF(StList!F63&lt;&gt;"",StList!F63,"")</f>
        <v/>
      </c>
      <c r="E72" s="57" t="str">
        <f>'Mid1'!N71</f>
        <v/>
      </c>
      <c r="F72" s="57" t="str">
        <f>'Mid2'!N71</f>
        <v/>
      </c>
      <c r="G72" s="57" t="str">
        <f>'quiz 1'!N71</f>
        <v/>
      </c>
      <c r="H72" s="57" t="str">
        <f>'Assignment or Proposal'!N71</f>
        <v/>
      </c>
      <c r="I72" s="57" t="str">
        <f>'quiz 2'!N71</f>
        <v/>
      </c>
      <c r="J72" s="57" t="str">
        <f>'Poster or Presentation'!N71</f>
        <v/>
      </c>
      <c r="K72" s="57" t="str">
        <f>'practical exam or OSCE'!N71</f>
        <v/>
      </c>
      <c r="L72" s="103" t="str">
        <f t="shared" si="8"/>
        <v/>
      </c>
      <c r="M72" s="103" t="str">
        <f>'Final exam'!N71</f>
        <v/>
      </c>
      <c r="N72" s="101" t="str">
        <f t="shared" si="5"/>
        <v/>
      </c>
      <c r="O72" s="123" t="str">
        <f t="shared" si="6"/>
        <v/>
      </c>
      <c r="P72" s="104" t="str">
        <f t="shared" si="7"/>
        <v/>
      </c>
    </row>
    <row r="73" spans="1:16" ht="20.25" hidden="1" customHeight="1" x14ac:dyDescent="0.25">
      <c r="A73" s="68">
        <v>62</v>
      </c>
      <c r="B73" s="49" t="str">
        <f>IF(StList!B64&lt;&gt;"",StList!B64,"")</f>
        <v>Pharmaceutical sciences</v>
      </c>
      <c r="C73" s="24" t="str">
        <f>IF(StList!E64&lt;&gt;"",StList!E64,"")</f>
        <v/>
      </c>
      <c r="D73" s="24" t="str">
        <f>IF(StList!F64&lt;&gt;"",StList!F64,"")</f>
        <v/>
      </c>
      <c r="E73" s="57" t="str">
        <f>'Mid1'!N72</f>
        <v/>
      </c>
      <c r="F73" s="57" t="str">
        <f>'Mid2'!N72</f>
        <v/>
      </c>
      <c r="G73" s="57" t="str">
        <f>'quiz 1'!N72</f>
        <v/>
      </c>
      <c r="H73" s="57" t="str">
        <f>'Assignment or Proposal'!N72</f>
        <v/>
      </c>
      <c r="I73" s="57" t="str">
        <f>'quiz 2'!N72</f>
        <v/>
      </c>
      <c r="J73" s="57" t="str">
        <f>'Poster or Presentation'!N72</f>
        <v/>
      </c>
      <c r="K73" s="57" t="str">
        <f>'practical exam or OSCE'!N72</f>
        <v/>
      </c>
      <c r="L73" s="103" t="str">
        <f t="shared" si="8"/>
        <v/>
      </c>
      <c r="M73" s="103" t="str">
        <f>'Final exam'!N72</f>
        <v/>
      </c>
      <c r="N73" s="101" t="str">
        <f t="shared" si="5"/>
        <v/>
      </c>
      <c r="O73" s="123" t="str">
        <f t="shared" si="6"/>
        <v/>
      </c>
      <c r="P73" s="104" t="str">
        <f t="shared" si="7"/>
        <v/>
      </c>
    </row>
    <row r="74" spans="1:16" ht="20.25" hidden="1" customHeight="1" x14ac:dyDescent="0.25">
      <c r="A74" s="68">
        <v>63</v>
      </c>
      <c r="B74" s="49" t="str">
        <f>IF(StList!B65&lt;&gt;"",StList!B65,"")</f>
        <v>Pharmaceutical sciences</v>
      </c>
      <c r="C74" s="24" t="str">
        <f>IF(StList!E65&lt;&gt;"",StList!E65,"")</f>
        <v/>
      </c>
      <c r="D74" s="24" t="str">
        <f>IF(StList!F65&lt;&gt;"",StList!F65,"")</f>
        <v/>
      </c>
      <c r="E74" s="57" t="str">
        <f>'Mid1'!N73</f>
        <v/>
      </c>
      <c r="F74" s="57" t="str">
        <f>'Mid2'!N73</f>
        <v/>
      </c>
      <c r="G74" s="57" t="str">
        <f>'quiz 1'!N73</f>
        <v/>
      </c>
      <c r="H74" s="57" t="str">
        <f>'Assignment or Proposal'!N73</f>
        <v/>
      </c>
      <c r="I74" s="57" t="str">
        <f>'quiz 2'!N73</f>
        <v/>
      </c>
      <c r="J74" s="57" t="str">
        <f>'Poster or Presentation'!N73</f>
        <v/>
      </c>
      <c r="K74" s="57" t="str">
        <f>'practical exam or OSCE'!N73</f>
        <v/>
      </c>
      <c r="L74" s="103" t="str">
        <f t="shared" si="8"/>
        <v/>
      </c>
      <c r="M74" s="103" t="str">
        <f>'Final exam'!N73</f>
        <v/>
      </c>
      <c r="N74" s="101" t="str">
        <f t="shared" si="5"/>
        <v/>
      </c>
      <c r="O74" s="123" t="str">
        <f t="shared" si="6"/>
        <v/>
      </c>
      <c r="P74" s="104" t="str">
        <f t="shared" si="7"/>
        <v/>
      </c>
    </row>
    <row r="75" spans="1:16" ht="20.25" hidden="1" customHeight="1" x14ac:dyDescent="0.25">
      <c r="A75" s="68">
        <v>64</v>
      </c>
      <c r="B75" s="49" t="str">
        <f>IF(StList!B66&lt;&gt;"",StList!B66,"")</f>
        <v>Pharmaceutical sciences</v>
      </c>
      <c r="C75" s="24" t="str">
        <f>IF(StList!E66&lt;&gt;"",StList!E66,"")</f>
        <v/>
      </c>
      <c r="D75" s="24" t="str">
        <f>IF(StList!F66&lt;&gt;"",StList!F66,"")</f>
        <v/>
      </c>
      <c r="E75" s="57" t="str">
        <f>'Mid1'!N74</f>
        <v/>
      </c>
      <c r="F75" s="57" t="str">
        <f>'Mid2'!N74</f>
        <v/>
      </c>
      <c r="G75" s="57" t="str">
        <f>'quiz 1'!N74</f>
        <v/>
      </c>
      <c r="H75" s="57" t="str">
        <f>'Assignment or Proposal'!N74</f>
        <v/>
      </c>
      <c r="I75" s="57" t="str">
        <f>'quiz 2'!N74</f>
        <v/>
      </c>
      <c r="J75" s="57" t="str">
        <f>'Poster or Presentation'!N74</f>
        <v/>
      </c>
      <c r="K75" s="57" t="str">
        <f>'practical exam or OSCE'!N74</f>
        <v/>
      </c>
      <c r="L75" s="103" t="str">
        <f t="shared" si="8"/>
        <v/>
      </c>
      <c r="M75" s="103" t="str">
        <f>'Final exam'!N74</f>
        <v/>
      </c>
      <c r="N75" s="101" t="str">
        <f t="shared" si="5"/>
        <v/>
      </c>
      <c r="O75" s="123" t="str">
        <f t="shared" si="6"/>
        <v/>
      </c>
      <c r="P75" s="104" t="str">
        <f t="shared" si="7"/>
        <v/>
      </c>
    </row>
    <row r="76" spans="1:16" ht="20.25" hidden="1" customHeight="1" x14ac:dyDescent="0.25">
      <c r="A76" s="68">
        <v>65</v>
      </c>
      <c r="B76" s="49" t="str">
        <f>IF(StList!B67&lt;&gt;"",StList!B67,"")</f>
        <v>Pharmaceutical sciences</v>
      </c>
      <c r="C76" s="24" t="str">
        <f>IF(StList!E67&lt;&gt;"",StList!E67,"")</f>
        <v/>
      </c>
      <c r="D76" s="24" t="str">
        <f>IF(StList!F67&lt;&gt;"",StList!F67,"")</f>
        <v/>
      </c>
      <c r="E76" s="57" t="str">
        <f>'Mid1'!N75</f>
        <v/>
      </c>
      <c r="F76" s="57" t="str">
        <f>'Mid2'!N75</f>
        <v/>
      </c>
      <c r="G76" s="57" t="str">
        <f>'quiz 1'!N75</f>
        <v/>
      </c>
      <c r="H76" s="57" t="str">
        <f>'Assignment or Proposal'!N75</f>
        <v/>
      </c>
      <c r="I76" s="57" t="str">
        <f>'quiz 2'!N75</f>
        <v/>
      </c>
      <c r="J76" s="57" t="str">
        <f>'Poster or Presentation'!N75</f>
        <v/>
      </c>
      <c r="K76" s="57" t="str">
        <f>'practical exam or OSCE'!N75</f>
        <v/>
      </c>
      <c r="L76" s="103" t="str">
        <f t="shared" si="8"/>
        <v/>
      </c>
      <c r="M76" s="103" t="str">
        <f>'Final exam'!N75</f>
        <v/>
      </c>
      <c r="N76" s="101" t="str">
        <f t="shared" si="5"/>
        <v/>
      </c>
      <c r="O76" s="123" t="str">
        <f t="shared" si="6"/>
        <v/>
      </c>
      <c r="P76" s="104" t="str">
        <f t="shared" si="7"/>
        <v/>
      </c>
    </row>
    <row r="77" spans="1:16" ht="20.25" hidden="1" customHeight="1" x14ac:dyDescent="0.25">
      <c r="A77" s="68">
        <v>66</v>
      </c>
      <c r="B77" s="49" t="str">
        <f>IF(StList!B68&lt;&gt;"",StList!B68,"")</f>
        <v>Pharmaceutical sciences</v>
      </c>
      <c r="C77" s="24" t="str">
        <f>IF(StList!E68&lt;&gt;"",StList!E68,"")</f>
        <v/>
      </c>
      <c r="D77" s="24" t="str">
        <f>IF(StList!F68&lt;&gt;"",StList!F68,"")</f>
        <v/>
      </c>
      <c r="E77" s="57" t="str">
        <f>'Mid1'!N76</f>
        <v/>
      </c>
      <c r="F77" s="57" t="str">
        <f>'Mid2'!N76</f>
        <v/>
      </c>
      <c r="G77" s="57" t="str">
        <f>'quiz 1'!N76</f>
        <v/>
      </c>
      <c r="H77" s="57" t="str">
        <f>'Assignment or Proposal'!N76</f>
        <v/>
      </c>
      <c r="I77" s="57" t="str">
        <f>'quiz 2'!N76</f>
        <v/>
      </c>
      <c r="J77" s="57" t="str">
        <f>'Poster or Presentation'!N76</f>
        <v/>
      </c>
      <c r="K77" s="57" t="str">
        <f>'practical exam or OSCE'!N76</f>
        <v/>
      </c>
      <c r="L77" s="103" t="str">
        <f t="shared" si="8"/>
        <v/>
      </c>
      <c r="M77" s="103" t="str">
        <f>'Final exam'!N76</f>
        <v/>
      </c>
      <c r="N77" s="101" t="str">
        <f t="shared" ref="N77:N122" si="9">IF(L77&lt;&gt;"",IF(M77&lt;&gt;"",ROUND(L77,0)+ROUND(M77,0),""),"")</f>
        <v/>
      </c>
      <c r="O77" s="123" t="str">
        <f t="shared" ref="O77:O122" si="10">IF(N77&lt;&gt;"",IF(N77&gt;94,5,IF(N77&gt;89,4.5,IF(N77&gt;84,4,IF(N77&gt;79,3.5,IF(N77&gt;74,3,IF(N77&gt;69,2.5,IF(N77&gt;64,2.25,IF(N77&gt;59,2,1)))))))),"")</f>
        <v/>
      </c>
      <c r="P77" s="104" t="str">
        <f t="shared" ref="P77:P122" si="11">IF(N77&lt;&gt;"",IF(N77&gt;94,"A+",IF(N77&gt;89,"A",IF(N77&gt;84,"B+",IF(N77&gt;79,"B",IF(N77&gt;74,"C+",IF(N77&gt;69,"C",IF(N77&gt;64,"D+",IF(N77&gt;59,"D","F")))))))),"")</f>
        <v/>
      </c>
    </row>
    <row r="78" spans="1:16" ht="20.25" hidden="1" customHeight="1" x14ac:dyDescent="0.25">
      <c r="A78" s="68">
        <v>67</v>
      </c>
      <c r="B78" s="49" t="str">
        <f>IF(StList!B69&lt;&gt;"",StList!B69,"")</f>
        <v>Pharmaceutical sciences</v>
      </c>
      <c r="C78" s="24" t="str">
        <f>IF(StList!E69&lt;&gt;"",StList!E69,"")</f>
        <v/>
      </c>
      <c r="D78" s="24" t="str">
        <f>IF(StList!F69&lt;&gt;"",StList!F69,"")</f>
        <v/>
      </c>
      <c r="E78" s="57" t="str">
        <f>'Mid1'!N77</f>
        <v/>
      </c>
      <c r="F78" s="57" t="str">
        <f>'Mid2'!N77</f>
        <v/>
      </c>
      <c r="G78" s="57" t="str">
        <f>'quiz 1'!N77</f>
        <v/>
      </c>
      <c r="H78" s="57" t="str">
        <f>'Assignment or Proposal'!N77</f>
        <v/>
      </c>
      <c r="I78" s="57" t="str">
        <f>'quiz 2'!N77</f>
        <v/>
      </c>
      <c r="J78" s="57" t="str">
        <f>'Poster or Presentation'!N77</f>
        <v/>
      </c>
      <c r="K78" s="57" t="str">
        <f>'practical exam or OSCE'!N77</f>
        <v/>
      </c>
      <c r="L78" s="103" t="str">
        <f t="shared" ref="L78:L121" si="12">IF(SUM(E78:K78)&lt;&gt;0,SUM(E78:K78)/$L$4*50,"")</f>
        <v/>
      </c>
      <c r="M78" s="103" t="str">
        <f>'Final exam'!N77</f>
        <v/>
      </c>
      <c r="N78" s="101" t="str">
        <f t="shared" si="9"/>
        <v/>
      </c>
      <c r="O78" s="123" t="str">
        <f t="shared" si="10"/>
        <v/>
      </c>
      <c r="P78" s="104" t="str">
        <f t="shared" si="11"/>
        <v/>
      </c>
    </row>
    <row r="79" spans="1:16" ht="20.25" hidden="1" customHeight="1" x14ac:dyDescent="0.25">
      <c r="A79" s="68">
        <v>68</v>
      </c>
      <c r="B79" s="49" t="str">
        <f>IF(StList!B70&lt;&gt;"",StList!B70,"")</f>
        <v>Pharmaceutical sciences</v>
      </c>
      <c r="C79" s="24" t="str">
        <f>IF(StList!E70&lt;&gt;"",StList!E70,"")</f>
        <v/>
      </c>
      <c r="D79" s="24" t="str">
        <f>IF(StList!F70&lt;&gt;"",StList!F70,"")</f>
        <v/>
      </c>
      <c r="E79" s="57" t="str">
        <f>'Mid1'!N78</f>
        <v/>
      </c>
      <c r="F79" s="57" t="str">
        <f>'Mid2'!N78</f>
        <v/>
      </c>
      <c r="G79" s="57" t="str">
        <f>'quiz 1'!N78</f>
        <v/>
      </c>
      <c r="H79" s="57" t="str">
        <f>'Assignment or Proposal'!N78</f>
        <v/>
      </c>
      <c r="I79" s="57" t="str">
        <f>'quiz 2'!N78</f>
        <v/>
      </c>
      <c r="J79" s="57" t="str">
        <f>'Poster or Presentation'!N78</f>
        <v/>
      </c>
      <c r="K79" s="57" t="str">
        <f>'practical exam or OSCE'!N78</f>
        <v/>
      </c>
      <c r="L79" s="103" t="str">
        <f t="shared" si="12"/>
        <v/>
      </c>
      <c r="M79" s="103" t="str">
        <f>'Final exam'!N78</f>
        <v/>
      </c>
      <c r="N79" s="101" t="str">
        <f t="shared" si="9"/>
        <v/>
      </c>
      <c r="O79" s="123" t="str">
        <f t="shared" si="10"/>
        <v/>
      </c>
      <c r="P79" s="104" t="str">
        <f t="shared" si="11"/>
        <v/>
      </c>
    </row>
    <row r="80" spans="1:16" ht="20.25" hidden="1" customHeight="1" x14ac:dyDescent="0.25">
      <c r="A80" s="68">
        <v>69</v>
      </c>
      <c r="B80" s="49" t="str">
        <f>IF(StList!B71&lt;&gt;"",StList!B71,"")</f>
        <v>Pharmaceutical sciences</v>
      </c>
      <c r="C80" s="24" t="str">
        <f>IF(StList!E71&lt;&gt;"",StList!E71,"")</f>
        <v/>
      </c>
      <c r="D80" s="24" t="str">
        <f>IF(StList!F71&lt;&gt;"",StList!F71,"")</f>
        <v/>
      </c>
      <c r="E80" s="57" t="str">
        <f>'Mid1'!N79</f>
        <v/>
      </c>
      <c r="F80" s="57" t="str">
        <f>'Mid2'!N79</f>
        <v/>
      </c>
      <c r="G80" s="57" t="str">
        <f>'quiz 1'!N79</f>
        <v/>
      </c>
      <c r="H80" s="57" t="str">
        <f>'Assignment or Proposal'!N79</f>
        <v/>
      </c>
      <c r="I80" s="57" t="str">
        <f>'quiz 2'!N79</f>
        <v/>
      </c>
      <c r="J80" s="57" t="str">
        <f>'Poster or Presentation'!N79</f>
        <v/>
      </c>
      <c r="K80" s="57" t="str">
        <f>'practical exam or OSCE'!N79</f>
        <v/>
      </c>
      <c r="L80" s="103" t="str">
        <f t="shared" si="12"/>
        <v/>
      </c>
      <c r="M80" s="103" t="str">
        <f>'Final exam'!N79</f>
        <v/>
      </c>
      <c r="N80" s="101" t="str">
        <f t="shared" si="9"/>
        <v/>
      </c>
      <c r="O80" s="123" t="str">
        <f t="shared" si="10"/>
        <v/>
      </c>
      <c r="P80" s="104" t="str">
        <f t="shared" si="11"/>
        <v/>
      </c>
    </row>
    <row r="81" spans="1:16" ht="20.25" hidden="1" customHeight="1" x14ac:dyDescent="0.25">
      <c r="A81" s="68">
        <v>70</v>
      </c>
      <c r="B81" s="49" t="str">
        <f>IF(StList!B72&lt;&gt;"",StList!B72,"")</f>
        <v>Pharmaceutical sciences</v>
      </c>
      <c r="C81" s="24" t="str">
        <f>IF(StList!E72&lt;&gt;"",StList!E72,"")</f>
        <v/>
      </c>
      <c r="D81" s="24" t="str">
        <f>IF(StList!F72&lt;&gt;"",StList!F72,"")</f>
        <v/>
      </c>
      <c r="E81" s="57" t="str">
        <f>'Mid1'!N80</f>
        <v/>
      </c>
      <c r="F81" s="57" t="str">
        <f>'Mid2'!N80</f>
        <v/>
      </c>
      <c r="G81" s="57" t="str">
        <f>'quiz 1'!N80</f>
        <v/>
      </c>
      <c r="H81" s="57" t="str">
        <f>'Assignment or Proposal'!N80</f>
        <v/>
      </c>
      <c r="I81" s="57" t="str">
        <f>'quiz 2'!N80</f>
        <v/>
      </c>
      <c r="J81" s="57" t="str">
        <f>'Poster or Presentation'!N80</f>
        <v/>
      </c>
      <c r="K81" s="57" t="str">
        <f>'practical exam or OSCE'!N80</f>
        <v/>
      </c>
      <c r="L81" s="103" t="str">
        <f t="shared" si="12"/>
        <v/>
      </c>
      <c r="M81" s="103" t="str">
        <f>'Final exam'!N80</f>
        <v/>
      </c>
      <c r="N81" s="101" t="str">
        <f t="shared" si="9"/>
        <v/>
      </c>
      <c r="O81" s="123" t="str">
        <f t="shared" si="10"/>
        <v/>
      </c>
      <c r="P81" s="104" t="str">
        <f t="shared" si="11"/>
        <v/>
      </c>
    </row>
    <row r="82" spans="1:16" ht="20.25" hidden="1" customHeight="1" x14ac:dyDescent="0.25">
      <c r="A82" s="68">
        <v>71</v>
      </c>
      <c r="B82" s="49" t="str">
        <f>IF(StList!B73&lt;&gt;"",StList!B73,"")</f>
        <v>Pharmaceutical sciences</v>
      </c>
      <c r="C82" s="24" t="str">
        <f>IF(StList!E73&lt;&gt;"",StList!E73,"")</f>
        <v/>
      </c>
      <c r="D82" s="24" t="str">
        <f>IF(StList!F73&lt;&gt;"",StList!F73,"")</f>
        <v/>
      </c>
      <c r="E82" s="57" t="str">
        <f>'Mid1'!N81</f>
        <v/>
      </c>
      <c r="F82" s="57" t="str">
        <f>'Mid2'!N81</f>
        <v/>
      </c>
      <c r="G82" s="57" t="str">
        <f>'quiz 1'!N81</f>
        <v/>
      </c>
      <c r="H82" s="57" t="str">
        <f>'Assignment or Proposal'!N81</f>
        <v/>
      </c>
      <c r="I82" s="57" t="str">
        <f>'quiz 2'!N81</f>
        <v/>
      </c>
      <c r="J82" s="57" t="str">
        <f>'Poster or Presentation'!N81</f>
        <v/>
      </c>
      <c r="K82" s="57" t="str">
        <f>'practical exam or OSCE'!N81</f>
        <v/>
      </c>
      <c r="L82" s="103" t="str">
        <f t="shared" si="12"/>
        <v/>
      </c>
      <c r="M82" s="103" t="str">
        <f>'Final exam'!N81</f>
        <v/>
      </c>
      <c r="N82" s="101" t="str">
        <f t="shared" si="9"/>
        <v/>
      </c>
      <c r="O82" s="123" t="str">
        <f t="shared" si="10"/>
        <v/>
      </c>
      <c r="P82" s="104" t="str">
        <f t="shared" si="11"/>
        <v/>
      </c>
    </row>
    <row r="83" spans="1:16" ht="20.25" hidden="1" customHeight="1" x14ac:dyDescent="0.25">
      <c r="A83" s="68">
        <v>72</v>
      </c>
      <c r="B83" s="49" t="str">
        <f>IF(StList!B74&lt;&gt;"",StList!B74,"")</f>
        <v>Pharmaceutical sciences</v>
      </c>
      <c r="C83" s="24" t="str">
        <f>IF(StList!E74&lt;&gt;"",StList!E74,"")</f>
        <v/>
      </c>
      <c r="D83" s="24" t="str">
        <f>IF(StList!F74&lt;&gt;"",StList!F74,"")</f>
        <v/>
      </c>
      <c r="E83" s="57" t="str">
        <f>'Mid1'!N82</f>
        <v/>
      </c>
      <c r="F83" s="57" t="str">
        <f>'Mid2'!N82</f>
        <v/>
      </c>
      <c r="G83" s="57" t="str">
        <f>'quiz 1'!N82</f>
        <v/>
      </c>
      <c r="H83" s="57" t="str">
        <f>'Assignment or Proposal'!N82</f>
        <v/>
      </c>
      <c r="I83" s="57" t="str">
        <f>'quiz 2'!N82</f>
        <v/>
      </c>
      <c r="J83" s="57" t="str">
        <f>'Poster or Presentation'!N82</f>
        <v/>
      </c>
      <c r="K83" s="57" t="str">
        <f>'practical exam or OSCE'!N82</f>
        <v/>
      </c>
      <c r="L83" s="103" t="str">
        <f t="shared" si="12"/>
        <v/>
      </c>
      <c r="M83" s="103" t="str">
        <f>'Final exam'!N82</f>
        <v/>
      </c>
      <c r="N83" s="101" t="str">
        <f t="shared" si="9"/>
        <v/>
      </c>
      <c r="O83" s="123" t="str">
        <f t="shared" si="10"/>
        <v/>
      </c>
      <c r="P83" s="104" t="str">
        <f t="shared" si="11"/>
        <v/>
      </c>
    </row>
    <row r="84" spans="1:16" ht="20.25" hidden="1" customHeight="1" x14ac:dyDescent="0.25">
      <c r="A84" s="68">
        <v>73</v>
      </c>
      <c r="B84" s="49" t="str">
        <f>IF(StList!B75&lt;&gt;"",StList!B75,"")</f>
        <v>Pharmaceutical sciences</v>
      </c>
      <c r="C84" s="24" t="str">
        <f>IF(StList!E75&lt;&gt;"",StList!E75,"")</f>
        <v/>
      </c>
      <c r="D84" s="24" t="str">
        <f>IF(StList!F75&lt;&gt;"",StList!F75,"")</f>
        <v/>
      </c>
      <c r="E84" s="57" t="str">
        <f>'Mid1'!N83</f>
        <v/>
      </c>
      <c r="F84" s="57" t="str">
        <f>'Mid2'!N83</f>
        <v/>
      </c>
      <c r="G84" s="57" t="str">
        <f>'quiz 1'!N83</f>
        <v/>
      </c>
      <c r="H84" s="57" t="str">
        <f>'Assignment or Proposal'!N83</f>
        <v/>
      </c>
      <c r="I84" s="57" t="str">
        <f>'quiz 2'!N83</f>
        <v/>
      </c>
      <c r="J84" s="57" t="str">
        <f>'Poster or Presentation'!N83</f>
        <v/>
      </c>
      <c r="K84" s="57" t="str">
        <f>'practical exam or OSCE'!N83</f>
        <v/>
      </c>
      <c r="L84" s="103" t="str">
        <f t="shared" si="12"/>
        <v/>
      </c>
      <c r="M84" s="103" t="str">
        <f>'Final exam'!N83</f>
        <v/>
      </c>
      <c r="N84" s="101" t="str">
        <f t="shared" si="9"/>
        <v/>
      </c>
      <c r="O84" s="123" t="str">
        <f t="shared" si="10"/>
        <v/>
      </c>
      <c r="P84" s="104" t="str">
        <f t="shared" si="11"/>
        <v/>
      </c>
    </row>
    <row r="85" spans="1:16" ht="20.25" hidden="1" customHeight="1" x14ac:dyDescent="0.25">
      <c r="A85" s="68">
        <v>74</v>
      </c>
      <c r="B85" s="49" t="str">
        <f>IF(StList!B76&lt;&gt;"",StList!B76,"")</f>
        <v>Pharmaceutical sciences</v>
      </c>
      <c r="C85" s="24" t="str">
        <f>IF(StList!E76&lt;&gt;"",StList!E76,"")</f>
        <v/>
      </c>
      <c r="D85" s="24" t="str">
        <f>IF(StList!F76&lt;&gt;"",StList!F76,"")</f>
        <v/>
      </c>
      <c r="E85" s="57" t="str">
        <f>'Mid1'!N84</f>
        <v/>
      </c>
      <c r="F85" s="57" t="str">
        <f>'Mid2'!N84</f>
        <v/>
      </c>
      <c r="G85" s="57" t="str">
        <f>'quiz 1'!N84</f>
        <v/>
      </c>
      <c r="H85" s="57" t="str">
        <f>'Assignment or Proposal'!N84</f>
        <v/>
      </c>
      <c r="I85" s="57" t="str">
        <f>'quiz 2'!N84</f>
        <v/>
      </c>
      <c r="J85" s="57" t="str">
        <f>'Poster or Presentation'!N84</f>
        <v/>
      </c>
      <c r="K85" s="57" t="str">
        <f>'practical exam or OSCE'!N84</f>
        <v/>
      </c>
      <c r="L85" s="103" t="str">
        <f t="shared" si="12"/>
        <v/>
      </c>
      <c r="M85" s="103" t="str">
        <f>'Final exam'!N84</f>
        <v/>
      </c>
      <c r="N85" s="101" t="str">
        <f t="shared" si="9"/>
        <v/>
      </c>
      <c r="O85" s="123" t="str">
        <f t="shared" si="10"/>
        <v/>
      </c>
      <c r="P85" s="104" t="str">
        <f t="shared" si="11"/>
        <v/>
      </c>
    </row>
    <row r="86" spans="1:16" ht="20.25" hidden="1" customHeight="1" x14ac:dyDescent="0.25">
      <c r="A86" s="68">
        <v>75</v>
      </c>
      <c r="B86" s="49" t="str">
        <f>IF(StList!B77&lt;&gt;"",StList!B77,"")</f>
        <v>Pharmaceutical sciences</v>
      </c>
      <c r="C86" s="24" t="str">
        <f>IF(StList!E77&lt;&gt;"",StList!E77,"")</f>
        <v/>
      </c>
      <c r="D86" s="24" t="str">
        <f>IF(StList!F77&lt;&gt;"",StList!F77,"")</f>
        <v/>
      </c>
      <c r="E86" s="57" t="str">
        <f>'Mid1'!N85</f>
        <v/>
      </c>
      <c r="F86" s="57" t="str">
        <f>'Mid2'!N85</f>
        <v/>
      </c>
      <c r="G86" s="57" t="str">
        <f>'quiz 1'!N85</f>
        <v/>
      </c>
      <c r="H86" s="57" t="str">
        <f>'Assignment or Proposal'!N85</f>
        <v/>
      </c>
      <c r="I86" s="57" t="str">
        <f>'quiz 2'!N85</f>
        <v/>
      </c>
      <c r="J86" s="57" t="str">
        <f>'Poster or Presentation'!N85</f>
        <v/>
      </c>
      <c r="K86" s="57" t="str">
        <f>'practical exam or OSCE'!N85</f>
        <v/>
      </c>
      <c r="L86" s="103" t="str">
        <f t="shared" si="12"/>
        <v/>
      </c>
      <c r="M86" s="103" t="str">
        <f>'Final exam'!N85</f>
        <v/>
      </c>
      <c r="N86" s="101" t="str">
        <f t="shared" si="9"/>
        <v/>
      </c>
      <c r="O86" s="123" t="str">
        <f t="shared" si="10"/>
        <v/>
      </c>
      <c r="P86" s="104" t="str">
        <f t="shared" si="11"/>
        <v/>
      </c>
    </row>
    <row r="87" spans="1:16" ht="20.25" hidden="1" customHeight="1" x14ac:dyDescent="0.25">
      <c r="A87" s="68">
        <v>76</v>
      </c>
      <c r="B87" s="49" t="str">
        <f>IF(StList!B78&lt;&gt;"",StList!B78,"")</f>
        <v>Pharmaceutical sciences</v>
      </c>
      <c r="C87" s="24" t="str">
        <f>IF(StList!E78&lt;&gt;"",StList!E78,"")</f>
        <v/>
      </c>
      <c r="D87" s="24" t="str">
        <f>IF(StList!F78&lt;&gt;"",StList!F78,"")</f>
        <v/>
      </c>
      <c r="E87" s="57" t="str">
        <f>'Mid1'!N86</f>
        <v/>
      </c>
      <c r="F87" s="57" t="str">
        <f>'Mid2'!N86</f>
        <v/>
      </c>
      <c r="G87" s="57" t="str">
        <f>'quiz 1'!N86</f>
        <v/>
      </c>
      <c r="H87" s="57" t="str">
        <f>'Assignment or Proposal'!N86</f>
        <v/>
      </c>
      <c r="I87" s="57" t="str">
        <f>'quiz 2'!N86</f>
        <v/>
      </c>
      <c r="J87" s="57" t="str">
        <f>'Poster or Presentation'!N86</f>
        <v/>
      </c>
      <c r="K87" s="57" t="str">
        <f>'practical exam or OSCE'!N86</f>
        <v/>
      </c>
      <c r="L87" s="103" t="str">
        <f t="shared" si="12"/>
        <v/>
      </c>
      <c r="M87" s="103" t="str">
        <f>'Final exam'!N86</f>
        <v/>
      </c>
      <c r="N87" s="101" t="str">
        <f t="shared" si="9"/>
        <v/>
      </c>
      <c r="O87" s="123" t="str">
        <f t="shared" si="10"/>
        <v/>
      </c>
      <c r="P87" s="104" t="str">
        <f t="shared" si="11"/>
        <v/>
      </c>
    </row>
    <row r="88" spans="1:16" ht="20.25" hidden="1" customHeight="1" x14ac:dyDescent="0.25">
      <c r="A88" s="68">
        <v>77</v>
      </c>
      <c r="B88" s="49" t="str">
        <f>IF(StList!B79&lt;&gt;"",StList!B79,"")</f>
        <v>Pharmaceutical sciences</v>
      </c>
      <c r="C88" s="24" t="str">
        <f>IF(StList!E79&lt;&gt;"",StList!E79,"")</f>
        <v/>
      </c>
      <c r="D88" s="24" t="str">
        <f>IF(StList!F79&lt;&gt;"",StList!F79,"")</f>
        <v/>
      </c>
      <c r="E88" s="57" t="str">
        <f>'Mid1'!N87</f>
        <v/>
      </c>
      <c r="F88" s="57" t="str">
        <f>'Mid2'!N87</f>
        <v/>
      </c>
      <c r="G88" s="57" t="str">
        <f>'quiz 1'!N87</f>
        <v/>
      </c>
      <c r="H88" s="57" t="str">
        <f>'Assignment or Proposal'!N87</f>
        <v/>
      </c>
      <c r="I88" s="57" t="str">
        <f>'quiz 2'!N87</f>
        <v/>
      </c>
      <c r="J88" s="57" t="str">
        <f>'Poster or Presentation'!N87</f>
        <v/>
      </c>
      <c r="K88" s="57" t="str">
        <f>'practical exam or OSCE'!N87</f>
        <v/>
      </c>
      <c r="L88" s="103" t="str">
        <f t="shared" si="12"/>
        <v/>
      </c>
      <c r="M88" s="103" t="str">
        <f>'Final exam'!N87</f>
        <v/>
      </c>
      <c r="N88" s="101" t="str">
        <f t="shared" si="9"/>
        <v/>
      </c>
      <c r="O88" s="123" t="str">
        <f t="shared" si="10"/>
        <v/>
      </c>
      <c r="P88" s="104" t="str">
        <f t="shared" si="11"/>
        <v/>
      </c>
    </row>
    <row r="89" spans="1:16" ht="20.25" hidden="1" customHeight="1" x14ac:dyDescent="0.25">
      <c r="A89" s="68">
        <v>78</v>
      </c>
      <c r="B89" s="49" t="str">
        <f>IF(StList!B80&lt;&gt;"",StList!B80,"")</f>
        <v>Pharmaceutical sciences</v>
      </c>
      <c r="C89" s="24" t="str">
        <f>IF(StList!E80&lt;&gt;"",StList!E80,"")</f>
        <v/>
      </c>
      <c r="D89" s="24" t="str">
        <f>IF(StList!F80&lt;&gt;"",StList!F80,"")</f>
        <v/>
      </c>
      <c r="E89" s="57" t="str">
        <f>'Mid1'!N88</f>
        <v/>
      </c>
      <c r="F89" s="57" t="str">
        <f>'Mid2'!N88</f>
        <v/>
      </c>
      <c r="G89" s="57" t="str">
        <f>'quiz 1'!N88</f>
        <v/>
      </c>
      <c r="H89" s="57" t="str">
        <f>'Assignment or Proposal'!N88</f>
        <v/>
      </c>
      <c r="I89" s="57" t="str">
        <f>'quiz 2'!N88</f>
        <v/>
      </c>
      <c r="J89" s="57" t="str">
        <f>'Poster or Presentation'!N88</f>
        <v/>
      </c>
      <c r="K89" s="57" t="str">
        <f>'practical exam or OSCE'!N88</f>
        <v/>
      </c>
      <c r="L89" s="103" t="str">
        <f t="shared" si="12"/>
        <v/>
      </c>
      <c r="M89" s="103" t="str">
        <f>'Final exam'!N88</f>
        <v/>
      </c>
      <c r="N89" s="101" t="str">
        <f t="shared" si="9"/>
        <v/>
      </c>
      <c r="O89" s="123" t="str">
        <f t="shared" si="10"/>
        <v/>
      </c>
      <c r="P89" s="104" t="str">
        <f t="shared" si="11"/>
        <v/>
      </c>
    </row>
    <row r="90" spans="1:16" ht="20.25" hidden="1" customHeight="1" x14ac:dyDescent="0.25">
      <c r="A90" s="68">
        <v>79</v>
      </c>
      <c r="B90" s="49" t="str">
        <f>IF(StList!B81&lt;&gt;"",StList!B81,"")</f>
        <v>Pharmaceutical sciences</v>
      </c>
      <c r="C90" s="24" t="str">
        <f>IF(StList!E81&lt;&gt;"",StList!E81,"")</f>
        <v/>
      </c>
      <c r="D90" s="24" t="str">
        <f>IF(StList!F81&lt;&gt;"",StList!F81,"")</f>
        <v/>
      </c>
      <c r="E90" s="57" t="str">
        <f>'Mid1'!N89</f>
        <v/>
      </c>
      <c r="F90" s="57" t="str">
        <f>'Mid2'!N89</f>
        <v/>
      </c>
      <c r="G90" s="57" t="str">
        <f>'quiz 1'!N89</f>
        <v/>
      </c>
      <c r="H90" s="57" t="str">
        <f>'Assignment or Proposal'!N89</f>
        <v/>
      </c>
      <c r="I90" s="57" t="str">
        <f>'quiz 2'!N89</f>
        <v/>
      </c>
      <c r="J90" s="57" t="str">
        <f>'Poster or Presentation'!N89</f>
        <v/>
      </c>
      <c r="K90" s="57" t="str">
        <f>'practical exam or OSCE'!N89</f>
        <v/>
      </c>
      <c r="L90" s="103" t="str">
        <f t="shared" si="12"/>
        <v/>
      </c>
      <c r="M90" s="103" t="str">
        <f>'Final exam'!N89</f>
        <v/>
      </c>
      <c r="N90" s="101" t="str">
        <f t="shared" si="9"/>
        <v/>
      </c>
      <c r="O90" s="123" t="str">
        <f t="shared" si="10"/>
        <v/>
      </c>
      <c r="P90" s="104" t="str">
        <f t="shared" si="11"/>
        <v/>
      </c>
    </row>
    <row r="91" spans="1:16" ht="20.25" hidden="1" customHeight="1" x14ac:dyDescent="0.25">
      <c r="A91" s="68">
        <v>80</v>
      </c>
      <c r="B91" s="49" t="str">
        <f>IF(StList!B82&lt;&gt;"",StList!B82,"")</f>
        <v>Pharmaceutical sciences</v>
      </c>
      <c r="C91" s="24" t="str">
        <f>IF(StList!E82&lt;&gt;"",StList!E82,"")</f>
        <v/>
      </c>
      <c r="D91" s="24" t="str">
        <f>IF(StList!F82&lt;&gt;"",StList!F82,"")</f>
        <v/>
      </c>
      <c r="E91" s="57" t="str">
        <f>'Mid1'!N90</f>
        <v/>
      </c>
      <c r="F91" s="57" t="str">
        <f>'Mid2'!N90</f>
        <v/>
      </c>
      <c r="G91" s="57" t="str">
        <f>'quiz 1'!N90</f>
        <v/>
      </c>
      <c r="H91" s="57" t="str">
        <f>'Assignment or Proposal'!N90</f>
        <v/>
      </c>
      <c r="I91" s="57" t="str">
        <f>'quiz 2'!N90</f>
        <v/>
      </c>
      <c r="J91" s="57" t="str">
        <f>'Poster or Presentation'!N90</f>
        <v/>
      </c>
      <c r="K91" s="57" t="str">
        <f>'practical exam or OSCE'!N90</f>
        <v/>
      </c>
      <c r="L91" s="103" t="str">
        <f t="shared" si="12"/>
        <v/>
      </c>
      <c r="M91" s="103" t="str">
        <f>'Final exam'!N90</f>
        <v/>
      </c>
      <c r="N91" s="101" t="str">
        <f t="shared" si="9"/>
        <v/>
      </c>
      <c r="O91" s="123" t="str">
        <f t="shared" si="10"/>
        <v/>
      </c>
      <c r="P91" s="104" t="str">
        <f t="shared" si="11"/>
        <v/>
      </c>
    </row>
    <row r="92" spans="1:16" ht="20.25" hidden="1" customHeight="1" x14ac:dyDescent="0.25">
      <c r="A92" s="68">
        <v>81</v>
      </c>
      <c r="B92" s="49" t="str">
        <f>IF(StList!B83&lt;&gt;"",StList!B83,"")</f>
        <v>Pharmaceutical sciences</v>
      </c>
      <c r="C92" s="24" t="str">
        <f>IF(StList!E83&lt;&gt;"",StList!E83,"")</f>
        <v/>
      </c>
      <c r="D92" s="24" t="str">
        <f>IF(StList!F83&lt;&gt;"",StList!F83,"")</f>
        <v/>
      </c>
      <c r="E92" s="57" t="str">
        <f>'Mid1'!N91</f>
        <v/>
      </c>
      <c r="F92" s="57" t="str">
        <f>'Mid2'!N91</f>
        <v/>
      </c>
      <c r="G92" s="57" t="str">
        <f>'quiz 1'!N91</f>
        <v/>
      </c>
      <c r="H92" s="57" t="str">
        <f>'Assignment or Proposal'!N91</f>
        <v/>
      </c>
      <c r="I92" s="57" t="str">
        <f>'quiz 2'!N91</f>
        <v/>
      </c>
      <c r="J92" s="57" t="str">
        <f>'Poster or Presentation'!N91</f>
        <v/>
      </c>
      <c r="K92" s="57" t="str">
        <f>'practical exam or OSCE'!N91</f>
        <v/>
      </c>
      <c r="L92" s="103" t="str">
        <f t="shared" si="12"/>
        <v/>
      </c>
      <c r="M92" s="103" t="str">
        <f>'Final exam'!N91</f>
        <v/>
      </c>
      <c r="N92" s="101" t="str">
        <f t="shared" si="9"/>
        <v/>
      </c>
      <c r="O92" s="123" t="str">
        <f t="shared" si="10"/>
        <v/>
      </c>
      <c r="P92" s="104" t="str">
        <f t="shared" si="11"/>
        <v/>
      </c>
    </row>
    <row r="93" spans="1:16" ht="20.25" hidden="1" customHeight="1" x14ac:dyDescent="0.25">
      <c r="A93" s="68">
        <v>82</v>
      </c>
      <c r="B93" s="49" t="str">
        <f>IF(StList!B84&lt;&gt;"",StList!B84,"")</f>
        <v>Pharmaceutical sciences</v>
      </c>
      <c r="C93" s="24" t="str">
        <f>IF(StList!E84&lt;&gt;"",StList!E84,"")</f>
        <v/>
      </c>
      <c r="D93" s="24" t="str">
        <f>IF(StList!F84&lt;&gt;"",StList!F84,"")</f>
        <v/>
      </c>
      <c r="E93" s="57" t="str">
        <f>'Mid1'!N92</f>
        <v/>
      </c>
      <c r="F93" s="57" t="str">
        <f>'Mid2'!N92</f>
        <v/>
      </c>
      <c r="G93" s="57" t="str">
        <f>'quiz 1'!N92</f>
        <v/>
      </c>
      <c r="H93" s="57" t="str">
        <f>'Assignment or Proposal'!N92</f>
        <v/>
      </c>
      <c r="I93" s="57" t="str">
        <f>'quiz 2'!N92</f>
        <v/>
      </c>
      <c r="J93" s="57" t="str">
        <f>'Poster or Presentation'!N92</f>
        <v/>
      </c>
      <c r="K93" s="57" t="str">
        <f>'practical exam or OSCE'!N92</f>
        <v/>
      </c>
      <c r="L93" s="103" t="str">
        <f t="shared" si="12"/>
        <v/>
      </c>
      <c r="M93" s="103" t="str">
        <f>'Final exam'!N92</f>
        <v/>
      </c>
      <c r="N93" s="101" t="str">
        <f t="shared" si="9"/>
        <v/>
      </c>
      <c r="O93" s="123" t="str">
        <f t="shared" si="10"/>
        <v/>
      </c>
      <c r="P93" s="104" t="str">
        <f t="shared" si="11"/>
        <v/>
      </c>
    </row>
    <row r="94" spans="1:16" ht="20.25" hidden="1" customHeight="1" x14ac:dyDescent="0.25">
      <c r="A94" s="68">
        <v>83</v>
      </c>
      <c r="B94" s="49" t="str">
        <f>IF(StList!B85&lt;&gt;"",StList!B85,"")</f>
        <v>Pharmaceutical sciences</v>
      </c>
      <c r="C94" s="24" t="str">
        <f>IF(StList!E85&lt;&gt;"",StList!E85,"")</f>
        <v/>
      </c>
      <c r="D94" s="24" t="str">
        <f>IF(StList!F85&lt;&gt;"",StList!F85,"")</f>
        <v/>
      </c>
      <c r="E94" s="57" t="str">
        <f>'Mid1'!N93</f>
        <v/>
      </c>
      <c r="F94" s="57" t="str">
        <f>'Mid2'!N93</f>
        <v/>
      </c>
      <c r="G94" s="57" t="str">
        <f>'quiz 1'!N93</f>
        <v/>
      </c>
      <c r="H94" s="57" t="str">
        <f>'Assignment or Proposal'!N93</f>
        <v/>
      </c>
      <c r="I94" s="57" t="str">
        <f>'quiz 2'!N93</f>
        <v/>
      </c>
      <c r="J94" s="57" t="str">
        <f>'Poster or Presentation'!N93</f>
        <v/>
      </c>
      <c r="K94" s="57" t="str">
        <f>'practical exam or OSCE'!N93</f>
        <v/>
      </c>
      <c r="L94" s="103" t="str">
        <f t="shared" si="12"/>
        <v/>
      </c>
      <c r="M94" s="103" t="str">
        <f>'Final exam'!N93</f>
        <v/>
      </c>
      <c r="N94" s="101" t="str">
        <f t="shared" si="9"/>
        <v/>
      </c>
      <c r="O94" s="123" t="str">
        <f t="shared" si="10"/>
        <v/>
      </c>
      <c r="P94" s="104" t="str">
        <f t="shared" si="11"/>
        <v/>
      </c>
    </row>
    <row r="95" spans="1:16" ht="20.25" hidden="1" customHeight="1" x14ac:dyDescent="0.25">
      <c r="A95" s="68">
        <v>84</v>
      </c>
      <c r="B95" s="49" t="str">
        <f>IF(StList!B86&lt;&gt;"",StList!B86,"")</f>
        <v>Pharmaceutical sciences</v>
      </c>
      <c r="C95" s="24" t="str">
        <f>IF(StList!E86&lt;&gt;"",StList!E86,"")</f>
        <v/>
      </c>
      <c r="D95" s="24" t="str">
        <f>IF(StList!F86&lt;&gt;"",StList!F86,"")</f>
        <v/>
      </c>
      <c r="E95" s="57" t="str">
        <f>'Mid1'!N94</f>
        <v/>
      </c>
      <c r="F95" s="57" t="str">
        <f>'Mid2'!N94</f>
        <v/>
      </c>
      <c r="G95" s="57" t="str">
        <f>'quiz 1'!N94</f>
        <v/>
      </c>
      <c r="H95" s="57" t="str">
        <f>'Assignment or Proposal'!N94</f>
        <v/>
      </c>
      <c r="I95" s="57" t="str">
        <f>'quiz 2'!N94</f>
        <v/>
      </c>
      <c r="J95" s="57" t="str">
        <f>'Poster or Presentation'!N94</f>
        <v/>
      </c>
      <c r="K95" s="57" t="str">
        <f>'practical exam or OSCE'!N94</f>
        <v/>
      </c>
      <c r="L95" s="103" t="str">
        <f t="shared" si="12"/>
        <v/>
      </c>
      <c r="M95" s="103" t="str">
        <f>'Final exam'!N94</f>
        <v/>
      </c>
      <c r="N95" s="101" t="str">
        <f t="shared" si="9"/>
        <v/>
      </c>
      <c r="O95" s="123" t="str">
        <f t="shared" si="10"/>
        <v/>
      </c>
      <c r="P95" s="104" t="str">
        <f t="shared" si="11"/>
        <v/>
      </c>
    </row>
    <row r="96" spans="1:16" ht="20.25" hidden="1" customHeight="1" x14ac:dyDescent="0.25">
      <c r="A96" s="68">
        <v>85</v>
      </c>
      <c r="B96" s="49" t="str">
        <f>IF(StList!B87&lt;&gt;"",StList!B87,"")</f>
        <v>Pharmaceutical sciences</v>
      </c>
      <c r="C96" s="24" t="str">
        <f>IF(StList!E87&lt;&gt;"",StList!E87,"")</f>
        <v/>
      </c>
      <c r="D96" s="24" t="str">
        <f>IF(StList!F87&lt;&gt;"",StList!F87,"")</f>
        <v/>
      </c>
      <c r="E96" s="57" t="str">
        <f>'Mid1'!N95</f>
        <v/>
      </c>
      <c r="F96" s="57" t="str">
        <f>'Mid2'!N95</f>
        <v/>
      </c>
      <c r="G96" s="57" t="str">
        <f>'quiz 1'!N95</f>
        <v/>
      </c>
      <c r="H96" s="57" t="str">
        <f>'Assignment or Proposal'!N95</f>
        <v/>
      </c>
      <c r="I96" s="57" t="str">
        <f>'quiz 2'!N95</f>
        <v/>
      </c>
      <c r="J96" s="57" t="str">
        <f>'Poster or Presentation'!N95</f>
        <v/>
      </c>
      <c r="K96" s="57" t="str">
        <f>'practical exam or OSCE'!N95</f>
        <v/>
      </c>
      <c r="L96" s="103" t="str">
        <f t="shared" si="12"/>
        <v/>
      </c>
      <c r="M96" s="103" t="str">
        <f>'Final exam'!N95</f>
        <v/>
      </c>
      <c r="N96" s="101" t="str">
        <f t="shared" si="9"/>
        <v/>
      </c>
      <c r="O96" s="123" t="str">
        <f t="shared" si="10"/>
        <v/>
      </c>
      <c r="P96" s="104" t="str">
        <f t="shared" si="11"/>
        <v/>
      </c>
    </row>
    <row r="97" spans="1:16" ht="20.25" hidden="1" customHeight="1" x14ac:dyDescent="0.25">
      <c r="A97" s="68">
        <v>86</v>
      </c>
      <c r="B97" s="49" t="str">
        <f>IF(StList!B88&lt;&gt;"",StList!B88,"")</f>
        <v>Pharmaceutical sciences</v>
      </c>
      <c r="C97" s="24" t="str">
        <f>IF(StList!E88&lt;&gt;"",StList!E88,"")</f>
        <v/>
      </c>
      <c r="D97" s="24" t="str">
        <f>IF(StList!F88&lt;&gt;"",StList!F88,"")</f>
        <v/>
      </c>
      <c r="E97" s="57" t="str">
        <f>'Mid1'!N96</f>
        <v/>
      </c>
      <c r="F97" s="57" t="str">
        <f>'Mid2'!N96</f>
        <v/>
      </c>
      <c r="G97" s="57" t="str">
        <f>'quiz 1'!N96</f>
        <v/>
      </c>
      <c r="H97" s="57" t="str">
        <f>'Assignment or Proposal'!N96</f>
        <v/>
      </c>
      <c r="I97" s="57" t="str">
        <f>'quiz 2'!N96</f>
        <v/>
      </c>
      <c r="J97" s="57" t="str">
        <f>'Poster or Presentation'!N96</f>
        <v/>
      </c>
      <c r="K97" s="57" t="str">
        <f>'practical exam or OSCE'!N96</f>
        <v/>
      </c>
      <c r="L97" s="103" t="str">
        <f t="shared" si="12"/>
        <v/>
      </c>
      <c r="M97" s="103" t="str">
        <f>'Final exam'!N96</f>
        <v/>
      </c>
      <c r="N97" s="101" t="str">
        <f t="shared" si="9"/>
        <v/>
      </c>
      <c r="O97" s="123" t="str">
        <f t="shared" si="10"/>
        <v/>
      </c>
      <c r="P97" s="104" t="str">
        <f t="shared" si="11"/>
        <v/>
      </c>
    </row>
    <row r="98" spans="1:16" ht="20.25" hidden="1" customHeight="1" x14ac:dyDescent="0.25">
      <c r="A98" s="68">
        <v>87</v>
      </c>
      <c r="B98" s="49" t="str">
        <f>IF(StList!B89&lt;&gt;"",StList!B89,"")</f>
        <v>Pharmaceutical sciences</v>
      </c>
      <c r="C98" s="24" t="str">
        <f>IF(StList!E89&lt;&gt;"",StList!E89,"")</f>
        <v/>
      </c>
      <c r="D98" s="24" t="str">
        <f>IF(StList!F89&lt;&gt;"",StList!F89,"")</f>
        <v/>
      </c>
      <c r="E98" s="57" t="str">
        <f>'Mid1'!N97</f>
        <v/>
      </c>
      <c r="F98" s="57" t="str">
        <f>'Mid2'!N97</f>
        <v/>
      </c>
      <c r="G98" s="57" t="str">
        <f>'quiz 1'!N97</f>
        <v/>
      </c>
      <c r="H98" s="57" t="str">
        <f>'Assignment or Proposal'!N97</f>
        <v/>
      </c>
      <c r="I98" s="57" t="str">
        <f>'quiz 2'!N97</f>
        <v/>
      </c>
      <c r="J98" s="57" t="str">
        <f>'Poster or Presentation'!N97</f>
        <v/>
      </c>
      <c r="K98" s="57" t="str">
        <f>'practical exam or OSCE'!N97</f>
        <v/>
      </c>
      <c r="L98" s="103" t="str">
        <f t="shared" si="12"/>
        <v/>
      </c>
      <c r="M98" s="103" t="str">
        <f>'Final exam'!N97</f>
        <v/>
      </c>
      <c r="N98" s="101" t="str">
        <f t="shared" si="9"/>
        <v/>
      </c>
      <c r="O98" s="123" t="str">
        <f t="shared" si="10"/>
        <v/>
      </c>
      <c r="P98" s="104" t="str">
        <f t="shared" si="11"/>
        <v/>
      </c>
    </row>
    <row r="99" spans="1:16" ht="20.25" hidden="1" customHeight="1" x14ac:dyDescent="0.25">
      <c r="A99" s="68">
        <v>88</v>
      </c>
      <c r="B99" s="49" t="str">
        <f>IF(StList!B90&lt;&gt;"",StList!B90,"")</f>
        <v>Pharmaceutical sciences</v>
      </c>
      <c r="C99" s="24" t="str">
        <f>IF(StList!E90&lt;&gt;"",StList!E90,"")</f>
        <v/>
      </c>
      <c r="D99" s="24" t="str">
        <f>IF(StList!F90&lt;&gt;"",StList!F90,"")</f>
        <v/>
      </c>
      <c r="E99" s="57" t="str">
        <f>'Mid1'!N98</f>
        <v/>
      </c>
      <c r="F99" s="57" t="str">
        <f>'Mid2'!N98</f>
        <v/>
      </c>
      <c r="G99" s="57" t="str">
        <f>'quiz 1'!N98</f>
        <v/>
      </c>
      <c r="H99" s="57" t="str">
        <f>'Assignment or Proposal'!N98</f>
        <v/>
      </c>
      <c r="I99" s="57" t="str">
        <f>'quiz 2'!N98</f>
        <v/>
      </c>
      <c r="J99" s="57" t="str">
        <f>'Poster or Presentation'!N98</f>
        <v/>
      </c>
      <c r="K99" s="57" t="str">
        <f>'practical exam or OSCE'!N98</f>
        <v/>
      </c>
      <c r="L99" s="103" t="str">
        <f t="shared" si="12"/>
        <v/>
      </c>
      <c r="M99" s="103" t="str">
        <f>'Final exam'!N98</f>
        <v/>
      </c>
      <c r="N99" s="101" t="str">
        <f t="shared" si="9"/>
        <v/>
      </c>
      <c r="O99" s="123" t="str">
        <f t="shared" si="10"/>
        <v/>
      </c>
      <c r="P99" s="104" t="str">
        <f t="shared" si="11"/>
        <v/>
      </c>
    </row>
    <row r="100" spans="1:16" ht="20.25" hidden="1" customHeight="1" x14ac:dyDescent="0.25">
      <c r="A100" s="68">
        <v>89</v>
      </c>
      <c r="B100" s="49" t="str">
        <f>IF(StList!B91&lt;&gt;"",StList!B91,"")</f>
        <v>Pharmaceutical sciences</v>
      </c>
      <c r="C100" s="24" t="str">
        <f>IF(StList!E91&lt;&gt;"",StList!E91,"")</f>
        <v/>
      </c>
      <c r="D100" s="24" t="str">
        <f>IF(StList!F91&lt;&gt;"",StList!F91,"")</f>
        <v/>
      </c>
      <c r="E100" s="57" t="str">
        <f>'Mid1'!N99</f>
        <v/>
      </c>
      <c r="F100" s="57" t="str">
        <f>'Mid2'!N99</f>
        <v/>
      </c>
      <c r="G100" s="57" t="str">
        <f>'quiz 1'!N99</f>
        <v/>
      </c>
      <c r="H100" s="57" t="str">
        <f>'Assignment or Proposal'!N99</f>
        <v/>
      </c>
      <c r="I100" s="57" t="str">
        <f>'quiz 2'!N99</f>
        <v/>
      </c>
      <c r="J100" s="57" t="str">
        <f>'Poster or Presentation'!N99</f>
        <v/>
      </c>
      <c r="K100" s="57" t="str">
        <f>'practical exam or OSCE'!N99</f>
        <v/>
      </c>
      <c r="L100" s="103" t="str">
        <f t="shared" si="12"/>
        <v/>
      </c>
      <c r="M100" s="103" t="str">
        <f>'Final exam'!N99</f>
        <v/>
      </c>
      <c r="N100" s="101" t="str">
        <f t="shared" si="9"/>
        <v/>
      </c>
      <c r="O100" s="123" t="str">
        <f t="shared" si="10"/>
        <v/>
      </c>
      <c r="P100" s="104" t="str">
        <f t="shared" si="11"/>
        <v/>
      </c>
    </row>
    <row r="101" spans="1:16" ht="20.25" hidden="1" customHeight="1" x14ac:dyDescent="0.25">
      <c r="A101" s="68">
        <v>90</v>
      </c>
      <c r="B101" s="49" t="str">
        <f>IF(StList!B92&lt;&gt;"",StList!B92,"")</f>
        <v>Pharmaceutical sciences</v>
      </c>
      <c r="C101" s="24" t="str">
        <f>IF(StList!E92&lt;&gt;"",StList!E92,"")</f>
        <v/>
      </c>
      <c r="D101" s="24" t="str">
        <f>IF(StList!F92&lt;&gt;"",StList!F92,"")</f>
        <v/>
      </c>
      <c r="E101" s="57" t="str">
        <f>'Mid1'!N100</f>
        <v/>
      </c>
      <c r="F101" s="57" t="str">
        <f>'Mid2'!N100</f>
        <v/>
      </c>
      <c r="G101" s="57" t="str">
        <f>'quiz 1'!N100</f>
        <v/>
      </c>
      <c r="H101" s="57" t="str">
        <f>'Assignment or Proposal'!N100</f>
        <v/>
      </c>
      <c r="I101" s="57" t="str">
        <f>'quiz 2'!N100</f>
        <v/>
      </c>
      <c r="J101" s="57" t="str">
        <f>'Poster or Presentation'!N100</f>
        <v/>
      </c>
      <c r="K101" s="57" t="str">
        <f>'practical exam or OSCE'!N100</f>
        <v/>
      </c>
      <c r="L101" s="103" t="str">
        <f t="shared" si="12"/>
        <v/>
      </c>
      <c r="M101" s="103" t="str">
        <f>'Final exam'!N100</f>
        <v/>
      </c>
      <c r="N101" s="101" t="str">
        <f t="shared" si="9"/>
        <v/>
      </c>
      <c r="O101" s="123" t="str">
        <f t="shared" si="10"/>
        <v/>
      </c>
      <c r="P101" s="104" t="str">
        <f t="shared" si="11"/>
        <v/>
      </c>
    </row>
    <row r="102" spans="1:16" ht="20.25" hidden="1" customHeight="1" x14ac:dyDescent="0.25">
      <c r="A102" s="68">
        <v>91</v>
      </c>
      <c r="B102" s="49" t="str">
        <f>IF(StList!B93&lt;&gt;"",StList!B93,"")</f>
        <v>Pharmaceutical sciences</v>
      </c>
      <c r="C102" s="24" t="str">
        <f>IF(StList!E93&lt;&gt;"",StList!E93,"")</f>
        <v/>
      </c>
      <c r="D102" s="24" t="str">
        <f>IF(StList!F93&lt;&gt;"",StList!F93,"")</f>
        <v/>
      </c>
      <c r="E102" s="57" t="str">
        <f>'Mid1'!N101</f>
        <v/>
      </c>
      <c r="F102" s="57" t="str">
        <f>'Mid2'!N101</f>
        <v/>
      </c>
      <c r="G102" s="57" t="str">
        <f>'quiz 1'!N101</f>
        <v/>
      </c>
      <c r="H102" s="57" t="str">
        <f>'Assignment or Proposal'!N101</f>
        <v/>
      </c>
      <c r="I102" s="57" t="str">
        <f>'quiz 2'!N101</f>
        <v/>
      </c>
      <c r="J102" s="57" t="str">
        <f>'Poster or Presentation'!N101</f>
        <v/>
      </c>
      <c r="K102" s="57" t="str">
        <f>'practical exam or OSCE'!N101</f>
        <v/>
      </c>
      <c r="L102" s="103" t="str">
        <f t="shared" si="12"/>
        <v/>
      </c>
      <c r="M102" s="103" t="str">
        <f>'Final exam'!N101</f>
        <v/>
      </c>
      <c r="N102" s="101" t="str">
        <f t="shared" si="9"/>
        <v/>
      </c>
      <c r="O102" s="123" t="str">
        <f t="shared" si="10"/>
        <v/>
      </c>
      <c r="P102" s="104" t="str">
        <f t="shared" si="11"/>
        <v/>
      </c>
    </row>
    <row r="103" spans="1:16" ht="20.25" hidden="1" customHeight="1" x14ac:dyDescent="0.25">
      <c r="A103" s="68">
        <v>92</v>
      </c>
      <c r="B103" s="49" t="str">
        <f>IF(StList!B94&lt;&gt;"",StList!B94,"")</f>
        <v>Pharmaceutical sciences</v>
      </c>
      <c r="C103" s="24" t="str">
        <f>IF(StList!E94&lt;&gt;"",StList!E94,"")</f>
        <v/>
      </c>
      <c r="D103" s="24" t="str">
        <f>IF(StList!F94&lt;&gt;"",StList!F94,"")</f>
        <v/>
      </c>
      <c r="E103" s="57" t="str">
        <f>'Mid1'!N102</f>
        <v/>
      </c>
      <c r="F103" s="57" t="str">
        <f>'Mid2'!N102</f>
        <v/>
      </c>
      <c r="G103" s="57" t="str">
        <f>'quiz 1'!N102</f>
        <v/>
      </c>
      <c r="H103" s="57" t="str">
        <f>'Assignment or Proposal'!N102</f>
        <v/>
      </c>
      <c r="I103" s="57" t="str">
        <f>'quiz 2'!N102</f>
        <v/>
      </c>
      <c r="J103" s="57" t="str">
        <f>'Poster or Presentation'!N102</f>
        <v/>
      </c>
      <c r="K103" s="57" t="str">
        <f>'practical exam or OSCE'!N102</f>
        <v/>
      </c>
      <c r="L103" s="103" t="str">
        <f t="shared" si="12"/>
        <v/>
      </c>
      <c r="M103" s="103" t="str">
        <f>'Final exam'!N102</f>
        <v/>
      </c>
      <c r="N103" s="101" t="str">
        <f t="shared" si="9"/>
        <v/>
      </c>
      <c r="O103" s="123" t="str">
        <f t="shared" si="10"/>
        <v/>
      </c>
      <c r="P103" s="104" t="str">
        <f t="shared" si="11"/>
        <v/>
      </c>
    </row>
    <row r="104" spans="1:16" ht="20.25" hidden="1" customHeight="1" x14ac:dyDescent="0.25">
      <c r="A104" s="68">
        <v>93</v>
      </c>
      <c r="B104" s="49" t="str">
        <f>IF(StList!B95&lt;&gt;"",StList!B95,"")</f>
        <v>Pharmaceutical sciences</v>
      </c>
      <c r="C104" s="24" t="str">
        <f>IF(StList!E95&lt;&gt;"",StList!E95,"")</f>
        <v/>
      </c>
      <c r="D104" s="24" t="str">
        <f>IF(StList!F95&lt;&gt;"",StList!F95,"")</f>
        <v/>
      </c>
      <c r="E104" s="57" t="str">
        <f>'Mid1'!N103</f>
        <v/>
      </c>
      <c r="F104" s="57" t="str">
        <f>'Mid2'!N103</f>
        <v/>
      </c>
      <c r="G104" s="57" t="str">
        <f>'quiz 1'!N103</f>
        <v/>
      </c>
      <c r="H104" s="57" t="str">
        <f>'Assignment or Proposal'!N103</f>
        <v/>
      </c>
      <c r="I104" s="57" t="str">
        <f>'quiz 2'!N103</f>
        <v/>
      </c>
      <c r="J104" s="57" t="str">
        <f>'Poster or Presentation'!N103</f>
        <v/>
      </c>
      <c r="K104" s="57" t="str">
        <f>'practical exam or OSCE'!N103</f>
        <v/>
      </c>
      <c r="L104" s="103" t="str">
        <f t="shared" si="12"/>
        <v/>
      </c>
      <c r="M104" s="103" t="str">
        <f>'Final exam'!N103</f>
        <v/>
      </c>
      <c r="N104" s="101" t="str">
        <f t="shared" si="9"/>
        <v/>
      </c>
      <c r="O104" s="123" t="str">
        <f t="shared" si="10"/>
        <v/>
      </c>
      <c r="P104" s="104" t="str">
        <f t="shared" si="11"/>
        <v/>
      </c>
    </row>
    <row r="105" spans="1:16" ht="20.25" hidden="1" customHeight="1" x14ac:dyDescent="0.25">
      <c r="A105" s="68">
        <v>94</v>
      </c>
      <c r="B105" s="49" t="str">
        <f>IF(StList!B96&lt;&gt;"",StList!B96,"")</f>
        <v>Pharmaceutical sciences</v>
      </c>
      <c r="C105" s="24" t="str">
        <f>IF(StList!E96&lt;&gt;"",StList!E96,"")</f>
        <v/>
      </c>
      <c r="D105" s="24" t="str">
        <f>IF(StList!F96&lt;&gt;"",StList!F96,"")</f>
        <v/>
      </c>
      <c r="E105" s="57" t="str">
        <f>'Mid1'!N104</f>
        <v/>
      </c>
      <c r="F105" s="57" t="str">
        <f>'Mid2'!N104</f>
        <v/>
      </c>
      <c r="G105" s="57" t="str">
        <f>'quiz 1'!N104</f>
        <v/>
      </c>
      <c r="H105" s="57" t="str">
        <f>'Assignment or Proposal'!N104</f>
        <v/>
      </c>
      <c r="I105" s="57" t="str">
        <f>'quiz 2'!N104</f>
        <v/>
      </c>
      <c r="J105" s="57" t="str">
        <f>'Poster or Presentation'!N104</f>
        <v/>
      </c>
      <c r="K105" s="57" t="str">
        <f>'practical exam or OSCE'!N104</f>
        <v/>
      </c>
      <c r="L105" s="103" t="str">
        <f t="shared" si="12"/>
        <v/>
      </c>
      <c r="M105" s="103" t="str">
        <f>'Final exam'!N104</f>
        <v/>
      </c>
      <c r="N105" s="101" t="str">
        <f t="shared" si="9"/>
        <v/>
      </c>
      <c r="O105" s="123" t="str">
        <f t="shared" si="10"/>
        <v/>
      </c>
      <c r="P105" s="104" t="str">
        <f t="shared" si="11"/>
        <v/>
      </c>
    </row>
    <row r="106" spans="1:16" ht="20.25" hidden="1" customHeight="1" x14ac:dyDescent="0.25">
      <c r="A106" s="68">
        <v>95</v>
      </c>
      <c r="B106" s="49" t="str">
        <f>IF(StList!B97&lt;&gt;"",StList!B97,"")</f>
        <v>Pharmaceutical sciences</v>
      </c>
      <c r="C106" s="24" t="str">
        <f>IF(StList!E97&lt;&gt;"",StList!E97,"")</f>
        <v/>
      </c>
      <c r="D106" s="24" t="str">
        <f>IF(StList!F97&lt;&gt;"",StList!F97,"")</f>
        <v/>
      </c>
      <c r="E106" s="57" t="str">
        <f>'Mid1'!N105</f>
        <v/>
      </c>
      <c r="F106" s="57" t="str">
        <f>'Mid2'!N105</f>
        <v/>
      </c>
      <c r="G106" s="57" t="str">
        <f>'quiz 1'!N105</f>
        <v/>
      </c>
      <c r="H106" s="57" t="str">
        <f>'Assignment or Proposal'!N105</f>
        <v/>
      </c>
      <c r="I106" s="57" t="str">
        <f>'quiz 2'!N105</f>
        <v/>
      </c>
      <c r="J106" s="57" t="str">
        <f>'Poster or Presentation'!N105</f>
        <v/>
      </c>
      <c r="K106" s="57" t="str">
        <f>'practical exam or OSCE'!N105</f>
        <v/>
      </c>
      <c r="L106" s="103" t="str">
        <f t="shared" si="12"/>
        <v/>
      </c>
      <c r="M106" s="103" t="str">
        <f>'Final exam'!N105</f>
        <v/>
      </c>
      <c r="N106" s="101" t="str">
        <f t="shared" si="9"/>
        <v/>
      </c>
      <c r="O106" s="123" t="str">
        <f t="shared" si="10"/>
        <v/>
      </c>
      <c r="P106" s="104" t="str">
        <f t="shared" si="11"/>
        <v/>
      </c>
    </row>
    <row r="107" spans="1:16" ht="20.25" hidden="1" customHeight="1" x14ac:dyDescent="0.25">
      <c r="A107" s="68">
        <v>96</v>
      </c>
      <c r="B107" s="49" t="str">
        <f>IF(StList!B98&lt;&gt;"",StList!B98,"")</f>
        <v>Pharmaceutical sciences</v>
      </c>
      <c r="C107" s="24" t="str">
        <f>IF(StList!E98&lt;&gt;"",StList!E98,"")</f>
        <v/>
      </c>
      <c r="D107" s="24" t="str">
        <f>IF(StList!F98&lt;&gt;"",StList!F98,"")</f>
        <v/>
      </c>
      <c r="E107" s="57" t="str">
        <f>'Mid1'!N106</f>
        <v/>
      </c>
      <c r="F107" s="57" t="str">
        <f>'Mid2'!N106</f>
        <v/>
      </c>
      <c r="G107" s="57" t="str">
        <f>'quiz 1'!N106</f>
        <v/>
      </c>
      <c r="H107" s="57" t="str">
        <f>'Assignment or Proposal'!N106</f>
        <v/>
      </c>
      <c r="I107" s="57" t="str">
        <f>'quiz 2'!N106</f>
        <v/>
      </c>
      <c r="J107" s="57" t="str">
        <f>'Poster or Presentation'!N106</f>
        <v/>
      </c>
      <c r="K107" s="57" t="str">
        <f>'practical exam or OSCE'!N106</f>
        <v/>
      </c>
      <c r="L107" s="103" t="str">
        <f t="shared" si="12"/>
        <v/>
      </c>
      <c r="M107" s="103" t="str">
        <f>'Final exam'!N106</f>
        <v/>
      </c>
      <c r="N107" s="101" t="str">
        <f t="shared" si="9"/>
        <v/>
      </c>
      <c r="O107" s="123" t="str">
        <f t="shared" si="10"/>
        <v/>
      </c>
      <c r="P107" s="104" t="str">
        <f t="shared" si="11"/>
        <v/>
      </c>
    </row>
    <row r="108" spans="1:16" ht="20.25" hidden="1" customHeight="1" x14ac:dyDescent="0.25">
      <c r="A108" s="68">
        <v>97</v>
      </c>
      <c r="B108" s="49" t="str">
        <f>IF(StList!B99&lt;&gt;"",StList!B99,"")</f>
        <v>Pharmaceutical sciences</v>
      </c>
      <c r="C108" s="24" t="str">
        <f>IF(StList!E99&lt;&gt;"",StList!E99,"")</f>
        <v/>
      </c>
      <c r="D108" s="24" t="str">
        <f>IF(StList!F99&lt;&gt;"",StList!F99,"")</f>
        <v/>
      </c>
      <c r="E108" s="57" t="str">
        <f>'Mid1'!N107</f>
        <v/>
      </c>
      <c r="F108" s="57" t="str">
        <f>'Mid2'!N107</f>
        <v/>
      </c>
      <c r="G108" s="57" t="str">
        <f>'quiz 1'!N107</f>
        <v/>
      </c>
      <c r="H108" s="57" t="str">
        <f>'Assignment or Proposal'!N107</f>
        <v/>
      </c>
      <c r="I108" s="57" t="str">
        <f>'quiz 2'!N107</f>
        <v/>
      </c>
      <c r="J108" s="57" t="str">
        <f>'Poster or Presentation'!N107</f>
        <v/>
      </c>
      <c r="K108" s="57" t="str">
        <f>'practical exam or OSCE'!N107</f>
        <v/>
      </c>
      <c r="L108" s="103" t="str">
        <f t="shared" si="12"/>
        <v/>
      </c>
      <c r="M108" s="103" t="str">
        <f>'Final exam'!N107</f>
        <v/>
      </c>
      <c r="N108" s="101" t="str">
        <f t="shared" si="9"/>
        <v/>
      </c>
      <c r="O108" s="123" t="str">
        <f t="shared" si="10"/>
        <v/>
      </c>
      <c r="P108" s="104" t="str">
        <f t="shared" si="11"/>
        <v/>
      </c>
    </row>
    <row r="109" spans="1:16" ht="20.25" hidden="1" customHeight="1" x14ac:dyDescent="0.25">
      <c r="A109" s="68">
        <v>98</v>
      </c>
      <c r="B109" s="49" t="str">
        <f>IF(StList!B100&lt;&gt;"",StList!B100,"")</f>
        <v>Pharmaceutical sciences</v>
      </c>
      <c r="C109" s="24" t="str">
        <f>IF(StList!E100&lt;&gt;"",StList!E100,"")</f>
        <v/>
      </c>
      <c r="D109" s="24" t="str">
        <f>IF(StList!F100&lt;&gt;"",StList!F100,"")</f>
        <v/>
      </c>
      <c r="E109" s="57" t="str">
        <f>'Mid1'!N108</f>
        <v/>
      </c>
      <c r="F109" s="57" t="str">
        <f>'Mid2'!N108</f>
        <v/>
      </c>
      <c r="G109" s="57" t="str">
        <f>'quiz 1'!N108</f>
        <v/>
      </c>
      <c r="H109" s="57" t="str">
        <f>'Assignment or Proposal'!N108</f>
        <v/>
      </c>
      <c r="I109" s="57" t="str">
        <f>'quiz 2'!N108</f>
        <v/>
      </c>
      <c r="J109" s="57" t="str">
        <f>'Poster or Presentation'!N108</f>
        <v/>
      </c>
      <c r="K109" s="57" t="str">
        <f>'practical exam or OSCE'!N108</f>
        <v/>
      </c>
      <c r="L109" s="103" t="str">
        <f t="shared" si="12"/>
        <v/>
      </c>
      <c r="M109" s="103" t="str">
        <f>'Final exam'!N108</f>
        <v/>
      </c>
      <c r="N109" s="101" t="str">
        <f t="shared" si="9"/>
        <v/>
      </c>
      <c r="O109" s="123" t="str">
        <f t="shared" si="10"/>
        <v/>
      </c>
      <c r="P109" s="104" t="str">
        <f t="shared" si="11"/>
        <v/>
      </c>
    </row>
    <row r="110" spans="1:16" ht="20.25" hidden="1" customHeight="1" x14ac:dyDescent="0.25">
      <c r="A110" s="68">
        <v>99</v>
      </c>
      <c r="B110" s="49" t="str">
        <f>IF(StList!B101&lt;&gt;"",StList!B101,"")</f>
        <v>Pharmaceutical sciences</v>
      </c>
      <c r="C110" s="24" t="str">
        <f>IF(StList!E101&lt;&gt;"",StList!E101,"")</f>
        <v/>
      </c>
      <c r="D110" s="24" t="str">
        <f>IF(StList!F101&lt;&gt;"",StList!F101,"")</f>
        <v/>
      </c>
      <c r="E110" s="57" t="str">
        <f>'Mid1'!N109</f>
        <v/>
      </c>
      <c r="F110" s="57" t="str">
        <f>'Mid2'!N109</f>
        <v/>
      </c>
      <c r="G110" s="57" t="str">
        <f>'quiz 1'!N109</f>
        <v/>
      </c>
      <c r="H110" s="57" t="str">
        <f>'Assignment or Proposal'!N109</f>
        <v/>
      </c>
      <c r="I110" s="57" t="str">
        <f>'quiz 2'!N109</f>
        <v/>
      </c>
      <c r="J110" s="57" t="str">
        <f>'Poster or Presentation'!N109</f>
        <v/>
      </c>
      <c r="K110" s="57" t="str">
        <f>'practical exam or OSCE'!N109</f>
        <v/>
      </c>
      <c r="L110" s="103" t="str">
        <f t="shared" si="12"/>
        <v/>
      </c>
      <c r="M110" s="103" t="str">
        <f>'Final exam'!N109</f>
        <v/>
      </c>
      <c r="N110" s="101" t="str">
        <f t="shared" si="9"/>
        <v/>
      </c>
      <c r="O110" s="123" t="str">
        <f t="shared" si="10"/>
        <v/>
      </c>
      <c r="P110" s="104" t="str">
        <f t="shared" si="11"/>
        <v/>
      </c>
    </row>
    <row r="111" spans="1:16" ht="20.25" hidden="1" customHeight="1" x14ac:dyDescent="0.25">
      <c r="A111" s="68">
        <v>100</v>
      </c>
      <c r="B111" s="49" t="str">
        <f>IF(StList!B102&lt;&gt;"",StList!B102,"")</f>
        <v>Pharmaceutical sciences</v>
      </c>
      <c r="C111" s="24" t="str">
        <f>IF(StList!E102&lt;&gt;"",StList!E102,"")</f>
        <v/>
      </c>
      <c r="D111" s="24" t="str">
        <f>IF(StList!F102&lt;&gt;"",StList!F102,"")</f>
        <v/>
      </c>
      <c r="E111" s="57" t="str">
        <f>'Mid1'!N110</f>
        <v/>
      </c>
      <c r="F111" s="57" t="str">
        <f>'Mid2'!N110</f>
        <v/>
      </c>
      <c r="G111" s="57" t="str">
        <f>'quiz 1'!N110</f>
        <v/>
      </c>
      <c r="H111" s="57" t="str">
        <f>'Assignment or Proposal'!N110</f>
        <v/>
      </c>
      <c r="I111" s="57" t="str">
        <f>'quiz 2'!N110</f>
        <v/>
      </c>
      <c r="J111" s="57" t="str">
        <f>'Poster or Presentation'!N110</f>
        <v/>
      </c>
      <c r="K111" s="57" t="str">
        <f>'practical exam or OSCE'!N110</f>
        <v/>
      </c>
      <c r="L111" s="103" t="str">
        <f t="shared" si="12"/>
        <v/>
      </c>
      <c r="M111" s="103" t="str">
        <f>'Final exam'!N110</f>
        <v/>
      </c>
      <c r="N111" s="101" t="str">
        <f t="shared" si="9"/>
        <v/>
      </c>
      <c r="O111" s="123" t="str">
        <f t="shared" si="10"/>
        <v/>
      </c>
      <c r="P111" s="104" t="str">
        <f t="shared" si="11"/>
        <v/>
      </c>
    </row>
    <row r="112" spans="1:16" ht="20.25" hidden="1" customHeight="1" x14ac:dyDescent="0.25">
      <c r="A112" s="68">
        <v>101</v>
      </c>
      <c r="B112" s="49" t="str">
        <f>IF(StList!B103&lt;&gt;"",StList!B103,"")</f>
        <v>Pharmaceutical sciences</v>
      </c>
      <c r="C112" s="24" t="str">
        <f>IF(StList!E103&lt;&gt;"",StList!E103,"")</f>
        <v/>
      </c>
      <c r="D112" s="24" t="str">
        <f>IF(StList!F103&lt;&gt;"",StList!F103,"")</f>
        <v/>
      </c>
      <c r="E112" s="57" t="str">
        <f>'Mid1'!N111</f>
        <v/>
      </c>
      <c r="F112" s="57" t="str">
        <f>'Mid2'!N111</f>
        <v/>
      </c>
      <c r="G112" s="57" t="str">
        <f>'quiz 1'!N111</f>
        <v/>
      </c>
      <c r="H112" s="57" t="str">
        <f>'Assignment or Proposal'!N111</f>
        <v/>
      </c>
      <c r="I112" s="57" t="str">
        <f>'quiz 2'!N111</f>
        <v/>
      </c>
      <c r="J112" s="57" t="str">
        <f>'Poster or Presentation'!N111</f>
        <v/>
      </c>
      <c r="K112" s="57" t="str">
        <f>'practical exam or OSCE'!N111</f>
        <v/>
      </c>
      <c r="L112" s="103" t="str">
        <f t="shared" si="12"/>
        <v/>
      </c>
      <c r="M112" s="103" t="str">
        <f>'Final exam'!N111</f>
        <v/>
      </c>
      <c r="N112" s="101" t="str">
        <f t="shared" si="9"/>
        <v/>
      </c>
      <c r="O112" s="123" t="str">
        <f t="shared" si="10"/>
        <v/>
      </c>
      <c r="P112" s="104" t="str">
        <f t="shared" si="11"/>
        <v/>
      </c>
    </row>
    <row r="113" spans="1:16" ht="20.25" hidden="1" customHeight="1" x14ac:dyDescent="0.25">
      <c r="A113" s="68">
        <v>102</v>
      </c>
      <c r="B113" s="49" t="str">
        <f>IF(StList!B104&lt;&gt;"",StList!B104,"")</f>
        <v>Pharmaceutical sciences</v>
      </c>
      <c r="C113" s="24" t="str">
        <f>IF(StList!E104&lt;&gt;"",StList!E104,"")</f>
        <v/>
      </c>
      <c r="D113" s="24" t="str">
        <f>IF(StList!F104&lt;&gt;"",StList!F104,"")</f>
        <v/>
      </c>
      <c r="E113" s="57" t="str">
        <f>'Mid1'!N112</f>
        <v/>
      </c>
      <c r="F113" s="57" t="str">
        <f>'Mid2'!N112</f>
        <v/>
      </c>
      <c r="G113" s="57" t="str">
        <f>'quiz 1'!N112</f>
        <v/>
      </c>
      <c r="H113" s="57" t="str">
        <f>'Assignment or Proposal'!N112</f>
        <v/>
      </c>
      <c r="I113" s="57" t="str">
        <f>'quiz 2'!N112</f>
        <v/>
      </c>
      <c r="J113" s="57" t="str">
        <f>'Poster or Presentation'!N112</f>
        <v/>
      </c>
      <c r="K113" s="57" t="str">
        <f>'practical exam or OSCE'!N112</f>
        <v/>
      </c>
      <c r="L113" s="103" t="str">
        <f t="shared" si="12"/>
        <v/>
      </c>
      <c r="M113" s="103" t="str">
        <f>'Final exam'!N112</f>
        <v/>
      </c>
      <c r="N113" s="101" t="str">
        <f t="shared" si="9"/>
        <v/>
      </c>
      <c r="O113" s="123" t="str">
        <f t="shared" si="10"/>
        <v/>
      </c>
      <c r="P113" s="104" t="str">
        <f t="shared" si="11"/>
        <v/>
      </c>
    </row>
    <row r="114" spans="1:16" ht="20.25" hidden="1" customHeight="1" x14ac:dyDescent="0.25">
      <c r="A114" s="68">
        <v>103</v>
      </c>
      <c r="B114" s="49" t="str">
        <f>IF(StList!B105&lt;&gt;"",StList!B105,"")</f>
        <v>Pharmaceutical sciences</v>
      </c>
      <c r="C114" s="24" t="str">
        <f>IF(StList!E105&lt;&gt;"",StList!E105,"")</f>
        <v/>
      </c>
      <c r="D114" s="24" t="str">
        <f>IF(StList!F105&lt;&gt;"",StList!F105,"")</f>
        <v/>
      </c>
      <c r="E114" s="57" t="str">
        <f>'Mid1'!N113</f>
        <v/>
      </c>
      <c r="F114" s="57" t="str">
        <f>'Mid2'!N113</f>
        <v/>
      </c>
      <c r="G114" s="57" t="str">
        <f>'quiz 1'!N113</f>
        <v/>
      </c>
      <c r="H114" s="57" t="str">
        <f>'Assignment or Proposal'!N113</f>
        <v/>
      </c>
      <c r="I114" s="57" t="str">
        <f>'quiz 2'!N113</f>
        <v/>
      </c>
      <c r="J114" s="57" t="str">
        <f>'Poster or Presentation'!N113</f>
        <v/>
      </c>
      <c r="K114" s="57" t="str">
        <f>'practical exam or OSCE'!N113</f>
        <v/>
      </c>
      <c r="L114" s="103" t="str">
        <f t="shared" si="12"/>
        <v/>
      </c>
      <c r="M114" s="103" t="str">
        <f>'Final exam'!N113</f>
        <v/>
      </c>
      <c r="N114" s="101" t="str">
        <f t="shared" si="9"/>
        <v/>
      </c>
      <c r="O114" s="123" t="str">
        <f t="shared" si="10"/>
        <v/>
      </c>
      <c r="P114" s="104" t="str">
        <f t="shared" si="11"/>
        <v/>
      </c>
    </row>
    <row r="115" spans="1:16" ht="20.25" hidden="1" customHeight="1" x14ac:dyDescent="0.25">
      <c r="A115" s="68">
        <v>104</v>
      </c>
      <c r="B115" s="49" t="str">
        <f>IF(StList!B106&lt;&gt;"",StList!B106,"")</f>
        <v>Pharmaceutical sciences</v>
      </c>
      <c r="C115" s="24" t="str">
        <f>IF(StList!E106&lt;&gt;"",StList!E106,"")</f>
        <v/>
      </c>
      <c r="D115" s="24" t="str">
        <f>IF(StList!F106&lt;&gt;"",StList!F106,"")</f>
        <v/>
      </c>
      <c r="E115" s="57" t="str">
        <f>'Mid1'!N114</f>
        <v/>
      </c>
      <c r="F115" s="57" t="str">
        <f>'Mid2'!N114</f>
        <v/>
      </c>
      <c r="G115" s="57" t="str">
        <f>'quiz 1'!N114</f>
        <v/>
      </c>
      <c r="H115" s="57" t="str">
        <f>'Assignment or Proposal'!N114</f>
        <v/>
      </c>
      <c r="I115" s="57" t="str">
        <f>'quiz 2'!N114</f>
        <v/>
      </c>
      <c r="J115" s="57" t="str">
        <f>'Poster or Presentation'!N114</f>
        <v/>
      </c>
      <c r="K115" s="57" t="str">
        <f>'practical exam or OSCE'!N114</f>
        <v/>
      </c>
      <c r="L115" s="103" t="str">
        <f t="shared" si="12"/>
        <v/>
      </c>
      <c r="M115" s="103" t="str">
        <f>'Final exam'!N114</f>
        <v/>
      </c>
      <c r="N115" s="101" t="str">
        <f t="shared" si="9"/>
        <v/>
      </c>
      <c r="O115" s="123" t="str">
        <f t="shared" si="10"/>
        <v/>
      </c>
      <c r="P115" s="104" t="str">
        <f t="shared" si="11"/>
        <v/>
      </c>
    </row>
    <row r="116" spans="1:16" ht="20.25" hidden="1" customHeight="1" x14ac:dyDescent="0.25">
      <c r="A116" s="68">
        <v>105</v>
      </c>
      <c r="B116" s="49" t="str">
        <f>IF(StList!B107&lt;&gt;"",StList!B107,"")</f>
        <v>Pharmaceutical sciences</v>
      </c>
      <c r="C116" s="24" t="str">
        <f>IF(StList!E107&lt;&gt;"",StList!E107,"")</f>
        <v/>
      </c>
      <c r="D116" s="24" t="str">
        <f>IF(StList!F107&lt;&gt;"",StList!F107,"")</f>
        <v/>
      </c>
      <c r="E116" s="57" t="str">
        <f>'Mid1'!N115</f>
        <v/>
      </c>
      <c r="F116" s="57" t="str">
        <f>'Mid2'!N115</f>
        <v/>
      </c>
      <c r="G116" s="57" t="str">
        <f>'quiz 1'!N115</f>
        <v/>
      </c>
      <c r="H116" s="57" t="str">
        <f>'Assignment or Proposal'!N115</f>
        <v/>
      </c>
      <c r="I116" s="57" t="str">
        <f>'quiz 2'!N115</f>
        <v/>
      </c>
      <c r="J116" s="57" t="str">
        <f>'Poster or Presentation'!N115</f>
        <v/>
      </c>
      <c r="K116" s="57" t="str">
        <f>'practical exam or OSCE'!N115</f>
        <v/>
      </c>
      <c r="L116" s="103" t="str">
        <f t="shared" si="12"/>
        <v/>
      </c>
      <c r="M116" s="103" t="str">
        <f>'Final exam'!N115</f>
        <v/>
      </c>
      <c r="N116" s="101" t="str">
        <f t="shared" si="9"/>
        <v/>
      </c>
      <c r="O116" s="123" t="str">
        <f t="shared" si="10"/>
        <v/>
      </c>
      <c r="P116" s="104" t="str">
        <f t="shared" si="11"/>
        <v/>
      </c>
    </row>
    <row r="117" spans="1:16" ht="20.25" hidden="1" customHeight="1" x14ac:dyDescent="0.25">
      <c r="A117" s="68">
        <v>106</v>
      </c>
      <c r="B117" s="49" t="str">
        <f>IF(StList!B108&lt;&gt;"",StList!B108,"")</f>
        <v>Pharmaceutical sciences</v>
      </c>
      <c r="C117" s="24" t="str">
        <f>IF(StList!E108&lt;&gt;"",StList!E108,"")</f>
        <v/>
      </c>
      <c r="D117" s="24" t="str">
        <f>IF(StList!F108&lt;&gt;"",StList!F108,"")</f>
        <v/>
      </c>
      <c r="E117" s="57" t="str">
        <f>'Mid1'!N116</f>
        <v/>
      </c>
      <c r="F117" s="57" t="str">
        <f>'Mid2'!N116</f>
        <v/>
      </c>
      <c r="G117" s="57" t="str">
        <f>'quiz 1'!N116</f>
        <v/>
      </c>
      <c r="H117" s="57" t="str">
        <f>'Assignment or Proposal'!N116</f>
        <v/>
      </c>
      <c r="I117" s="57" t="str">
        <f>'quiz 2'!N116</f>
        <v/>
      </c>
      <c r="J117" s="57" t="str">
        <f>'Poster or Presentation'!N116</f>
        <v/>
      </c>
      <c r="K117" s="57" t="str">
        <f>'practical exam or OSCE'!N116</f>
        <v/>
      </c>
      <c r="L117" s="103" t="str">
        <f t="shared" si="12"/>
        <v/>
      </c>
      <c r="M117" s="103" t="str">
        <f>'Final exam'!N116</f>
        <v/>
      </c>
      <c r="N117" s="101" t="str">
        <f t="shared" si="9"/>
        <v/>
      </c>
      <c r="O117" s="123" t="str">
        <f t="shared" si="10"/>
        <v/>
      </c>
      <c r="P117" s="104" t="str">
        <f t="shared" si="11"/>
        <v/>
      </c>
    </row>
    <row r="118" spans="1:16" ht="20.25" hidden="1" customHeight="1" x14ac:dyDescent="0.25">
      <c r="A118" s="68">
        <v>107</v>
      </c>
      <c r="B118" s="49" t="str">
        <f>IF(StList!B109&lt;&gt;"",StList!B109,"")</f>
        <v>Pharmaceutical sciences</v>
      </c>
      <c r="C118" s="24" t="str">
        <f>IF(StList!E109&lt;&gt;"",StList!E109,"")</f>
        <v/>
      </c>
      <c r="D118" s="24" t="str">
        <f>IF(StList!F109&lt;&gt;"",StList!F109,"")</f>
        <v/>
      </c>
      <c r="E118" s="57" t="str">
        <f>'Mid1'!N117</f>
        <v/>
      </c>
      <c r="F118" s="57" t="str">
        <f>'Mid2'!N117</f>
        <v/>
      </c>
      <c r="G118" s="57" t="str">
        <f>'quiz 1'!N117</f>
        <v/>
      </c>
      <c r="H118" s="57" t="str">
        <f>'Assignment or Proposal'!N117</f>
        <v/>
      </c>
      <c r="I118" s="57" t="str">
        <f>'quiz 2'!N117</f>
        <v/>
      </c>
      <c r="J118" s="57" t="str">
        <f>'Poster or Presentation'!N117</f>
        <v/>
      </c>
      <c r="K118" s="57" t="str">
        <f>'practical exam or OSCE'!N117</f>
        <v/>
      </c>
      <c r="L118" s="103" t="str">
        <f t="shared" si="12"/>
        <v/>
      </c>
      <c r="M118" s="103" t="str">
        <f>'Final exam'!N117</f>
        <v/>
      </c>
      <c r="N118" s="101" t="str">
        <f t="shared" si="9"/>
        <v/>
      </c>
      <c r="O118" s="123" t="str">
        <f t="shared" si="10"/>
        <v/>
      </c>
      <c r="P118" s="104" t="str">
        <f t="shared" si="11"/>
        <v/>
      </c>
    </row>
    <row r="119" spans="1:16" ht="20.25" hidden="1" customHeight="1" x14ac:dyDescent="0.25">
      <c r="A119" s="68">
        <v>108</v>
      </c>
      <c r="B119" s="49" t="str">
        <f>IF(StList!B110&lt;&gt;"",StList!B110,"")</f>
        <v>Pharmaceutical sciences</v>
      </c>
      <c r="C119" s="24" t="str">
        <f>IF(StList!E110&lt;&gt;"",StList!E110,"")</f>
        <v/>
      </c>
      <c r="D119" s="24" t="str">
        <f>IF(StList!F110&lt;&gt;"",StList!F110,"")</f>
        <v/>
      </c>
      <c r="E119" s="57" t="str">
        <f>'Mid1'!N118</f>
        <v/>
      </c>
      <c r="F119" s="57" t="str">
        <f>'Mid2'!N118</f>
        <v/>
      </c>
      <c r="G119" s="57" t="str">
        <f>'quiz 1'!N118</f>
        <v/>
      </c>
      <c r="H119" s="57" t="str">
        <f>'Assignment or Proposal'!N118</f>
        <v/>
      </c>
      <c r="I119" s="57" t="str">
        <f>'quiz 2'!N118</f>
        <v/>
      </c>
      <c r="J119" s="57" t="str">
        <f>'Poster or Presentation'!N118</f>
        <v/>
      </c>
      <c r="K119" s="57" t="str">
        <f>'practical exam or OSCE'!N118</f>
        <v/>
      </c>
      <c r="L119" s="103" t="str">
        <f t="shared" si="12"/>
        <v/>
      </c>
      <c r="M119" s="103" t="str">
        <f>'Final exam'!N118</f>
        <v/>
      </c>
      <c r="N119" s="101" t="str">
        <f t="shared" si="9"/>
        <v/>
      </c>
      <c r="O119" s="123" t="str">
        <f t="shared" si="10"/>
        <v/>
      </c>
      <c r="P119" s="104" t="str">
        <f t="shared" si="11"/>
        <v/>
      </c>
    </row>
    <row r="120" spans="1:16" ht="20.25" hidden="1" customHeight="1" x14ac:dyDescent="0.25">
      <c r="A120" s="68">
        <v>109</v>
      </c>
      <c r="B120" s="49" t="str">
        <f>IF(StList!B111&lt;&gt;"",StList!B111,"")</f>
        <v>Pharmaceutical sciences</v>
      </c>
      <c r="C120" s="24" t="str">
        <f>IF(StList!E111&lt;&gt;"",StList!E111,"")</f>
        <v/>
      </c>
      <c r="D120" s="24" t="str">
        <f>IF(StList!F111&lt;&gt;"",StList!F111,"")</f>
        <v/>
      </c>
      <c r="E120" s="57" t="str">
        <f>'Mid1'!N119</f>
        <v/>
      </c>
      <c r="F120" s="57" t="str">
        <f>'Mid2'!N119</f>
        <v/>
      </c>
      <c r="G120" s="57" t="str">
        <f>'quiz 1'!N119</f>
        <v/>
      </c>
      <c r="H120" s="57" t="str">
        <f>'Assignment or Proposal'!N119</f>
        <v/>
      </c>
      <c r="I120" s="57" t="str">
        <f>'quiz 2'!N119</f>
        <v/>
      </c>
      <c r="J120" s="57" t="str">
        <f>'Poster or Presentation'!N119</f>
        <v/>
      </c>
      <c r="K120" s="57" t="str">
        <f>'practical exam or OSCE'!N119</f>
        <v/>
      </c>
      <c r="L120" s="103" t="str">
        <f t="shared" si="12"/>
        <v/>
      </c>
      <c r="M120" s="103" t="str">
        <f>'Final exam'!N119</f>
        <v/>
      </c>
      <c r="N120" s="101" t="str">
        <f t="shared" si="9"/>
        <v/>
      </c>
      <c r="O120" s="123" t="str">
        <f t="shared" si="10"/>
        <v/>
      </c>
      <c r="P120" s="104" t="str">
        <f t="shared" si="11"/>
        <v/>
      </c>
    </row>
    <row r="121" spans="1:16" ht="20.25" hidden="1" customHeight="1" x14ac:dyDescent="0.25">
      <c r="A121" s="68">
        <v>110</v>
      </c>
      <c r="B121" s="49" t="str">
        <f>IF(StList!B112&lt;&gt;"",StList!B112,"")</f>
        <v>Pharmaceutical sciences</v>
      </c>
      <c r="C121" s="24" t="str">
        <f>IF(StList!E112&lt;&gt;"",StList!E112,"")</f>
        <v/>
      </c>
      <c r="D121" s="24" t="str">
        <f>IF(StList!F112&lt;&gt;"",StList!F112,"")</f>
        <v/>
      </c>
      <c r="E121" s="57" t="str">
        <f>'Mid1'!N120</f>
        <v/>
      </c>
      <c r="F121" s="57" t="str">
        <f>'Mid2'!N120</f>
        <v/>
      </c>
      <c r="G121" s="57" t="str">
        <f>'quiz 1'!N120</f>
        <v/>
      </c>
      <c r="H121" s="57" t="str">
        <f>'Assignment or Proposal'!N120</f>
        <v/>
      </c>
      <c r="I121" s="57" t="str">
        <f>'quiz 2'!N120</f>
        <v/>
      </c>
      <c r="J121" s="57" t="str">
        <f>'Poster or Presentation'!N120</f>
        <v/>
      </c>
      <c r="K121" s="57" t="str">
        <f>'practical exam or OSCE'!N120</f>
        <v/>
      </c>
      <c r="L121" s="103" t="str">
        <f t="shared" si="12"/>
        <v/>
      </c>
      <c r="M121" s="103" t="str">
        <f>'Final exam'!N120</f>
        <v/>
      </c>
      <c r="N121" s="101" t="str">
        <f t="shared" si="9"/>
        <v/>
      </c>
      <c r="O121" s="123" t="str">
        <f t="shared" si="10"/>
        <v/>
      </c>
      <c r="P121" s="104" t="str">
        <f t="shared" si="11"/>
        <v/>
      </c>
    </row>
    <row r="122" spans="1:16" ht="20.25" hidden="1" customHeight="1" x14ac:dyDescent="0.25">
      <c r="A122" s="174"/>
      <c r="N122" s="101" t="str">
        <f t="shared" si="9"/>
        <v/>
      </c>
      <c r="O122" s="123" t="str">
        <f t="shared" si="10"/>
        <v/>
      </c>
      <c r="P122" s="104" t="str">
        <f t="shared" si="11"/>
        <v/>
      </c>
    </row>
    <row r="123" spans="1:16" ht="20.25" customHeight="1" x14ac:dyDescent="0.25">
      <c r="A123" s="174"/>
      <c r="P123" s="175"/>
    </row>
    <row r="124" spans="1:16" s="1" customFormat="1" ht="26.25" hidden="1" customHeight="1" x14ac:dyDescent="0.25">
      <c r="A124" s="442" t="s">
        <v>84</v>
      </c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  <c r="L124" s="443"/>
      <c r="M124" s="443"/>
      <c r="N124" s="443"/>
      <c r="O124" s="443"/>
      <c r="P124" s="444"/>
    </row>
    <row r="125" spans="1:16" s="1" customFormat="1" ht="26.25" hidden="1" customHeight="1" x14ac:dyDescent="0.25">
      <c r="A125" s="92">
        <v>1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59"/>
      <c r="O125" s="259"/>
      <c r="P125" s="260"/>
    </row>
    <row r="126" spans="1:16" s="1" customFormat="1" ht="26.25" hidden="1" customHeight="1" x14ac:dyDescent="0.25">
      <c r="A126" s="92">
        <v>2</v>
      </c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259"/>
      <c r="O126" s="259"/>
      <c r="P126" s="260"/>
    </row>
    <row r="127" spans="1:16" s="1" customFormat="1" ht="26.25" hidden="1" customHeight="1" x14ac:dyDescent="0.25">
      <c r="A127" s="92">
        <v>3</v>
      </c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60"/>
    </row>
    <row r="128" spans="1:16" s="1" customFormat="1" ht="26.25" hidden="1" customHeight="1" x14ac:dyDescent="0.25">
      <c r="A128" s="92">
        <v>4</v>
      </c>
      <c r="B128" s="259"/>
      <c r="C128" s="259"/>
      <c r="D128" s="259"/>
      <c r="E128" s="259"/>
      <c r="F128" s="259"/>
      <c r="G128" s="259"/>
      <c r="H128" s="259"/>
      <c r="I128" s="259"/>
      <c r="J128" s="259"/>
      <c r="K128" s="259"/>
      <c r="L128" s="259"/>
      <c r="M128" s="259"/>
      <c r="N128" s="259"/>
      <c r="O128" s="259"/>
      <c r="P128" s="260"/>
    </row>
    <row r="129" spans="1:19" s="1" customFormat="1" ht="26.25" hidden="1" customHeight="1" x14ac:dyDescent="0.25">
      <c r="A129" s="442" t="s">
        <v>100</v>
      </c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  <c r="L129" s="443"/>
      <c r="M129" s="443"/>
      <c r="N129" s="443"/>
      <c r="O129" s="443"/>
      <c r="P129" s="444"/>
    </row>
    <row r="130" spans="1:19" s="1" customFormat="1" ht="26.25" hidden="1" customHeight="1" x14ac:dyDescent="0.25">
      <c r="A130" s="92">
        <v>1</v>
      </c>
      <c r="B130" s="259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259"/>
      <c r="O130" s="259"/>
      <c r="P130" s="260"/>
    </row>
    <row r="131" spans="1:19" s="1" customFormat="1" ht="26.25" hidden="1" customHeight="1" x14ac:dyDescent="0.25">
      <c r="A131" s="92">
        <v>2</v>
      </c>
      <c r="B131" s="259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259"/>
      <c r="O131" s="259"/>
      <c r="P131" s="260"/>
    </row>
    <row r="132" spans="1:19" s="1" customFormat="1" ht="26.25" hidden="1" customHeight="1" x14ac:dyDescent="0.25">
      <c r="A132" s="92">
        <v>3</v>
      </c>
      <c r="B132" s="259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60"/>
    </row>
    <row r="133" spans="1:19" s="1" customFormat="1" ht="26.25" hidden="1" customHeight="1" x14ac:dyDescent="0.25">
      <c r="A133" s="92">
        <v>4</v>
      </c>
      <c r="B133" s="259"/>
      <c r="C133" s="259"/>
      <c r="D133" s="259"/>
      <c r="E133" s="259"/>
      <c r="F133" s="259"/>
      <c r="G133" s="259"/>
      <c r="H133" s="259"/>
      <c r="I133" s="259"/>
      <c r="J133" s="259"/>
      <c r="K133" s="259"/>
      <c r="L133" s="259"/>
      <c r="M133" s="259"/>
      <c r="N133" s="259"/>
      <c r="O133" s="259"/>
      <c r="P133" s="260"/>
    </row>
    <row r="134" spans="1:19" s="1" customFormat="1" ht="26.25" hidden="1" customHeight="1" x14ac:dyDescent="0.25">
      <c r="A134" s="176"/>
      <c r="P134" s="177"/>
    </row>
    <row r="135" spans="1:19" s="1" customFormat="1" ht="34.5" customHeight="1" x14ac:dyDescent="0.25">
      <c r="A135" s="445" t="s">
        <v>133</v>
      </c>
      <c r="B135" s="274"/>
      <c r="C135" s="274"/>
      <c r="D135" s="274"/>
      <c r="E135" s="274"/>
      <c r="F135" s="274"/>
      <c r="G135" s="274" t="s">
        <v>114</v>
      </c>
      <c r="H135" s="274"/>
      <c r="I135" s="274" t="s">
        <v>134</v>
      </c>
      <c r="J135" s="274"/>
      <c r="K135" s="274"/>
      <c r="L135" s="274"/>
      <c r="M135" s="274"/>
      <c r="N135" s="274"/>
      <c r="O135" s="274"/>
      <c r="P135" s="446"/>
      <c r="Q135" s="152"/>
      <c r="R135" s="152"/>
      <c r="S135" s="151"/>
    </row>
    <row r="136" spans="1:19" ht="44.25" customHeight="1" x14ac:dyDescent="0.25">
      <c r="A136" s="448" t="s">
        <v>8</v>
      </c>
      <c r="B136" s="275"/>
      <c r="C136" s="275" t="str">
        <f>Config!B2</f>
        <v>Dr Md Tanwir Athar</v>
      </c>
      <c r="D136" s="275"/>
      <c r="E136" s="275"/>
      <c r="F136" s="275"/>
      <c r="G136" s="276"/>
      <c r="H136" s="449"/>
      <c r="I136" s="259" t="s">
        <v>91</v>
      </c>
      <c r="J136" s="259"/>
      <c r="K136" s="259"/>
      <c r="L136" s="259"/>
      <c r="M136" s="259"/>
      <c r="N136" s="259"/>
      <c r="O136" s="259"/>
      <c r="P136" s="260"/>
      <c r="Q136" s="19"/>
      <c r="R136" s="19"/>
    </row>
    <row r="137" spans="1:19" ht="44.25" customHeight="1" thickBot="1" x14ac:dyDescent="0.3">
      <c r="A137" s="447" t="s">
        <v>86</v>
      </c>
      <c r="B137" s="270"/>
      <c r="C137" s="270"/>
      <c r="D137" s="270"/>
      <c r="E137" s="270"/>
      <c r="F137" s="270"/>
      <c r="G137" s="450"/>
      <c r="H137" s="451"/>
      <c r="I137" s="270" t="s">
        <v>86</v>
      </c>
      <c r="J137" s="270"/>
      <c r="K137" s="270"/>
      <c r="L137" s="270"/>
      <c r="M137" s="270"/>
      <c r="N137" s="270"/>
      <c r="O137" s="270"/>
      <c r="P137" s="271"/>
      <c r="Q137" s="19"/>
      <c r="R137" s="19"/>
    </row>
  </sheetData>
  <sheetProtection sheet="1" objects="1" scenarios="1"/>
  <mergeCells count="35">
    <mergeCell ref="K136:P136"/>
    <mergeCell ref="K137:P137"/>
    <mergeCell ref="A137:B137"/>
    <mergeCell ref="C137:F137"/>
    <mergeCell ref="B133:P133"/>
    <mergeCell ref="A136:B136"/>
    <mergeCell ref="C136:F136"/>
    <mergeCell ref="I136:J136"/>
    <mergeCell ref="I137:J137"/>
    <mergeCell ref="G136:H137"/>
    <mergeCell ref="A129:P129"/>
    <mergeCell ref="B130:P130"/>
    <mergeCell ref="B131:P131"/>
    <mergeCell ref="B132:P132"/>
    <mergeCell ref="A135:F135"/>
    <mergeCell ref="G135:H135"/>
    <mergeCell ref="I135:P135"/>
    <mergeCell ref="A124:P124"/>
    <mergeCell ref="B125:P125"/>
    <mergeCell ref="B126:P126"/>
    <mergeCell ref="B127:P127"/>
    <mergeCell ref="B128:P128"/>
    <mergeCell ref="A10:P10"/>
    <mergeCell ref="A8:P8"/>
    <mergeCell ref="A9:B9"/>
    <mergeCell ref="J1:K1"/>
    <mergeCell ref="L1:P1"/>
    <mergeCell ref="F1:H1"/>
    <mergeCell ref="A2:P2"/>
    <mergeCell ref="A3:D3"/>
    <mergeCell ref="A4:D4"/>
    <mergeCell ref="A5:D5"/>
    <mergeCell ref="A6:D6"/>
    <mergeCell ref="A7:D7"/>
    <mergeCell ref="N9:O9"/>
  </mergeCells>
  <conditionalFormatting sqref="N12:N122">
    <cfRule type="cellIs" dxfId="5" priority="6" operator="between">
      <formula>0.01</formula>
      <formula>59.9</formula>
    </cfRule>
  </conditionalFormatting>
  <conditionalFormatting sqref="O12:O122">
    <cfRule type="cellIs" dxfId="4" priority="4" operator="equal">
      <formula>1</formula>
    </cfRule>
  </conditionalFormatting>
  <conditionalFormatting sqref="P12:P122">
    <cfRule type="cellIs" dxfId="3" priority="3" operator="equal">
      <formula>"F"</formula>
    </cfRule>
  </conditionalFormatting>
  <conditionalFormatting sqref="A1:P10 A12:P121">
    <cfRule type="containsBlanks" dxfId="2" priority="2">
      <formula>LEN(TRIM(A1))=0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409575</xdr:colOff>
                    <xdr:row>0</xdr:row>
                    <xdr:rowOff>76200</xdr:rowOff>
                  </from>
                  <to>
                    <xdr:col>16</xdr:col>
                    <xdr:colOff>2000250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pageSetUpPr fitToPage="1"/>
  </sheetPr>
  <dimension ref="A1:Q52"/>
  <sheetViews>
    <sheetView showGridLines="0" workbookViewId="0">
      <selection activeCell="AA16" sqref="AA16"/>
    </sheetView>
  </sheetViews>
  <sheetFormatPr defaultColWidth="9.140625" defaultRowHeight="29.25" customHeight="1" x14ac:dyDescent="0.25"/>
  <cols>
    <col min="1" max="1" width="3.42578125" style="161" customWidth="1"/>
    <col min="2" max="3" width="7.85546875" style="161" customWidth="1"/>
    <col min="4" max="4" width="9.28515625" style="161" customWidth="1"/>
    <col min="5" max="13" width="8.140625" style="161" customWidth="1"/>
    <col min="14" max="16" width="7.42578125" style="161" customWidth="1"/>
    <col min="17" max="17" width="2.85546875" style="161" customWidth="1"/>
    <col min="18" max="16384" width="9.140625" style="161"/>
  </cols>
  <sheetData>
    <row r="1" spans="1:17" ht="18.75" customHeight="1" x14ac:dyDescent="0.25">
      <c r="A1" s="452" t="s">
        <v>58</v>
      </c>
      <c r="B1" s="453"/>
      <c r="C1" s="453"/>
      <c r="D1" s="334" t="str">
        <f>Config!B1</f>
        <v>pharmacy</v>
      </c>
      <c r="E1" s="334"/>
      <c r="F1" s="334"/>
      <c r="G1" s="334"/>
      <c r="H1" s="334"/>
      <c r="I1" s="462"/>
      <c r="J1" s="29"/>
      <c r="K1" s="29"/>
      <c r="L1" s="29"/>
      <c r="M1" s="29"/>
      <c r="N1" s="458" t="s">
        <v>59</v>
      </c>
      <c r="O1" s="458"/>
      <c r="P1" s="458"/>
      <c r="Q1" s="459"/>
    </row>
    <row r="2" spans="1:17" ht="18.75" customHeight="1" x14ac:dyDescent="0.25">
      <c r="A2" s="454" t="s">
        <v>60</v>
      </c>
      <c r="B2" s="455"/>
      <c r="C2" s="455"/>
      <c r="D2" s="339" t="str">
        <f>Config!B2</f>
        <v>Dr Md Tanwir Athar</v>
      </c>
      <c r="E2" s="339"/>
      <c r="F2" s="339"/>
      <c r="G2" s="339"/>
      <c r="H2" s="339"/>
      <c r="I2" s="463"/>
      <c r="J2" s="31"/>
      <c r="K2" s="31"/>
      <c r="L2" s="31"/>
      <c r="M2" s="31"/>
      <c r="N2" s="460" t="s">
        <v>61</v>
      </c>
      <c r="O2" s="460"/>
      <c r="P2" s="460"/>
      <c r="Q2" s="461"/>
    </row>
    <row r="3" spans="1:17" ht="18.75" customHeight="1" x14ac:dyDescent="0.25">
      <c r="A3" s="454" t="s">
        <v>37</v>
      </c>
      <c r="B3" s="455"/>
      <c r="C3" s="455"/>
      <c r="D3" s="188">
        <f>Config!B3</f>
        <v>462</v>
      </c>
      <c r="E3" s="352">
        <f>Config!C3</f>
        <v>1445</v>
      </c>
      <c r="F3" s="352"/>
      <c r="G3" s="352">
        <f>Config!E3</f>
        <v>1446</v>
      </c>
      <c r="H3" s="352"/>
      <c r="I3" s="464"/>
      <c r="J3" s="31"/>
      <c r="K3" s="31"/>
      <c r="L3" s="31"/>
      <c r="M3" s="31"/>
      <c r="N3" s="460" t="s">
        <v>62</v>
      </c>
      <c r="O3" s="460"/>
      <c r="P3" s="460"/>
      <c r="Q3" s="461"/>
    </row>
    <row r="4" spans="1:17" ht="18.75" customHeight="1" thickBot="1" x14ac:dyDescent="0.3">
      <c r="A4" s="456" t="s">
        <v>0</v>
      </c>
      <c r="B4" s="457"/>
      <c r="C4" s="457"/>
      <c r="D4" s="465" t="str">
        <f>Config!B4&amp;" / "&amp;Config!A10</f>
        <v>Pharmacognosy-I / PHG301</v>
      </c>
      <c r="E4" s="465"/>
      <c r="F4" s="465"/>
      <c r="G4" s="465"/>
      <c r="H4" s="465"/>
      <c r="I4" s="466"/>
      <c r="J4" s="181"/>
      <c r="K4" s="167"/>
      <c r="M4" s="32"/>
      <c r="N4" s="343" t="str">
        <f>Config!L4</f>
        <v>كلية طب الاسنان والصيدلة</v>
      </c>
      <c r="O4" s="343"/>
      <c r="P4" s="343"/>
      <c r="Q4" s="343"/>
    </row>
    <row r="5" spans="1:17" ht="18.75" customHeight="1" thickBot="1" x14ac:dyDescent="0.3">
      <c r="A5" s="476" t="s">
        <v>5</v>
      </c>
      <c r="B5" s="477"/>
      <c r="C5" s="477"/>
      <c r="D5" s="478">
        <f>Config!D10</f>
        <v>0</v>
      </c>
      <c r="E5" s="478"/>
      <c r="F5" s="478"/>
      <c r="G5" s="478"/>
      <c r="H5" s="478"/>
      <c r="I5" s="479"/>
      <c r="J5" s="480" t="s">
        <v>194</v>
      </c>
      <c r="K5" s="481"/>
      <c r="L5" s="481"/>
      <c r="M5" s="481"/>
      <c r="N5" s="481"/>
      <c r="O5" s="481"/>
      <c r="P5" s="481"/>
      <c r="Q5" s="482"/>
    </row>
    <row r="6" spans="1:17" ht="10.5" customHeight="1" x14ac:dyDescent="0.25">
      <c r="A6" s="168"/>
      <c r="B6" s="31"/>
      <c r="C6" s="31"/>
      <c r="D6" s="169"/>
      <c r="E6" s="169"/>
      <c r="F6" s="169"/>
      <c r="G6" s="169"/>
      <c r="H6" s="169"/>
      <c r="I6" s="171"/>
      <c r="J6" s="171"/>
      <c r="K6" s="167"/>
      <c r="L6" s="31"/>
      <c r="M6" s="31"/>
      <c r="N6" s="31"/>
      <c r="O6" s="31"/>
      <c r="P6" s="31"/>
      <c r="Q6" s="189"/>
    </row>
    <row r="7" spans="1:17" ht="16.5" customHeight="1" x14ac:dyDescent="0.25">
      <c r="A7" s="162"/>
      <c r="B7" s="475" t="s">
        <v>171</v>
      </c>
      <c r="C7" s="475"/>
      <c r="D7" s="475"/>
      <c r="E7" s="475"/>
      <c r="F7" s="475"/>
      <c r="G7" s="475"/>
      <c r="H7" s="475"/>
      <c r="I7" s="475"/>
      <c r="J7" s="475" t="s">
        <v>169</v>
      </c>
      <c r="K7" s="475"/>
      <c r="L7" s="475"/>
      <c r="M7" s="475"/>
      <c r="N7" s="475" t="s">
        <v>170</v>
      </c>
      <c r="O7" s="475"/>
      <c r="P7" s="475"/>
      <c r="Q7" s="163"/>
    </row>
    <row r="8" spans="1:17" ht="16.5" customHeight="1" x14ac:dyDescent="0.25">
      <c r="A8" s="162"/>
      <c r="B8" s="483" t="s">
        <v>211</v>
      </c>
      <c r="C8" s="483"/>
      <c r="D8" s="483"/>
      <c r="E8" s="483"/>
      <c r="F8" s="483"/>
      <c r="G8" s="483"/>
      <c r="H8" s="483"/>
      <c r="I8" s="483"/>
      <c r="J8" s="467">
        <f>StList!I2</f>
        <v>9</v>
      </c>
      <c r="K8" s="468"/>
      <c r="L8" s="468"/>
      <c r="M8" s="469"/>
      <c r="N8" s="472"/>
      <c r="O8" s="473"/>
      <c r="P8" s="474"/>
      <c r="Q8" s="163"/>
    </row>
    <row r="9" spans="1:17" ht="16.5" customHeight="1" x14ac:dyDescent="0.25">
      <c r="A9" s="162"/>
      <c r="B9" s="483" t="s">
        <v>212</v>
      </c>
      <c r="C9" s="483"/>
      <c r="D9" s="483"/>
      <c r="E9" s="483"/>
      <c r="F9" s="483"/>
      <c r="G9" s="483"/>
      <c r="H9" s="483"/>
      <c r="I9" s="483"/>
      <c r="J9" s="467">
        <v>0</v>
      </c>
      <c r="K9" s="468"/>
      <c r="L9" s="468"/>
      <c r="M9" s="469"/>
      <c r="N9" s="472">
        <f>J9/J8</f>
        <v>0</v>
      </c>
      <c r="O9" s="473"/>
      <c r="P9" s="474"/>
      <c r="Q9" s="163"/>
    </row>
    <row r="10" spans="1:17" ht="16.5" customHeight="1" x14ac:dyDescent="0.25">
      <c r="A10" s="162"/>
      <c r="B10" s="483" t="s">
        <v>249</v>
      </c>
      <c r="C10" s="483"/>
      <c r="D10" s="483"/>
      <c r="E10" s="483"/>
      <c r="F10" s="483"/>
      <c r="G10" s="483"/>
      <c r="H10" s="483"/>
      <c r="I10" s="483"/>
      <c r="J10" s="467">
        <v>0</v>
      </c>
      <c r="K10" s="468"/>
      <c r="L10" s="468"/>
      <c r="M10" s="469"/>
      <c r="N10" s="472">
        <f>J10/J8</f>
        <v>0</v>
      </c>
      <c r="O10" s="473"/>
      <c r="P10" s="474"/>
      <c r="Q10" s="163"/>
    </row>
    <row r="11" spans="1:17" ht="16.5" customHeight="1" x14ac:dyDescent="0.25">
      <c r="A11" s="162"/>
      <c r="B11" s="483" t="s">
        <v>213</v>
      </c>
      <c r="C11" s="483"/>
      <c r="D11" s="483"/>
      <c r="E11" s="483"/>
      <c r="F11" s="483"/>
      <c r="G11" s="483"/>
      <c r="H11" s="483"/>
      <c r="I11" s="483"/>
      <c r="J11" s="467">
        <v>0</v>
      </c>
      <c r="K11" s="468"/>
      <c r="L11" s="468"/>
      <c r="M11" s="469"/>
      <c r="N11" s="472">
        <f>J11/J8</f>
        <v>0</v>
      </c>
      <c r="O11" s="473"/>
      <c r="P11" s="474"/>
      <c r="Q11" s="163"/>
    </row>
    <row r="12" spans="1:17" ht="16.5" customHeight="1" x14ac:dyDescent="0.25">
      <c r="A12" s="162"/>
      <c r="B12" s="483" t="s">
        <v>214</v>
      </c>
      <c r="C12" s="483"/>
      <c r="D12" s="483"/>
      <c r="E12" s="483"/>
      <c r="F12" s="483"/>
      <c r="G12" s="483"/>
      <c r="H12" s="483"/>
      <c r="I12" s="483"/>
      <c r="J12" s="467">
        <f>SUM(J9:M11)</f>
        <v>0</v>
      </c>
      <c r="K12" s="470"/>
      <c r="L12" s="470"/>
      <c r="M12" s="471"/>
      <c r="N12" s="472">
        <f>J12/$J$8</f>
        <v>0</v>
      </c>
      <c r="O12" s="473"/>
      <c r="P12" s="474"/>
      <c r="Q12" s="163"/>
    </row>
    <row r="13" spans="1:17" ht="12.75" customHeight="1" x14ac:dyDescent="0.25">
      <c r="A13" s="162"/>
      <c r="Q13" s="163"/>
    </row>
    <row r="14" spans="1:17" ht="15.75" customHeight="1" x14ac:dyDescent="0.25">
      <c r="A14" s="162"/>
      <c r="B14" s="475" t="s">
        <v>168</v>
      </c>
      <c r="C14" s="475"/>
      <c r="D14" s="475"/>
      <c r="E14" s="475"/>
      <c r="F14" s="484" t="s">
        <v>75</v>
      </c>
      <c r="G14" s="485"/>
      <c r="H14" s="485"/>
      <c r="I14" s="486"/>
      <c r="J14" s="484" t="s">
        <v>169</v>
      </c>
      <c r="K14" s="485"/>
      <c r="L14" s="485"/>
      <c r="M14" s="486"/>
      <c r="N14" s="484" t="s">
        <v>170</v>
      </c>
      <c r="O14" s="485"/>
      <c r="P14" s="486"/>
      <c r="Q14" s="163"/>
    </row>
    <row r="15" spans="1:17" ht="15.75" customHeight="1" x14ac:dyDescent="0.25">
      <c r="A15" s="162"/>
      <c r="B15" s="475" t="s">
        <v>10</v>
      </c>
      <c r="C15" s="475"/>
      <c r="D15" s="475" t="s">
        <v>9</v>
      </c>
      <c r="E15" s="475"/>
      <c r="F15" s="487"/>
      <c r="G15" s="488"/>
      <c r="H15" s="488"/>
      <c r="I15" s="489"/>
      <c r="J15" s="487"/>
      <c r="K15" s="488"/>
      <c r="L15" s="488"/>
      <c r="M15" s="489"/>
      <c r="N15" s="487"/>
      <c r="O15" s="488"/>
      <c r="P15" s="489"/>
      <c r="Q15" s="163"/>
    </row>
    <row r="16" spans="1:17" ht="16.5" customHeight="1" x14ac:dyDescent="0.25">
      <c r="A16" s="162"/>
      <c r="B16" s="483">
        <v>0</v>
      </c>
      <c r="C16" s="483"/>
      <c r="D16" s="483">
        <v>59</v>
      </c>
      <c r="E16" s="483"/>
      <c r="F16" s="467" t="s">
        <v>172</v>
      </c>
      <c r="G16" s="469"/>
      <c r="H16" s="483" t="s">
        <v>173</v>
      </c>
      <c r="I16" s="483"/>
      <c r="J16" s="467">
        <f>COUNTIF(DetMarks!$P$12:$P$121,"="&amp;F16)</f>
        <v>0</v>
      </c>
      <c r="K16" s="468"/>
      <c r="L16" s="468"/>
      <c r="M16" s="469"/>
      <c r="N16" s="472">
        <f>J16/$J$27</f>
        <v>0</v>
      </c>
      <c r="O16" s="473"/>
      <c r="P16" s="474"/>
      <c r="Q16" s="163"/>
    </row>
    <row r="17" spans="1:17" ht="16.5" customHeight="1" x14ac:dyDescent="0.25">
      <c r="A17" s="162"/>
      <c r="B17" s="483">
        <v>60</v>
      </c>
      <c r="C17" s="483"/>
      <c r="D17" s="483">
        <v>64</v>
      </c>
      <c r="E17" s="483"/>
      <c r="F17" s="467" t="s">
        <v>174</v>
      </c>
      <c r="G17" s="469"/>
      <c r="H17" s="467" t="s">
        <v>182</v>
      </c>
      <c r="I17" s="469"/>
      <c r="J17" s="467">
        <f>COUNTIF(DetMarks!$P$12:$P$121,"="&amp;F17)</f>
        <v>1</v>
      </c>
      <c r="K17" s="468"/>
      <c r="L17" s="468"/>
      <c r="M17" s="469"/>
      <c r="N17" s="472">
        <f t="shared" ref="N17:N27" si="0">J17/$J$27</f>
        <v>0.1111111111111111</v>
      </c>
      <c r="O17" s="473"/>
      <c r="P17" s="474"/>
      <c r="Q17" s="163"/>
    </row>
    <row r="18" spans="1:17" ht="16.5" customHeight="1" x14ac:dyDescent="0.25">
      <c r="A18" s="162"/>
      <c r="B18" s="483">
        <v>65</v>
      </c>
      <c r="C18" s="483"/>
      <c r="D18" s="483">
        <v>69</v>
      </c>
      <c r="E18" s="483"/>
      <c r="F18" s="467" t="s">
        <v>175</v>
      </c>
      <c r="G18" s="469"/>
      <c r="H18" s="467" t="s">
        <v>183</v>
      </c>
      <c r="I18" s="469"/>
      <c r="J18" s="467">
        <f>COUNTIF(DetMarks!$P$12:$P$121,"="&amp;F18)</f>
        <v>0</v>
      </c>
      <c r="K18" s="468"/>
      <c r="L18" s="468"/>
      <c r="M18" s="469"/>
      <c r="N18" s="472">
        <f t="shared" si="0"/>
        <v>0</v>
      </c>
      <c r="O18" s="473"/>
      <c r="P18" s="474"/>
      <c r="Q18" s="163"/>
    </row>
    <row r="19" spans="1:17" ht="16.5" customHeight="1" x14ac:dyDescent="0.25">
      <c r="A19" s="162"/>
      <c r="B19" s="483">
        <v>70</v>
      </c>
      <c r="C19" s="483"/>
      <c r="D19" s="483">
        <v>74</v>
      </c>
      <c r="E19" s="483"/>
      <c r="F19" s="467" t="s">
        <v>176</v>
      </c>
      <c r="G19" s="469"/>
      <c r="H19" s="467" t="s">
        <v>184</v>
      </c>
      <c r="I19" s="469"/>
      <c r="J19" s="467">
        <f>COUNTIF(DetMarks!$P$12:$P$121,"="&amp;F19)</f>
        <v>1</v>
      </c>
      <c r="K19" s="468"/>
      <c r="L19" s="468"/>
      <c r="M19" s="469"/>
      <c r="N19" s="472">
        <f t="shared" si="0"/>
        <v>0.1111111111111111</v>
      </c>
      <c r="O19" s="473"/>
      <c r="P19" s="474"/>
      <c r="Q19" s="163"/>
    </row>
    <row r="20" spans="1:17" ht="16.5" customHeight="1" x14ac:dyDescent="0.25">
      <c r="A20" s="162"/>
      <c r="B20" s="483">
        <v>75</v>
      </c>
      <c r="C20" s="483"/>
      <c r="D20" s="483">
        <v>79</v>
      </c>
      <c r="E20" s="483"/>
      <c r="F20" s="467" t="s">
        <v>177</v>
      </c>
      <c r="G20" s="469"/>
      <c r="H20" s="467" t="s">
        <v>185</v>
      </c>
      <c r="I20" s="469"/>
      <c r="J20" s="467">
        <f>COUNTIF(DetMarks!$P$12:$P$121,"="&amp;F20)</f>
        <v>1</v>
      </c>
      <c r="K20" s="468"/>
      <c r="L20" s="468"/>
      <c r="M20" s="469"/>
      <c r="N20" s="472">
        <f t="shared" si="0"/>
        <v>0.1111111111111111</v>
      </c>
      <c r="O20" s="473"/>
      <c r="P20" s="474"/>
      <c r="Q20" s="163"/>
    </row>
    <row r="21" spans="1:17" ht="16.5" customHeight="1" x14ac:dyDescent="0.25">
      <c r="A21" s="162"/>
      <c r="B21" s="483">
        <v>80</v>
      </c>
      <c r="C21" s="483"/>
      <c r="D21" s="483">
        <v>84</v>
      </c>
      <c r="E21" s="483"/>
      <c r="F21" s="467" t="s">
        <v>178</v>
      </c>
      <c r="G21" s="469"/>
      <c r="H21" s="467" t="s">
        <v>186</v>
      </c>
      <c r="I21" s="469"/>
      <c r="J21" s="467">
        <f>COUNTIF(DetMarks!$P$12:$P$121,"="&amp;F21)</f>
        <v>3</v>
      </c>
      <c r="K21" s="468"/>
      <c r="L21" s="468"/>
      <c r="M21" s="469"/>
      <c r="N21" s="472">
        <f t="shared" si="0"/>
        <v>0.33333333333333331</v>
      </c>
      <c r="O21" s="473"/>
      <c r="P21" s="474"/>
      <c r="Q21" s="163"/>
    </row>
    <row r="22" spans="1:17" ht="16.5" customHeight="1" x14ac:dyDescent="0.25">
      <c r="A22" s="162"/>
      <c r="B22" s="483">
        <v>85</v>
      </c>
      <c r="C22" s="483"/>
      <c r="D22" s="483">
        <v>89</v>
      </c>
      <c r="E22" s="483"/>
      <c r="F22" s="467" t="s">
        <v>179</v>
      </c>
      <c r="G22" s="469"/>
      <c r="H22" s="467" t="s">
        <v>187</v>
      </c>
      <c r="I22" s="469"/>
      <c r="J22" s="467">
        <f>COUNTIF(DetMarks!$P$12:$P$121,"="&amp;F22)</f>
        <v>2</v>
      </c>
      <c r="K22" s="468"/>
      <c r="L22" s="468"/>
      <c r="M22" s="469"/>
      <c r="N22" s="472">
        <f t="shared" si="0"/>
        <v>0.22222222222222221</v>
      </c>
      <c r="O22" s="473"/>
      <c r="P22" s="474"/>
      <c r="Q22" s="163"/>
    </row>
    <row r="23" spans="1:17" ht="16.5" customHeight="1" x14ac:dyDescent="0.25">
      <c r="A23" s="162"/>
      <c r="B23" s="483">
        <v>90</v>
      </c>
      <c r="C23" s="483"/>
      <c r="D23" s="483">
        <v>94</v>
      </c>
      <c r="E23" s="483"/>
      <c r="F23" s="467" t="s">
        <v>180</v>
      </c>
      <c r="G23" s="469"/>
      <c r="H23" s="467" t="s">
        <v>188</v>
      </c>
      <c r="I23" s="469"/>
      <c r="J23" s="467">
        <f>COUNTIF(DetMarks!$P$12:$P$121,"="&amp;F23)</f>
        <v>1</v>
      </c>
      <c r="K23" s="468"/>
      <c r="L23" s="468"/>
      <c r="M23" s="469"/>
      <c r="N23" s="472">
        <f t="shared" si="0"/>
        <v>0.1111111111111111</v>
      </c>
      <c r="O23" s="473"/>
      <c r="P23" s="474"/>
      <c r="Q23" s="163"/>
    </row>
    <row r="24" spans="1:17" ht="16.5" customHeight="1" x14ac:dyDescent="0.25">
      <c r="A24" s="162"/>
      <c r="B24" s="483">
        <v>95</v>
      </c>
      <c r="C24" s="483"/>
      <c r="D24" s="483">
        <v>100</v>
      </c>
      <c r="E24" s="483"/>
      <c r="F24" s="467" t="s">
        <v>181</v>
      </c>
      <c r="G24" s="469"/>
      <c r="H24" s="467" t="s">
        <v>189</v>
      </c>
      <c r="I24" s="469"/>
      <c r="J24" s="467">
        <f>COUNTIF(DetMarks!$P$12:$P$121,"="&amp;F24)</f>
        <v>0</v>
      </c>
      <c r="K24" s="468"/>
      <c r="L24" s="468"/>
      <c r="M24" s="469"/>
      <c r="N24" s="472">
        <f t="shared" si="0"/>
        <v>0</v>
      </c>
      <c r="O24" s="473"/>
      <c r="P24" s="474"/>
      <c r="Q24" s="163"/>
    </row>
    <row r="25" spans="1:17" ht="16.5" customHeight="1" x14ac:dyDescent="0.25">
      <c r="A25" s="162"/>
      <c r="B25" s="467" t="s">
        <v>190</v>
      </c>
      <c r="C25" s="468"/>
      <c r="D25" s="468"/>
      <c r="E25" s="468"/>
      <c r="F25" s="468"/>
      <c r="G25" s="468"/>
      <c r="H25" s="468"/>
      <c r="I25" s="469"/>
      <c r="J25" s="467">
        <f>SUM(J17:M24)</f>
        <v>9</v>
      </c>
      <c r="K25" s="468"/>
      <c r="L25" s="468"/>
      <c r="M25" s="469"/>
      <c r="N25" s="472">
        <f t="shared" si="0"/>
        <v>1</v>
      </c>
      <c r="O25" s="473"/>
      <c r="P25" s="474"/>
      <c r="Q25" s="163"/>
    </row>
    <row r="26" spans="1:17" ht="16.5" customHeight="1" x14ac:dyDescent="0.25">
      <c r="A26" s="162"/>
      <c r="B26" s="467" t="s">
        <v>191</v>
      </c>
      <c r="C26" s="468"/>
      <c r="D26" s="468"/>
      <c r="E26" s="468"/>
      <c r="F26" s="468"/>
      <c r="G26" s="468"/>
      <c r="H26" s="468"/>
      <c r="I26" s="469"/>
      <c r="J26" s="467">
        <f>J27-J25</f>
        <v>0</v>
      </c>
      <c r="K26" s="468"/>
      <c r="L26" s="468"/>
      <c r="M26" s="469"/>
      <c r="N26" s="472">
        <f t="shared" si="0"/>
        <v>0</v>
      </c>
      <c r="O26" s="473"/>
      <c r="P26" s="474"/>
      <c r="Q26" s="163"/>
    </row>
    <row r="27" spans="1:17" ht="16.5" customHeight="1" x14ac:dyDescent="0.25">
      <c r="A27" s="162"/>
      <c r="B27" s="467" t="s">
        <v>15</v>
      </c>
      <c r="C27" s="468"/>
      <c r="D27" s="468"/>
      <c r="E27" s="468"/>
      <c r="F27" s="468"/>
      <c r="G27" s="468"/>
      <c r="H27" s="468"/>
      <c r="I27" s="469"/>
      <c r="J27" s="467">
        <f>SUM(J16:M24)</f>
        <v>9</v>
      </c>
      <c r="K27" s="468"/>
      <c r="L27" s="468"/>
      <c r="M27" s="469"/>
      <c r="N27" s="472">
        <f t="shared" si="0"/>
        <v>1</v>
      </c>
      <c r="O27" s="473"/>
      <c r="P27" s="474"/>
      <c r="Q27" s="163"/>
    </row>
    <row r="28" spans="1:17" ht="13.5" customHeight="1" x14ac:dyDescent="0.25">
      <c r="A28" s="162"/>
      <c r="Q28" s="163"/>
    </row>
    <row r="29" spans="1:17" ht="47.25" customHeight="1" x14ac:dyDescent="0.25">
      <c r="A29" s="162"/>
      <c r="Q29" s="163"/>
    </row>
    <row r="30" spans="1:17" ht="61.5" customHeight="1" x14ac:dyDescent="0.25">
      <c r="A30" s="162"/>
      <c r="Q30" s="163"/>
    </row>
    <row r="31" spans="1:17" ht="27.75" customHeight="1" thickBot="1" x14ac:dyDescent="0.3">
      <c r="A31" s="162"/>
      <c r="Q31" s="163"/>
    </row>
    <row r="32" spans="1:17" ht="18.75" hidden="1" customHeight="1" thickBot="1" x14ac:dyDescent="0.3">
      <c r="A32" s="162"/>
      <c r="Q32" s="163"/>
    </row>
    <row r="33" spans="1:17" s="229" customFormat="1" ht="36" x14ac:dyDescent="0.25">
      <c r="A33" s="492" t="s">
        <v>199</v>
      </c>
      <c r="B33" s="493"/>
      <c r="C33" s="493"/>
      <c r="D33" s="493"/>
      <c r="E33" s="228" t="str">
        <f>Config!A43</f>
        <v>midterm exam 1</v>
      </c>
      <c r="F33" s="228" t="str">
        <f>Config!A44</f>
        <v>midterm exam 2</v>
      </c>
      <c r="G33" s="228" t="str">
        <f>Config!A45</f>
        <v>quiz 1</v>
      </c>
      <c r="H33" s="228" t="str">
        <f>Config!A47</f>
        <v>Assignment/Proposal</v>
      </c>
      <c r="I33" s="228" t="str">
        <f>Config!A46</f>
        <v>quiz 2</v>
      </c>
      <c r="J33" s="228" t="str">
        <f>Config!A48</f>
        <v>Poster/Presentation</v>
      </c>
      <c r="K33" s="228" t="str">
        <f>Config!A49</f>
        <v>practical exam/OSCE</v>
      </c>
      <c r="L33" s="228" t="s">
        <v>201</v>
      </c>
      <c r="M33" s="228" t="str">
        <f>Config!A50</f>
        <v>final exam</v>
      </c>
      <c r="N33" s="228" t="s">
        <v>206</v>
      </c>
      <c r="O33" s="228" t="s">
        <v>74</v>
      </c>
      <c r="P33" s="496" t="s">
        <v>198</v>
      </c>
      <c r="Q33" s="497"/>
    </row>
    <row r="34" spans="1:17" ht="20.25" customHeight="1" x14ac:dyDescent="0.25">
      <c r="A34" s="437" t="s">
        <v>196</v>
      </c>
      <c r="B34" s="438"/>
      <c r="C34" s="438"/>
      <c r="D34" s="438"/>
      <c r="E34" s="27">
        <f>DetMarks!E4</f>
        <v>20</v>
      </c>
      <c r="F34" s="27">
        <f>DetMarks!F4</f>
        <v>0</v>
      </c>
      <c r="G34" s="27">
        <f>DetMarks!G4</f>
        <v>5</v>
      </c>
      <c r="H34" s="27">
        <f>DetMarks!H4</f>
        <v>5</v>
      </c>
      <c r="I34" s="27">
        <f>DetMarks!I4</f>
        <v>0</v>
      </c>
      <c r="J34" s="27">
        <f>DetMarks!J4</f>
        <v>0</v>
      </c>
      <c r="K34" s="27">
        <f>DetMarks!K4</f>
        <v>20</v>
      </c>
      <c r="L34" s="27">
        <f>DetMarks!L4</f>
        <v>50</v>
      </c>
      <c r="M34" s="27">
        <f>DetMarks!M4</f>
        <v>50</v>
      </c>
      <c r="N34" s="27">
        <f>DetMarks!N4</f>
        <v>100</v>
      </c>
      <c r="O34" s="27">
        <f>DetMarks!O4</f>
        <v>5</v>
      </c>
      <c r="P34" s="438" t="s">
        <v>9</v>
      </c>
      <c r="Q34" s="498"/>
    </row>
    <row r="35" spans="1:17" ht="20.25" customHeight="1" x14ac:dyDescent="0.25">
      <c r="A35" s="439" t="s">
        <v>195</v>
      </c>
      <c r="B35" s="420"/>
      <c r="C35" s="420"/>
      <c r="D35" s="420"/>
      <c r="E35" s="190">
        <f>DetMarks!E5</f>
        <v>20</v>
      </c>
      <c r="F35" s="190" t="str">
        <f>DetMarks!F5</f>
        <v/>
      </c>
      <c r="G35" s="190">
        <f>DetMarks!G5</f>
        <v>5</v>
      </c>
      <c r="H35" s="190">
        <f>DetMarks!H5</f>
        <v>5</v>
      </c>
      <c r="I35" s="190" t="str">
        <f>DetMarks!I5</f>
        <v/>
      </c>
      <c r="J35" s="190" t="str">
        <f>DetMarks!J5</f>
        <v/>
      </c>
      <c r="K35" s="190">
        <f>DetMarks!K5</f>
        <v>20</v>
      </c>
      <c r="L35" s="190">
        <f>DetMarks!L5</f>
        <v>50</v>
      </c>
      <c r="M35" s="190">
        <f>DetMarks!M5</f>
        <v>41</v>
      </c>
      <c r="N35" s="190">
        <f>DetMarks!N5</f>
        <v>90</v>
      </c>
      <c r="O35" s="190">
        <f>DetMarks!O5</f>
        <v>4.5</v>
      </c>
      <c r="P35" s="499"/>
      <c r="Q35" s="500"/>
    </row>
    <row r="36" spans="1:17" ht="20.25" customHeight="1" x14ac:dyDescent="0.25">
      <c r="A36" s="439" t="s">
        <v>197</v>
      </c>
      <c r="B36" s="420"/>
      <c r="C36" s="420"/>
      <c r="D36" s="420"/>
      <c r="E36" s="190">
        <f>DetMarks!E6</f>
        <v>12</v>
      </c>
      <c r="F36" s="190" t="str">
        <f>DetMarks!F6</f>
        <v/>
      </c>
      <c r="G36" s="190">
        <f>DetMarks!G6</f>
        <v>1</v>
      </c>
      <c r="H36" s="190">
        <f>DetMarks!H6</f>
        <v>5</v>
      </c>
      <c r="I36" s="190" t="str">
        <f>DetMarks!I6</f>
        <v/>
      </c>
      <c r="J36" s="190" t="str">
        <f>DetMarks!J6</f>
        <v/>
      </c>
      <c r="K36" s="190">
        <f>DetMarks!K6</f>
        <v>17</v>
      </c>
      <c r="L36" s="190">
        <f>DetMarks!L6</f>
        <v>39</v>
      </c>
      <c r="M36" s="190">
        <f>DetMarks!M6</f>
        <v>21</v>
      </c>
      <c r="N36" s="190">
        <f>DetMarks!N6</f>
        <v>60</v>
      </c>
      <c r="O36" s="190">
        <f>DetMarks!O6</f>
        <v>2</v>
      </c>
      <c r="P36" s="499"/>
      <c r="Q36" s="500"/>
    </row>
    <row r="37" spans="1:17" ht="20.25" customHeight="1" thickBot="1" x14ac:dyDescent="0.3">
      <c r="A37" s="494" t="s">
        <v>32</v>
      </c>
      <c r="B37" s="495"/>
      <c r="C37" s="495"/>
      <c r="D37" s="495"/>
      <c r="E37" s="191">
        <f>DetMarks!E7</f>
        <v>16.444444444444443</v>
      </c>
      <c r="F37" s="191" t="str">
        <f>DetMarks!F7</f>
        <v/>
      </c>
      <c r="G37" s="191">
        <f>DetMarks!G7</f>
        <v>3.3333333333333335</v>
      </c>
      <c r="H37" s="191">
        <f>DetMarks!H7</f>
        <v>5</v>
      </c>
      <c r="I37" s="191" t="str">
        <f>DetMarks!I7</f>
        <v/>
      </c>
      <c r="J37" s="191" t="str">
        <f>DetMarks!J7</f>
        <v/>
      </c>
      <c r="K37" s="191">
        <f>DetMarks!K7</f>
        <v>19.111111111111111</v>
      </c>
      <c r="L37" s="191">
        <f>DetMarks!L7</f>
        <v>43.888888888888886</v>
      </c>
      <c r="M37" s="191">
        <f>DetMarks!M7</f>
        <v>34.888888888888886</v>
      </c>
      <c r="N37" s="191">
        <f>DetMarks!N7</f>
        <v>78.777777777777771</v>
      </c>
      <c r="O37" s="191">
        <f>DetMarks!O7</f>
        <v>3</v>
      </c>
      <c r="P37" s="501"/>
      <c r="Q37" s="502"/>
    </row>
    <row r="38" spans="1:17" ht="20.25" customHeight="1" thickBot="1" x14ac:dyDescent="0.3">
      <c r="A38" s="409" t="s">
        <v>33</v>
      </c>
      <c r="B38" s="410"/>
      <c r="C38" s="410"/>
      <c r="D38" s="410"/>
      <c r="E38" s="193">
        <f>IF('Mid1'!N9&lt;&gt;"",'Mid1'!N9,"")</f>
        <v>0.8222222222222223</v>
      </c>
      <c r="F38" s="193" t="e">
        <f>IF('Mid2'!N9&lt;&gt;"",'Mid2'!N9,"")</f>
        <v>#VALUE!</v>
      </c>
      <c r="G38" s="193">
        <f>IF('quiz 1'!N9&lt;&gt;"",'quiz 1'!N9,"")</f>
        <v>0.66666666666666674</v>
      </c>
      <c r="H38" s="193">
        <f>IF('Assignment or Proposal'!N9&lt;&gt;"",'Assignment or Proposal'!N9,"")</f>
        <v>1</v>
      </c>
      <c r="I38" s="195" t="e">
        <f>IF('quiz 2'!N9&lt;&gt;"",'quiz 2'!N9,"")</f>
        <v>#VALUE!</v>
      </c>
      <c r="J38" s="195" t="e">
        <f>IF('Poster or Presentation'!N9&lt;&gt;"",'Poster or Presentation'!N9,"")</f>
        <v>#VALUE!</v>
      </c>
      <c r="K38" s="195">
        <f>IF('practical exam or OSCE'!N9&lt;&gt;"",'practical exam or OSCE'!N9,"")</f>
        <v>0.95555555555555549</v>
      </c>
      <c r="L38" s="195">
        <f>L37/L34</f>
        <v>0.87777777777777777</v>
      </c>
      <c r="M38" s="195">
        <f>M37/M34</f>
        <v>0.69777777777777772</v>
      </c>
      <c r="N38" s="195">
        <f>N37/N34</f>
        <v>0.78777777777777769</v>
      </c>
      <c r="O38" s="195"/>
      <c r="P38" s="490"/>
      <c r="Q38" s="491"/>
    </row>
    <row r="39" spans="1:17" ht="18.75" customHeight="1" thickBot="1" x14ac:dyDescent="0.3">
      <c r="A39" s="515" t="s">
        <v>200</v>
      </c>
      <c r="B39" s="516"/>
      <c r="C39" s="516"/>
      <c r="D39" s="516"/>
      <c r="E39" s="516"/>
      <c r="F39" s="516"/>
      <c r="G39" s="516"/>
      <c r="H39" s="516"/>
      <c r="I39" s="516"/>
      <c r="J39" s="516"/>
      <c r="K39" s="516"/>
      <c r="L39" s="516"/>
      <c r="M39" s="516"/>
      <c r="N39" s="516"/>
      <c r="O39" s="516"/>
      <c r="P39" s="516"/>
      <c r="Q39" s="517"/>
    </row>
    <row r="40" spans="1:17" ht="19.5" customHeight="1" thickBot="1" x14ac:dyDescent="0.3">
      <c r="A40" s="513" t="s">
        <v>110</v>
      </c>
      <c r="B40" s="514"/>
      <c r="C40" s="514"/>
      <c r="D40" s="514"/>
      <c r="E40" s="196">
        <f>DetMarks!E9</f>
        <v>9</v>
      </c>
      <c r="F40" s="196" t="str">
        <f>DetMarks!F9</f>
        <v/>
      </c>
      <c r="G40" s="196">
        <f>DetMarks!G9</f>
        <v>9</v>
      </c>
      <c r="H40" s="196">
        <f>DetMarks!H9</f>
        <v>9</v>
      </c>
      <c r="I40" s="196" t="str">
        <f>DetMarks!I9</f>
        <v/>
      </c>
      <c r="J40" s="196" t="str">
        <f>DetMarks!J9</f>
        <v/>
      </c>
      <c r="K40" s="196">
        <f>DetMarks!K9</f>
        <v>9</v>
      </c>
      <c r="L40" s="196">
        <f>DetMarks!L9</f>
        <v>9</v>
      </c>
      <c r="M40" s="196">
        <f>DetMarks!M9</f>
        <v>9</v>
      </c>
      <c r="N40" s="518" t="s">
        <v>108</v>
      </c>
      <c r="O40" s="518"/>
      <c r="P40" s="519">
        <f>DetMarks!P9</f>
        <v>0</v>
      </c>
      <c r="Q40" s="519"/>
    </row>
    <row r="41" spans="1:17" ht="147" customHeight="1" thickBot="1" x14ac:dyDescent="0.3">
      <c r="A41" s="162"/>
      <c r="Q41" s="163"/>
    </row>
    <row r="42" spans="1:17" ht="19.5" customHeight="1" x14ac:dyDescent="0.25">
      <c r="A42" s="520" t="s">
        <v>202</v>
      </c>
      <c r="B42" s="521"/>
      <c r="C42" s="521"/>
      <c r="D42" s="192" t="str">
        <f>Config!E42</f>
        <v>K.1.1</v>
      </c>
      <c r="E42" s="192" t="str">
        <f>Config!F42</f>
        <v>K.1.2</v>
      </c>
      <c r="F42" s="192" t="str">
        <f>Config!G42</f>
        <v>K.2.1</v>
      </c>
      <c r="G42" s="192" t="str">
        <f>Config!H42</f>
        <v>K2.2</v>
      </c>
      <c r="H42" s="192" t="str">
        <f>Config!I42</f>
        <v>S.3.1</v>
      </c>
      <c r="I42" s="192" t="str">
        <f>Config!J42</f>
        <v>S.7.1</v>
      </c>
      <c r="J42" s="192">
        <f>Config!K42</f>
        <v>0</v>
      </c>
      <c r="K42" s="192">
        <f>Config!L42</f>
        <v>0</v>
      </c>
      <c r="L42" s="192">
        <f>Config!M42</f>
        <v>0</v>
      </c>
      <c r="M42" s="192">
        <f>Config!N42</f>
        <v>0</v>
      </c>
      <c r="N42" s="192">
        <f>Config!O42</f>
        <v>0</v>
      </c>
      <c r="O42" s="192" t="str">
        <f>Config!P42</f>
        <v>v2</v>
      </c>
      <c r="P42" s="521" t="s">
        <v>15</v>
      </c>
      <c r="Q42" s="522"/>
    </row>
    <row r="43" spans="1:17" ht="19.5" customHeight="1" x14ac:dyDescent="0.25">
      <c r="A43" s="503" t="s">
        <v>112</v>
      </c>
      <c r="B43" s="504"/>
      <c r="C43" s="505"/>
      <c r="D43" s="24">
        <f>StSoMarks!E8</f>
        <v>10</v>
      </c>
      <c r="E43" s="24">
        <f>StSoMarks!F8</f>
        <v>50</v>
      </c>
      <c r="F43" s="24">
        <f>StSoMarks!G8</f>
        <v>15</v>
      </c>
      <c r="G43" s="24">
        <f>StSoMarks!H8</f>
        <v>5</v>
      </c>
      <c r="H43" s="24">
        <f>StSoMarks!I8</f>
        <v>10</v>
      </c>
      <c r="I43" s="24">
        <f>StSoMarks!J8</f>
        <v>10</v>
      </c>
      <c r="J43" s="24">
        <f>StSoMarks!K8</f>
        <v>0</v>
      </c>
      <c r="K43" s="24">
        <f>StSoMarks!L8</f>
        <v>0</v>
      </c>
      <c r="L43" s="24">
        <f>StSoMarks!M8</f>
        <v>0</v>
      </c>
      <c r="M43" s="24">
        <f>StSoMarks!N8</f>
        <v>0</v>
      </c>
      <c r="N43" s="24">
        <f>StSoMarks!O8</f>
        <v>0</v>
      </c>
      <c r="O43" s="24">
        <f>StSoMarks!P8</f>
        <v>0</v>
      </c>
      <c r="P43" s="24">
        <f>StSoMarks!Q8</f>
        <v>100</v>
      </c>
      <c r="Q43" s="24"/>
    </row>
    <row r="44" spans="1:17" ht="19.5" hidden="1" customHeight="1" x14ac:dyDescent="0.25">
      <c r="A44" s="509" t="s">
        <v>204</v>
      </c>
      <c r="B44" s="510"/>
      <c r="C44" s="511"/>
      <c r="D44" s="24">
        <f>IF(StSoMarks!E9,StSoMarks!E9,"")</f>
        <v>10</v>
      </c>
      <c r="E44" s="24">
        <f>IF(StSoMarks!F9,StSoMarks!F9,"")</f>
        <v>50</v>
      </c>
      <c r="F44" s="24">
        <f>IF(StSoMarks!G9,StSoMarks!G9,"")</f>
        <v>15</v>
      </c>
      <c r="G44" s="24">
        <f>IF(StSoMarks!H9,StSoMarks!H9,"")</f>
        <v>5</v>
      </c>
      <c r="H44" s="24">
        <f>IF(StSoMarks!I9,StSoMarks!I9,"")</f>
        <v>10</v>
      </c>
      <c r="I44" s="24">
        <f>IF(StSoMarks!J9,StSoMarks!J9,"")</f>
        <v>10</v>
      </c>
      <c r="J44" s="24" t="str">
        <f>IF(StSoMarks!K9,StSoMarks!K9,"")</f>
        <v/>
      </c>
      <c r="K44" s="24" t="str">
        <f>IF(StSoMarks!L9,StSoMarks!L9,"")</f>
        <v/>
      </c>
      <c r="L44" s="24" t="str">
        <f>IF(StSoMarks!M9,StSoMarks!M9,"")</f>
        <v/>
      </c>
      <c r="M44" s="24" t="str">
        <f>IF(StSoMarks!N9,StSoMarks!N9,"")</f>
        <v/>
      </c>
      <c r="N44" s="24" t="str">
        <f>IF(StSoMarks!P9,StSoMarks!P9,"")</f>
        <v/>
      </c>
      <c r="O44" s="24"/>
      <c r="P44" s="420">
        <f>StSoMarks!Q9</f>
        <v>100</v>
      </c>
      <c r="Q44" s="512"/>
    </row>
    <row r="45" spans="1:17" ht="19.5" customHeight="1" x14ac:dyDescent="0.25">
      <c r="A45" s="503" t="s">
        <v>138</v>
      </c>
      <c r="B45" s="504"/>
      <c r="C45" s="505"/>
      <c r="D45" s="24">
        <f>StSoMarks!E6</f>
        <v>56</v>
      </c>
      <c r="E45" s="24">
        <f>StSoMarks!F6</f>
        <v>338</v>
      </c>
      <c r="F45" s="24">
        <f>StSoMarks!G6</f>
        <v>103</v>
      </c>
      <c r="G45" s="24">
        <f>StSoMarks!H6</f>
        <v>40</v>
      </c>
      <c r="H45" s="24">
        <f>StSoMarks!I6</f>
        <v>82</v>
      </c>
      <c r="I45" s="24">
        <f>StSoMarks!J6</f>
        <v>90</v>
      </c>
      <c r="J45" s="24" t="str">
        <f>StSoMarks!K6</f>
        <v/>
      </c>
      <c r="K45" s="24" t="str">
        <f>StSoMarks!L6</f>
        <v/>
      </c>
      <c r="L45" s="24" t="str">
        <f>StSoMarks!M6</f>
        <v/>
      </c>
      <c r="M45" s="24" t="str">
        <f>StSoMarks!N6</f>
        <v/>
      </c>
      <c r="N45" s="24">
        <f>StSoMarks!O6</f>
        <v>0</v>
      </c>
      <c r="O45" s="24" t="str">
        <f>StSoMarks!P6</f>
        <v/>
      </c>
      <c r="P45" s="24">
        <f>StSoMarks!Q6</f>
        <v>709</v>
      </c>
      <c r="Q45" s="24"/>
    </row>
    <row r="46" spans="1:17" ht="19.5" customHeight="1" thickBot="1" x14ac:dyDescent="0.3">
      <c r="A46" s="506" t="s">
        <v>113</v>
      </c>
      <c r="B46" s="507"/>
      <c r="C46" s="508"/>
      <c r="D46" s="194">
        <f>StSoMarks!E7</f>
        <v>90</v>
      </c>
      <c r="E46" s="194">
        <f>StSoMarks!F7</f>
        <v>450</v>
      </c>
      <c r="F46" s="194">
        <f>StSoMarks!G7</f>
        <v>135</v>
      </c>
      <c r="G46" s="194">
        <f>StSoMarks!H7</f>
        <v>45</v>
      </c>
      <c r="H46" s="194">
        <f>StSoMarks!I7</f>
        <v>90</v>
      </c>
      <c r="I46" s="194">
        <f>StSoMarks!J7</f>
        <v>90</v>
      </c>
      <c r="J46" s="194">
        <f>StSoMarks!K7</f>
        <v>0</v>
      </c>
      <c r="K46" s="194">
        <f>StSoMarks!L7</f>
        <v>0</v>
      </c>
      <c r="L46" s="194">
        <f>StSoMarks!M7</f>
        <v>0</v>
      </c>
      <c r="M46" s="194">
        <f>StSoMarks!N7</f>
        <v>0</v>
      </c>
      <c r="N46" s="194">
        <f>StSoMarks!O7</f>
        <v>0</v>
      </c>
      <c r="O46" s="194">
        <f>StSoMarks!P7</f>
        <v>0</v>
      </c>
      <c r="P46" s="194">
        <f>StSoMarks!Q7</f>
        <v>900</v>
      </c>
      <c r="Q46" s="194"/>
    </row>
    <row r="47" spans="1:17" ht="19.5" customHeight="1" thickBot="1" x14ac:dyDescent="0.3">
      <c r="A47" s="409" t="s">
        <v>33</v>
      </c>
      <c r="B47" s="410"/>
      <c r="C47" s="441"/>
      <c r="D47" s="113">
        <f>StSoMarks!E10</f>
        <v>0.62222222222222223</v>
      </c>
      <c r="E47" s="113">
        <f>StSoMarks!F10</f>
        <v>0.75111111111111106</v>
      </c>
      <c r="F47" s="113">
        <f>StSoMarks!G10</f>
        <v>0.76296296296296295</v>
      </c>
      <c r="G47" s="113">
        <f>StSoMarks!H10</f>
        <v>0.88888888888888884</v>
      </c>
      <c r="H47" s="113">
        <f>StSoMarks!I10</f>
        <v>0.91111111111111109</v>
      </c>
      <c r="I47" s="113">
        <f>StSoMarks!J10</f>
        <v>1</v>
      </c>
      <c r="J47" s="113" t="e">
        <f>StSoMarks!K10</f>
        <v>#VALUE!</v>
      </c>
      <c r="K47" s="113" t="e">
        <f>StSoMarks!L10</f>
        <v>#VALUE!</v>
      </c>
      <c r="L47" s="113" t="e">
        <f>StSoMarks!M10</f>
        <v>#VALUE!</v>
      </c>
      <c r="M47" s="113" t="e">
        <f>StSoMarks!N10</f>
        <v>#VALUE!</v>
      </c>
      <c r="N47" s="113" t="e">
        <f>StSoMarks!O10</f>
        <v>#DIV/0!</v>
      </c>
      <c r="O47" s="113" t="e">
        <f>StSoMarks!P10</f>
        <v>#VALUE!</v>
      </c>
      <c r="P47" s="113">
        <f>StSoMarks!Q10</f>
        <v>0.7877777777777778</v>
      </c>
      <c r="Q47" s="113"/>
    </row>
    <row r="48" spans="1:17" ht="29.25" customHeight="1" x14ac:dyDescent="0.25">
      <c r="A48" s="162"/>
      <c r="Q48" s="163"/>
    </row>
    <row r="49" spans="1:17" ht="29.25" customHeight="1" x14ac:dyDescent="0.25">
      <c r="A49" s="162"/>
      <c r="Q49" s="163"/>
    </row>
    <row r="50" spans="1:17" ht="29.25" customHeight="1" x14ac:dyDescent="0.25">
      <c r="A50" s="162"/>
      <c r="Q50" s="163"/>
    </row>
    <row r="51" spans="1:17" ht="29.25" customHeight="1" x14ac:dyDescent="0.25">
      <c r="A51" s="162"/>
      <c r="Q51" s="163"/>
    </row>
    <row r="52" spans="1:17" ht="7.5" customHeight="1" thickBot="1" x14ac:dyDescent="0.3">
      <c r="A52" s="164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6"/>
    </row>
  </sheetData>
  <mergeCells count="129">
    <mergeCell ref="A45:C45"/>
    <mergeCell ref="A46:C46"/>
    <mergeCell ref="A43:C43"/>
    <mergeCell ref="A44:C44"/>
    <mergeCell ref="P44:Q44"/>
    <mergeCell ref="A47:C47"/>
    <mergeCell ref="A40:D40"/>
    <mergeCell ref="A39:Q39"/>
    <mergeCell ref="N40:O40"/>
    <mergeCell ref="P40:Q40"/>
    <mergeCell ref="A42:C42"/>
    <mergeCell ref="P42:Q42"/>
    <mergeCell ref="A34:D34"/>
    <mergeCell ref="A35:D35"/>
    <mergeCell ref="A36:D36"/>
    <mergeCell ref="A37:D37"/>
    <mergeCell ref="P33:Q33"/>
    <mergeCell ref="P34:Q34"/>
    <mergeCell ref="P35:Q35"/>
    <mergeCell ref="P36:Q36"/>
    <mergeCell ref="P37:Q37"/>
    <mergeCell ref="A38:D38"/>
    <mergeCell ref="P38:Q38"/>
    <mergeCell ref="B24:C24"/>
    <mergeCell ref="D24:E24"/>
    <mergeCell ref="F24:G24"/>
    <mergeCell ref="H24:I24"/>
    <mergeCell ref="J24:M24"/>
    <mergeCell ref="N24:P24"/>
    <mergeCell ref="B23:C23"/>
    <mergeCell ref="D23:E23"/>
    <mergeCell ref="F23:G23"/>
    <mergeCell ref="H23:I23"/>
    <mergeCell ref="J23:M23"/>
    <mergeCell ref="N23:P23"/>
    <mergeCell ref="B26:I26"/>
    <mergeCell ref="B27:I27"/>
    <mergeCell ref="J26:M26"/>
    <mergeCell ref="J27:M27"/>
    <mergeCell ref="N26:P26"/>
    <mergeCell ref="N27:P27"/>
    <mergeCell ref="J25:M25"/>
    <mergeCell ref="N25:P25"/>
    <mergeCell ref="B25:I25"/>
    <mergeCell ref="A33:D33"/>
    <mergeCell ref="B22:C22"/>
    <mergeCell ref="D22:E22"/>
    <mergeCell ref="F22:G22"/>
    <mergeCell ref="H22:I22"/>
    <mergeCell ref="J22:M22"/>
    <mergeCell ref="N22:P22"/>
    <mergeCell ref="F19:G19"/>
    <mergeCell ref="H19:I19"/>
    <mergeCell ref="F20:G20"/>
    <mergeCell ref="H20:I20"/>
    <mergeCell ref="F21:G21"/>
    <mergeCell ref="H21:I21"/>
    <mergeCell ref="B20:C20"/>
    <mergeCell ref="D20:E20"/>
    <mergeCell ref="B21:C21"/>
    <mergeCell ref="D21:E21"/>
    <mergeCell ref="J21:M21"/>
    <mergeCell ref="N21:P21"/>
    <mergeCell ref="B19:C19"/>
    <mergeCell ref="D19:E19"/>
    <mergeCell ref="J19:M19"/>
    <mergeCell ref="N19:P19"/>
    <mergeCell ref="J20:M20"/>
    <mergeCell ref="N20:P20"/>
    <mergeCell ref="H16:I16"/>
    <mergeCell ref="F16:G16"/>
    <mergeCell ref="F17:G17"/>
    <mergeCell ref="H17:I17"/>
    <mergeCell ref="B16:C16"/>
    <mergeCell ref="D16:E16"/>
    <mergeCell ref="B17:C17"/>
    <mergeCell ref="D17:E17"/>
    <mergeCell ref="B18:C18"/>
    <mergeCell ref="D18:E18"/>
    <mergeCell ref="F18:G18"/>
    <mergeCell ref="H18:I18"/>
    <mergeCell ref="J17:M17"/>
    <mergeCell ref="N17:P17"/>
    <mergeCell ref="J18:M18"/>
    <mergeCell ref="N18:P18"/>
    <mergeCell ref="J16:M16"/>
    <mergeCell ref="N16:P16"/>
    <mergeCell ref="B15:C15"/>
    <mergeCell ref="D15:E15"/>
    <mergeCell ref="B8:I8"/>
    <mergeCell ref="B9:I9"/>
    <mergeCell ref="B10:I10"/>
    <mergeCell ref="B11:I11"/>
    <mergeCell ref="B12:I12"/>
    <mergeCell ref="N9:P9"/>
    <mergeCell ref="N10:P10"/>
    <mergeCell ref="N11:P11"/>
    <mergeCell ref="N12:P12"/>
    <mergeCell ref="B14:E14"/>
    <mergeCell ref="F14:I15"/>
    <mergeCell ref="J14:M15"/>
    <mergeCell ref="N14:P15"/>
    <mergeCell ref="J8:M8"/>
    <mergeCell ref="J9:M9"/>
    <mergeCell ref="J10:M10"/>
    <mergeCell ref="J11:M11"/>
    <mergeCell ref="J12:M12"/>
    <mergeCell ref="N8:P8"/>
    <mergeCell ref="N7:P7"/>
    <mergeCell ref="J7:M7"/>
    <mergeCell ref="B7:I7"/>
    <mergeCell ref="A5:C5"/>
    <mergeCell ref="D5:E5"/>
    <mergeCell ref="F5:G5"/>
    <mergeCell ref="H5:I5"/>
    <mergeCell ref="J5:Q5"/>
    <mergeCell ref="A1:C1"/>
    <mergeCell ref="A2:C2"/>
    <mergeCell ref="A3:C3"/>
    <mergeCell ref="A4:C4"/>
    <mergeCell ref="N1:Q1"/>
    <mergeCell ref="N2:Q2"/>
    <mergeCell ref="E3:F3"/>
    <mergeCell ref="N3:Q3"/>
    <mergeCell ref="D1:I1"/>
    <mergeCell ref="D2:I2"/>
    <mergeCell ref="G3:I3"/>
    <mergeCell ref="D4:I4"/>
    <mergeCell ref="N4:Q4"/>
  </mergeCells>
  <conditionalFormatting sqref="P43:Q43 D42:P47 P45:Q47 J8:J12 N8:P12 K8:M11 J16:P27">
    <cfRule type="cellIs" dxfId="1" priority="16" operator="equal">
      <formula>0</formula>
    </cfRule>
  </conditionalFormatting>
  <conditionalFormatting sqref="P33:Q33 A33:A39 B33:D37 E40:N40 E33:O38 D42:P42 A43:P47 P45:Q47 P43:Q43">
    <cfRule type="containsBlanks" dxfId="0" priority="7">
      <formula>LEN(TRIM(A33))=0</formula>
    </cfRule>
  </conditionalFormatting>
  <printOptions horizontalCentered="1" verticalCentered="1"/>
  <pageMargins left="0.19685039370078741" right="0.19685039370078741" top="0.19685039370078741" bottom="0.19685039370078741" header="0.19685039370078741" footer="0.19685039370078741"/>
  <pageSetup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209550</xdr:colOff>
                    <xdr:row>0</xdr:row>
                    <xdr:rowOff>304800</xdr:rowOff>
                  </from>
                  <to>
                    <xdr:col>19</xdr:col>
                    <xdr:colOff>409575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Q116"/>
  <sheetViews>
    <sheetView workbookViewId="0">
      <selection activeCell="J7" sqref="J7"/>
    </sheetView>
  </sheetViews>
  <sheetFormatPr defaultRowHeight="15" x14ac:dyDescent="0.25"/>
  <cols>
    <col min="4" max="4" width="31.5703125" customWidth="1"/>
  </cols>
  <sheetData>
    <row r="1" spans="1:17" x14ac:dyDescent="0.25">
      <c r="A1">
        <f>StSoMarks!A6</f>
        <v>0</v>
      </c>
      <c r="B1">
        <f>StSoMarks!B6</f>
        <v>0</v>
      </c>
      <c r="C1">
        <f>StSoMarks!C6</f>
        <v>0</v>
      </c>
      <c r="D1" t="str">
        <f>StSoMarks!D6</f>
        <v>Sum All</v>
      </c>
      <c r="E1">
        <f>StSoMarks!E6</f>
        <v>56</v>
      </c>
      <c r="F1">
        <f>StSoMarks!F6</f>
        <v>338</v>
      </c>
      <c r="G1">
        <f>StSoMarks!G6</f>
        <v>103</v>
      </c>
      <c r="H1">
        <f>StSoMarks!H6</f>
        <v>40</v>
      </c>
      <c r="I1">
        <f>StSoMarks!I6</f>
        <v>82</v>
      </c>
      <c r="J1">
        <f>StSoMarks!J6</f>
        <v>90</v>
      </c>
      <c r="K1" t="str">
        <f>StSoMarks!K6</f>
        <v/>
      </c>
      <c r="L1" t="str">
        <f>StSoMarks!L6</f>
        <v/>
      </c>
      <c r="M1" t="str">
        <f>StSoMarks!M6</f>
        <v/>
      </c>
      <c r="N1" t="str">
        <f>StSoMarks!N6</f>
        <v/>
      </c>
      <c r="O1">
        <f>StSoMarks!O6</f>
        <v>0</v>
      </c>
      <c r="P1" t="str">
        <f>StSoMarks!P6</f>
        <v/>
      </c>
      <c r="Q1">
        <f>StSoMarks!Q6</f>
        <v>709</v>
      </c>
    </row>
    <row r="2" spans="1:17" x14ac:dyDescent="0.25">
      <c r="A2">
        <f>StSoMarks!A7</f>
        <v>0</v>
      </c>
      <c r="B2">
        <f>StSoMarks!B7</f>
        <v>0</v>
      </c>
      <c r="C2">
        <f>StSoMarks!C7</f>
        <v>0</v>
      </c>
      <c r="D2" t="str">
        <f>StSoMarks!D7</f>
        <v>Max all</v>
      </c>
      <c r="E2">
        <f>StSoMarks!E7</f>
        <v>90</v>
      </c>
      <c r="F2">
        <f>StSoMarks!F7</f>
        <v>450</v>
      </c>
      <c r="G2">
        <f>StSoMarks!G7</f>
        <v>135</v>
      </c>
      <c r="H2">
        <f>StSoMarks!H7</f>
        <v>45</v>
      </c>
      <c r="I2">
        <f>StSoMarks!I7</f>
        <v>90</v>
      </c>
      <c r="J2">
        <f>StSoMarks!J7</f>
        <v>90</v>
      </c>
      <c r="K2">
        <f>StSoMarks!K7</f>
        <v>0</v>
      </c>
      <c r="L2">
        <f>StSoMarks!L7</f>
        <v>0</v>
      </c>
      <c r="M2">
        <f>StSoMarks!M7</f>
        <v>0</v>
      </c>
      <c r="N2">
        <f>StSoMarks!N7</f>
        <v>0</v>
      </c>
      <c r="O2">
        <f>StSoMarks!O7</f>
        <v>0</v>
      </c>
      <c r="P2">
        <f>StSoMarks!P7</f>
        <v>0</v>
      </c>
      <c r="Q2">
        <f>StSoMarks!Q7</f>
        <v>900</v>
      </c>
    </row>
    <row r="3" spans="1:17" x14ac:dyDescent="0.25">
      <c r="A3">
        <f>StSoMarks!A8</f>
        <v>0</v>
      </c>
      <c r="B3">
        <f>StSoMarks!B8</f>
        <v>0</v>
      </c>
      <c r="C3">
        <f>StSoMarks!C8</f>
        <v>0</v>
      </c>
      <c r="D3" t="str">
        <f>StSoMarks!D8</f>
        <v>Max (config)</v>
      </c>
      <c r="E3">
        <f>StSoMarks!E8</f>
        <v>10</v>
      </c>
      <c r="F3">
        <f>StSoMarks!F8</f>
        <v>50</v>
      </c>
      <c r="G3">
        <f>StSoMarks!G8</f>
        <v>15</v>
      </c>
      <c r="H3">
        <f>StSoMarks!H8</f>
        <v>5</v>
      </c>
      <c r="I3">
        <f>StSoMarks!I8</f>
        <v>10</v>
      </c>
      <c r="J3">
        <f>StSoMarks!J8</f>
        <v>10</v>
      </c>
      <c r="K3">
        <f>StSoMarks!K8</f>
        <v>0</v>
      </c>
      <c r="L3">
        <f>StSoMarks!L8</f>
        <v>0</v>
      </c>
      <c r="M3">
        <f>StSoMarks!M8</f>
        <v>0</v>
      </c>
      <c r="N3">
        <f>StSoMarks!N8</f>
        <v>0</v>
      </c>
      <c r="O3">
        <f>StSoMarks!O8</f>
        <v>0</v>
      </c>
      <c r="P3">
        <f>StSoMarks!P8</f>
        <v>0</v>
      </c>
      <c r="Q3">
        <f>StSoMarks!Q8</f>
        <v>100</v>
      </c>
    </row>
    <row r="4" spans="1:17" x14ac:dyDescent="0.25">
      <c r="A4">
        <f>StSoMarks!A9</f>
        <v>0</v>
      </c>
      <c r="B4">
        <f>StSoMarks!B9</f>
        <v>0</v>
      </c>
      <c r="C4">
        <f>StSoMarks!C9</f>
        <v>0</v>
      </c>
      <c r="D4" t="str">
        <f>StSoMarks!D9</f>
        <v>Max from all Sheets (ver)</v>
      </c>
      <c r="E4">
        <f>StSoMarks!E9</f>
        <v>10</v>
      </c>
      <c r="F4">
        <f>StSoMarks!F9</f>
        <v>50</v>
      </c>
      <c r="G4">
        <f>StSoMarks!G9</f>
        <v>15</v>
      </c>
      <c r="H4">
        <f>StSoMarks!H9</f>
        <v>5</v>
      </c>
      <c r="I4">
        <f>StSoMarks!I9</f>
        <v>10</v>
      </c>
      <c r="J4">
        <f>StSoMarks!J9</f>
        <v>10</v>
      </c>
      <c r="K4">
        <f>StSoMarks!K9</f>
        <v>0</v>
      </c>
      <c r="L4">
        <f>StSoMarks!L9</f>
        <v>0</v>
      </c>
      <c r="M4">
        <f>StSoMarks!M9</f>
        <v>0</v>
      </c>
      <c r="N4">
        <f>StSoMarks!N9</f>
        <v>0</v>
      </c>
      <c r="O4">
        <f>StSoMarks!O9</f>
        <v>0</v>
      </c>
      <c r="P4">
        <f>StSoMarks!P9</f>
        <v>0</v>
      </c>
      <c r="Q4">
        <f>StSoMarks!Q9</f>
        <v>100</v>
      </c>
    </row>
    <row r="5" spans="1:17" x14ac:dyDescent="0.25">
      <c r="A5">
        <f>StSoMarks!A10</f>
        <v>0</v>
      </c>
      <c r="B5">
        <f>StSoMarks!B10</f>
        <v>0</v>
      </c>
      <c r="C5">
        <f>StSoMarks!C10</f>
        <v>0</v>
      </c>
      <c r="D5" t="str">
        <f>StSoMarks!D10</f>
        <v>Achivement</v>
      </c>
      <c r="E5">
        <f>StSoMarks!E10</f>
        <v>0.62222222222222223</v>
      </c>
      <c r="F5" s="221">
        <f>StSoMarks!F10</f>
        <v>0.75111111111111106</v>
      </c>
      <c r="G5">
        <f>StSoMarks!G10</f>
        <v>0.76296296296296295</v>
      </c>
      <c r="H5">
        <f>StSoMarks!H10</f>
        <v>0.88888888888888884</v>
      </c>
      <c r="I5">
        <f>StSoMarks!I10</f>
        <v>0.91111111111111109</v>
      </c>
      <c r="J5">
        <f>StSoMarks!J10</f>
        <v>1</v>
      </c>
      <c r="K5" t="e">
        <f>StSoMarks!K10</f>
        <v>#VALUE!</v>
      </c>
      <c r="L5" s="221" t="e">
        <f>StSoMarks!L10</f>
        <v>#VALUE!</v>
      </c>
      <c r="M5" t="e">
        <f>StSoMarks!M10</f>
        <v>#VALUE!</v>
      </c>
      <c r="N5" t="e">
        <f>StSoMarks!N10</f>
        <v>#VALUE!</v>
      </c>
      <c r="O5" t="e">
        <f>StSoMarks!O10</f>
        <v>#DIV/0!</v>
      </c>
      <c r="P5" t="e">
        <f>StSoMarks!P10</f>
        <v>#VALUE!</v>
      </c>
      <c r="Q5">
        <f>StSoMarks!Q10</f>
        <v>0.7877777777777778</v>
      </c>
    </row>
    <row r="6" spans="1:17" x14ac:dyDescent="0.25">
      <c r="A6" t="str">
        <f>StSoMarks!A11</f>
        <v>#</v>
      </c>
      <c r="B6" t="str">
        <f>StSoMarks!B11</f>
        <v>Prog</v>
      </c>
      <c r="C6" t="str">
        <f>StSoMarks!C11</f>
        <v>Student #</v>
      </c>
      <c r="D6" t="str">
        <f>StSoMarks!D11</f>
        <v>Name</v>
      </c>
      <c r="E6" t="str">
        <f>StSoMarks!E11</f>
        <v>K.1.1</v>
      </c>
      <c r="F6" t="str">
        <f>StSoMarks!F11</f>
        <v>K.1.2</v>
      </c>
      <c r="G6" t="str">
        <f>StSoMarks!G11</f>
        <v>K.2.1</v>
      </c>
      <c r="H6" t="str">
        <f>StSoMarks!H11</f>
        <v>K2.2</v>
      </c>
      <c r="I6" t="str">
        <f>StSoMarks!I11</f>
        <v>S.3.1</v>
      </c>
      <c r="J6" t="str">
        <f>StSoMarks!J11</f>
        <v>S.7.1</v>
      </c>
      <c r="K6">
        <f>StSoMarks!K11</f>
        <v>0</v>
      </c>
      <c r="L6">
        <f>StSoMarks!L11</f>
        <v>0</v>
      </c>
      <c r="M6">
        <f>StSoMarks!M11</f>
        <v>0</v>
      </c>
      <c r="N6">
        <f>StSoMarks!N11</f>
        <v>0</v>
      </c>
      <c r="O6">
        <f>StSoMarks!O11</f>
        <v>0</v>
      </c>
      <c r="P6" t="str">
        <f>StSoMarks!P11</f>
        <v>v2</v>
      </c>
      <c r="Q6" t="str">
        <f>StSoMarks!Q11</f>
        <v>Score</v>
      </c>
    </row>
    <row r="7" spans="1:17" x14ac:dyDescent="0.25">
      <c r="A7">
        <f>StSoMarks!A12</f>
        <v>1</v>
      </c>
      <c r="B7" t="str">
        <f>StSoMarks!B12</f>
        <v>Pharmaceutical sciences</v>
      </c>
      <c r="C7">
        <f>StSoMarks!C12</f>
        <v>431003107</v>
      </c>
      <c r="D7" t="str">
        <f>StSoMarks!D12</f>
        <v> SADEEM FAHAD S ALSEDRANI</v>
      </c>
      <c r="E7" s="221">
        <f>StSoMarks!E12/StSoMarks!E8</f>
        <v>0.3</v>
      </c>
      <c r="F7" s="221">
        <f>StSoMarks!F12/StSoMarks!F8</f>
        <v>0.66</v>
      </c>
      <c r="G7" s="221">
        <f>StSoMarks!G12/StSoMarks!G8</f>
        <v>0.66666666666666663</v>
      </c>
      <c r="H7" s="221">
        <f>StSoMarks!H12/StSoMarks!H8</f>
        <v>1</v>
      </c>
      <c r="I7" s="221">
        <f>StSoMarks!I12/StSoMarks!I8</f>
        <v>0.9</v>
      </c>
      <c r="J7" s="221">
        <f>StSoMarks!J12/StSoMarks!J8</f>
        <v>1</v>
      </c>
      <c r="K7" s="221" t="e">
        <f>StSoMarks!K12/StSoMarks!K8</f>
        <v>#VALUE!</v>
      </c>
      <c r="L7" s="221" t="e">
        <f>StSoMarks!L12/StSoMarks!L8</f>
        <v>#VALUE!</v>
      </c>
      <c r="M7" s="221" t="e">
        <f>StSoMarks!M12/StSoMarks!M8</f>
        <v>#VALUE!</v>
      </c>
      <c r="N7" s="221" t="e">
        <f>StSoMarks!N12/StSoMarks!N8</f>
        <v>#VALUE!</v>
      </c>
      <c r="O7" s="221" t="e">
        <f>StSoMarks!O12/StSoMarks!O8</f>
        <v>#VALUE!</v>
      </c>
      <c r="P7" s="221" t="e">
        <f>StSoMarks!P12/StSoMarks!P8</f>
        <v>#VALUE!</v>
      </c>
      <c r="Q7" s="221">
        <f>StSoMarks!Q12/StSoMarks!Q8</f>
        <v>0.7</v>
      </c>
    </row>
    <row r="8" spans="1:17" x14ac:dyDescent="0.25">
      <c r="A8">
        <f>StSoMarks!A13</f>
        <v>2</v>
      </c>
      <c r="B8" t="str">
        <f>StSoMarks!B13</f>
        <v>Pharmaceutical sciences</v>
      </c>
      <c r="C8">
        <f>StSoMarks!C13</f>
        <v>431003423</v>
      </c>
      <c r="D8" t="str">
        <f>StSoMarks!D13</f>
        <v> ROBA RABAH H ALHARBI</v>
      </c>
      <c r="E8" s="221">
        <f>StSoMarks!E13/StSoMarks!E8</f>
        <v>0.6</v>
      </c>
      <c r="F8" s="221">
        <f>StSoMarks!F13/StSoMarks!F8</f>
        <v>0.64</v>
      </c>
      <c r="G8" s="221">
        <f>StSoMarks!G13/StSoMarks!G8</f>
        <v>0.8666666666666667</v>
      </c>
      <c r="H8" s="221">
        <f>StSoMarks!H13/StSoMarks!H8</f>
        <v>1</v>
      </c>
      <c r="I8" s="221">
        <f>StSoMarks!I13/StSoMarks!I8</f>
        <v>0.9</v>
      </c>
      <c r="J8" s="221">
        <f>StSoMarks!J13/StSoMarks!J8</f>
        <v>1</v>
      </c>
      <c r="K8" s="221" t="e">
        <f>StSoMarks!K13/StSoMarks!K8</f>
        <v>#VALUE!</v>
      </c>
      <c r="L8" s="221" t="e">
        <f>StSoMarks!L13/StSoMarks!L8</f>
        <v>#VALUE!</v>
      </c>
      <c r="M8" s="221" t="e">
        <f>StSoMarks!M13/StSoMarks!M8</f>
        <v>#VALUE!</v>
      </c>
      <c r="N8" s="221" t="e">
        <f>StSoMarks!N13/StSoMarks!N8</f>
        <v>#VALUE!</v>
      </c>
      <c r="O8" s="221" t="e">
        <f>StSoMarks!O13/StSoMarks!O8</f>
        <v>#VALUE!</v>
      </c>
      <c r="P8" s="221" t="e">
        <f>StSoMarks!P13/StSoMarks!P8</f>
        <v>#VALUE!</v>
      </c>
      <c r="Q8" s="221">
        <f>StSoMarks!Q13/StSoMarks!Q8</f>
        <v>0.75</v>
      </c>
    </row>
    <row r="9" spans="1:17" x14ac:dyDescent="0.25">
      <c r="A9">
        <f>StSoMarks!A14</f>
        <v>3</v>
      </c>
      <c r="B9" t="str">
        <f>StSoMarks!B14</f>
        <v>Pharmaceutical sciences</v>
      </c>
      <c r="C9">
        <f>StSoMarks!C14</f>
        <v>431003483</v>
      </c>
      <c r="D9" t="str">
        <f>StSoMarks!D14</f>
        <v> NUJUD KHAIFAH A ALAMMAR</v>
      </c>
      <c r="E9" s="221">
        <f>StSoMarks!E14/StSoMarks!E8</f>
        <v>0.8</v>
      </c>
      <c r="F9" s="221">
        <f>StSoMarks!F14/StSoMarks!F8</f>
        <v>0.74</v>
      </c>
      <c r="G9" s="221">
        <f>StSoMarks!G14/StSoMarks!G8</f>
        <v>0.73333333333333328</v>
      </c>
      <c r="H9" s="221">
        <f>StSoMarks!H14/StSoMarks!H8</f>
        <v>1</v>
      </c>
      <c r="I9" s="221">
        <f>StSoMarks!I14/StSoMarks!I8</f>
        <v>0.9</v>
      </c>
      <c r="J9" s="221">
        <f>StSoMarks!J14/StSoMarks!J8</f>
        <v>1</v>
      </c>
      <c r="K9" s="221" t="e">
        <f>StSoMarks!K14/StSoMarks!K8</f>
        <v>#VALUE!</v>
      </c>
      <c r="L9" s="221" t="e">
        <f>StSoMarks!L14/StSoMarks!L8</f>
        <v>#VALUE!</v>
      </c>
      <c r="M9" s="221" t="e">
        <f>StSoMarks!M14/StSoMarks!M8</f>
        <v>#VALUE!</v>
      </c>
      <c r="N9" s="221" t="e">
        <f>StSoMarks!N14/StSoMarks!N8</f>
        <v>#VALUE!</v>
      </c>
      <c r="O9" s="221" t="e">
        <f>StSoMarks!O14/StSoMarks!O8</f>
        <v>#VALUE!</v>
      </c>
      <c r="P9" s="221" t="e">
        <f>StSoMarks!P14/StSoMarks!P8</f>
        <v>#VALUE!</v>
      </c>
      <c r="Q9" s="221">
        <f>StSoMarks!Q14/StSoMarks!Q8</f>
        <v>0.8</v>
      </c>
    </row>
    <row r="10" spans="1:17" x14ac:dyDescent="0.25">
      <c r="A10">
        <f>StSoMarks!A15</f>
        <v>4</v>
      </c>
      <c r="B10" t="str">
        <f>StSoMarks!B15</f>
        <v>Pharmaceutical sciences</v>
      </c>
      <c r="C10">
        <f>StSoMarks!C15</f>
        <v>432003601</v>
      </c>
      <c r="D10" t="str">
        <f>StSoMarks!D15</f>
        <v> RINA KHALID S ALABDULRAHIM</v>
      </c>
      <c r="E10" s="221">
        <f>StSoMarks!E15/StSoMarks!E8</f>
        <v>0.9</v>
      </c>
      <c r="F10" s="221">
        <f>StSoMarks!F15/StSoMarks!F8</f>
        <v>0.86</v>
      </c>
      <c r="G10" s="221">
        <f>StSoMarks!G15/StSoMarks!G8</f>
        <v>0.8666666666666667</v>
      </c>
      <c r="H10" s="221">
        <f>StSoMarks!H15/StSoMarks!H8</f>
        <v>1</v>
      </c>
      <c r="I10" s="221">
        <f>StSoMarks!I15/StSoMarks!I8</f>
        <v>1</v>
      </c>
      <c r="J10" s="221">
        <f>StSoMarks!J15/StSoMarks!J8</f>
        <v>1</v>
      </c>
      <c r="K10" s="221" t="e">
        <f>StSoMarks!K15/StSoMarks!K8</f>
        <v>#VALUE!</v>
      </c>
      <c r="L10" s="221" t="e">
        <f>StSoMarks!L15/StSoMarks!L8</f>
        <v>#VALUE!</v>
      </c>
      <c r="M10" s="221" t="e">
        <f>StSoMarks!M15/StSoMarks!M8</f>
        <v>#VALUE!</v>
      </c>
      <c r="N10" s="221" t="e">
        <f>StSoMarks!N15/StSoMarks!N8</f>
        <v>#VALUE!</v>
      </c>
      <c r="O10" s="221" t="e">
        <f>StSoMarks!O15/StSoMarks!O8</f>
        <v>#VALUE!</v>
      </c>
      <c r="P10" s="221" t="e">
        <f>StSoMarks!P15/StSoMarks!P8</f>
        <v>#VALUE!</v>
      </c>
      <c r="Q10" s="221">
        <f>StSoMarks!Q15/StSoMarks!Q8</f>
        <v>0.9</v>
      </c>
    </row>
    <row r="11" spans="1:17" x14ac:dyDescent="0.25">
      <c r="A11">
        <f>StSoMarks!A16</f>
        <v>5</v>
      </c>
      <c r="B11" t="str">
        <f>StSoMarks!B16</f>
        <v>Pharmaceutical sciences</v>
      </c>
      <c r="C11">
        <f>StSoMarks!C16</f>
        <v>432003648</v>
      </c>
      <c r="D11" t="str">
        <f>StSoMarks!D16</f>
        <v> HANEEN HAJJI E ALHARBI</v>
      </c>
      <c r="E11" s="221">
        <f>StSoMarks!E16/StSoMarks!E8</f>
        <v>0.7</v>
      </c>
      <c r="F11" s="221">
        <f>StSoMarks!F16/StSoMarks!F8</f>
        <v>0.76</v>
      </c>
      <c r="G11" s="221">
        <f>StSoMarks!G16/StSoMarks!G8</f>
        <v>0.73333333333333328</v>
      </c>
      <c r="H11" s="221">
        <f>StSoMarks!H16/StSoMarks!H8</f>
        <v>1</v>
      </c>
      <c r="I11" s="221">
        <f>StSoMarks!I16/StSoMarks!I8</f>
        <v>0.9</v>
      </c>
      <c r="J11" s="221">
        <f>StSoMarks!J16/StSoMarks!J8</f>
        <v>1</v>
      </c>
      <c r="K11" s="221" t="e">
        <f>StSoMarks!K16/StSoMarks!K8</f>
        <v>#VALUE!</v>
      </c>
      <c r="L11" s="221" t="e">
        <f>StSoMarks!L16/StSoMarks!L8</f>
        <v>#VALUE!</v>
      </c>
      <c r="M11" s="221" t="e">
        <f>StSoMarks!M16/StSoMarks!M8</f>
        <v>#VALUE!</v>
      </c>
      <c r="N11" s="221" t="e">
        <f>StSoMarks!N16/StSoMarks!N8</f>
        <v>#VALUE!</v>
      </c>
      <c r="O11" s="221" t="e">
        <f>StSoMarks!O16/StSoMarks!O8</f>
        <v>#VALUE!</v>
      </c>
      <c r="P11" s="221" t="e">
        <f>StSoMarks!P16/StSoMarks!P8</f>
        <v>#VALUE!</v>
      </c>
      <c r="Q11" s="221">
        <f>StSoMarks!Q16/StSoMarks!Q8</f>
        <v>0.8</v>
      </c>
    </row>
    <row r="12" spans="1:17" x14ac:dyDescent="0.25">
      <c r="A12">
        <f>StSoMarks!A17</f>
        <v>6</v>
      </c>
      <c r="B12" t="str">
        <f>StSoMarks!B17</f>
        <v>Pharmaceutical sciences</v>
      </c>
      <c r="C12">
        <f>StSoMarks!C17</f>
        <v>432003748</v>
      </c>
      <c r="D12" t="str">
        <f>StSoMarks!D17</f>
        <v> REEM MANSWER A AJEB</v>
      </c>
      <c r="E12" s="221">
        <f>StSoMarks!E17/StSoMarks!E8</f>
        <v>0.6</v>
      </c>
      <c r="F12" s="221">
        <f>StSoMarks!F17/StSoMarks!F8</f>
        <v>0.76</v>
      </c>
      <c r="G12" s="221">
        <f>StSoMarks!G17/StSoMarks!G8</f>
        <v>0.8</v>
      </c>
      <c r="H12" s="221">
        <f>StSoMarks!H17/StSoMarks!H8</f>
        <v>1</v>
      </c>
      <c r="I12" s="221">
        <f>StSoMarks!I17/StSoMarks!I8</f>
        <v>0.9</v>
      </c>
      <c r="J12" s="221">
        <f>StSoMarks!J17/StSoMarks!J8</f>
        <v>1</v>
      </c>
      <c r="K12" s="221" t="e">
        <f>StSoMarks!K17/StSoMarks!K8</f>
        <v>#VALUE!</v>
      </c>
      <c r="L12" s="221" t="e">
        <f>StSoMarks!L17/StSoMarks!L8</f>
        <v>#VALUE!</v>
      </c>
      <c r="M12" s="221" t="e">
        <f>StSoMarks!M17/StSoMarks!M8</f>
        <v>#VALUE!</v>
      </c>
      <c r="N12" s="221" t="e">
        <f>StSoMarks!N17/StSoMarks!N8</f>
        <v>#VALUE!</v>
      </c>
      <c r="O12" s="221" t="e">
        <f>StSoMarks!O17/StSoMarks!O13</f>
        <v>#VALUE!</v>
      </c>
      <c r="P12" s="221" t="e">
        <f>StSoMarks!P17/StSoMarks!P13</f>
        <v>#VALUE!</v>
      </c>
      <c r="Q12" s="221">
        <f>StSoMarks!Q17/StSoMarks!Q8</f>
        <v>0.8</v>
      </c>
    </row>
    <row r="13" spans="1:17" x14ac:dyDescent="0.25">
      <c r="A13">
        <f>StSoMarks!A18</f>
        <v>7</v>
      </c>
      <c r="B13" t="str">
        <f>StSoMarks!B18</f>
        <v>Pharmaceutical sciences</v>
      </c>
      <c r="C13">
        <f>StSoMarks!C18</f>
        <v>452003804</v>
      </c>
      <c r="D13" t="str">
        <f>StSoMarks!D18</f>
        <v> JULIEN KHALID M ALKHALDI</v>
      </c>
      <c r="E13" s="221">
        <f>StSoMarks!E18/StSoMarks!E8</f>
        <v>0.8</v>
      </c>
      <c r="F13" s="221">
        <f>StSoMarks!F18/StSoMarks!F8</f>
        <v>0.82</v>
      </c>
      <c r="G13" s="221">
        <f>StSoMarks!G18/StSoMarks!G8</f>
        <v>1</v>
      </c>
      <c r="H13" s="221">
        <f>StSoMarks!H18/StSoMarks!H8</f>
        <v>1</v>
      </c>
      <c r="I13" s="221">
        <f>StSoMarks!I18/StSoMarks!I8</f>
        <v>1</v>
      </c>
      <c r="J13" s="221">
        <f>StSoMarks!J18/StSoMarks!J8</f>
        <v>1</v>
      </c>
      <c r="K13" s="221" t="e">
        <f>StSoMarks!K18/StSoMarks!K8</f>
        <v>#VALUE!</v>
      </c>
      <c r="L13" s="221" t="e">
        <f>StSoMarks!L18/StSoMarks!L8</f>
        <v>#VALUE!</v>
      </c>
      <c r="M13" s="221" t="e">
        <f>StSoMarks!M18/StSoMarks!M8</f>
        <v>#VALUE!</v>
      </c>
      <c r="N13" s="221" t="e">
        <f>StSoMarks!N18/StSoMarks!N8</f>
        <v>#VALUE!</v>
      </c>
      <c r="O13" s="221" t="e">
        <f>StSoMarks!O18/StSoMarks!O8</f>
        <v>#VALUE!</v>
      </c>
      <c r="P13" s="221" t="e">
        <f>StSoMarks!P18/StSoMarks!P8</f>
        <v>#VALUE!</v>
      </c>
      <c r="Q13" s="221">
        <f>StSoMarks!Q18/StSoMarks!Q8</f>
        <v>0.89</v>
      </c>
    </row>
    <row r="14" spans="1:17" x14ac:dyDescent="0.25">
      <c r="A14">
        <f>StSoMarks!A19</f>
        <v>8</v>
      </c>
      <c r="B14" t="str">
        <f>StSoMarks!B19</f>
        <v>Pharmaceutical sciences</v>
      </c>
      <c r="C14">
        <f>StSoMarks!C19</f>
        <v>452003886</v>
      </c>
      <c r="D14" t="str">
        <f>StSoMarks!D19</f>
        <v> SAFFANAH ABDULAZIZ A ALZAYDI</v>
      </c>
      <c r="E14" s="221">
        <f>StSoMarks!E19/StSoMarks!E8</f>
        <v>0.7</v>
      </c>
      <c r="F14" s="221">
        <f>StSoMarks!F19/StSoMarks!F8</f>
        <v>0.84</v>
      </c>
      <c r="G14" s="221">
        <f>StSoMarks!G19/StSoMarks!G8</f>
        <v>0.8</v>
      </c>
      <c r="H14" s="221">
        <f>StSoMarks!H19/StSoMarks!H8</f>
        <v>0.8</v>
      </c>
      <c r="I14" s="221">
        <f>StSoMarks!I19/StSoMarks!I8</f>
        <v>1</v>
      </c>
      <c r="J14" s="221">
        <f>StSoMarks!J19/StSoMarks!J8</f>
        <v>1</v>
      </c>
      <c r="K14" s="221" t="e">
        <f>StSoMarks!K19/StSoMarks!K8</f>
        <v>#VALUE!</v>
      </c>
      <c r="L14" s="221" t="e">
        <f>StSoMarks!L19/StSoMarks!L8</f>
        <v>#VALUE!</v>
      </c>
      <c r="M14" s="221" t="e">
        <f>StSoMarks!M19/StSoMarks!M8</f>
        <v>#VALUE!</v>
      </c>
      <c r="N14" s="221" t="e">
        <f>StSoMarks!N19/StSoMarks!N8</f>
        <v>#VALUE!</v>
      </c>
      <c r="O14" s="221" t="e">
        <f>StSoMarks!O19/StSoMarks!O8</f>
        <v>#VALUE!</v>
      </c>
      <c r="P14" s="221" t="e">
        <f>StSoMarks!P19/StSoMarks!P8</f>
        <v>#VALUE!</v>
      </c>
      <c r="Q14" s="221">
        <f>StSoMarks!Q19/StSoMarks!Q8</f>
        <v>0.85</v>
      </c>
    </row>
    <row r="15" spans="1:17" x14ac:dyDescent="0.25">
      <c r="A15">
        <f>StSoMarks!A20</f>
        <v>9</v>
      </c>
      <c r="B15" t="str">
        <f>StSoMarks!B20</f>
        <v>Pharmaceutical sciences</v>
      </c>
      <c r="C15">
        <f>StSoMarks!C20</f>
        <v>461003576</v>
      </c>
      <c r="D15" t="str">
        <f>StSoMarks!D20</f>
        <v> SHAIMA BASSAM M ALALI</v>
      </c>
      <c r="E15" s="221">
        <f>StSoMarks!E20/StSoMarks!E8</f>
        <v>0.2</v>
      </c>
      <c r="F15" s="221">
        <f>StSoMarks!F20/StSoMarks!F8</f>
        <v>0.68</v>
      </c>
      <c r="G15" s="221">
        <f>StSoMarks!G20/StSoMarks!G8</f>
        <v>0.4</v>
      </c>
      <c r="H15" s="221">
        <f>StSoMarks!H20/StSoMarks!H8</f>
        <v>0.2</v>
      </c>
      <c r="I15" s="221">
        <f>StSoMarks!I20/StSoMarks!I8</f>
        <v>0.7</v>
      </c>
      <c r="J15" s="221">
        <f>StSoMarks!J20/StSoMarks!J8</f>
        <v>1</v>
      </c>
      <c r="K15" s="221" t="e">
        <f>StSoMarks!K20/StSoMarks!K8</f>
        <v>#VALUE!</v>
      </c>
      <c r="L15" s="221" t="e">
        <f>StSoMarks!L20/StSoMarks!L8</f>
        <v>#VALUE!</v>
      </c>
      <c r="M15" s="221" t="e">
        <f>StSoMarks!M20/StSoMarks!M8</f>
        <v>#VALUE!</v>
      </c>
      <c r="N15" s="221" t="e">
        <f>StSoMarks!N20/StSoMarks!N8</f>
        <v>#VALUE!</v>
      </c>
      <c r="O15" s="221" t="e">
        <f>StSoMarks!O20/StSoMarks!O8</f>
        <v>#VALUE!</v>
      </c>
      <c r="P15" s="221" t="e">
        <f>StSoMarks!P20/StSoMarks!P8</f>
        <v>#VALUE!</v>
      </c>
      <c r="Q15" s="221">
        <f>StSoMarks!Q20/StSoMarks!Q8</f>
        <v>0.6</v>
      </c>
    </row>
    <row r="16" spans="1:17" x14ac:dyDescent="0.25">
      <c r="A16">
        <f>StSoMarks!A21</f>
        <v>10</v>
      </c>
      <c r="B16" t="str">
        <f>StSoMarks!B21</f>
        <v>Pharmaceutical sciences</v>
      </c>
      <c r="C16" t="str">
        <f>StSoMarks!C21</f>
        <v/>
      </c>
      <c r="D16" t="str">
        <f>StSoMarks!D21</f>
        <v/>
      </c>
      <c r="E16" s="221" t="e">
        <f>StSoMarks!E21/StSoMarks!E8</f>
        <v>#VALUE!</v>
      </c>
      <c r="F16" s="221" t="e">
        <f>StSoMarks!F21/StSoMarks!F8</f>
        <v>#VALUE!</v>
      </c>
      <c r="G16" s="221" t="e">
        <f>StSoMarks!G21/StSoMarks!G8</f>
        <v>#VALUE!</v>
      </c>
      <c r="H16" s="221" t="e">
        <f>StSoMarks!H21/StSoMarks!H8</f>
        <v>#VALUE!</v>
      </c>
      <c r="I16" s="221" t="e">
        <f>StSoMarks!I21/StSoMarks!I8</f>
        <v>#VALUE!</v>
      </c>
      <c r="J16" s="221" t="e">
        <f>StSoMarks!J21/StSoMarks!J8</f>
        <v>#VALUE!</v>
      </c>
      <c r="K16" s="221" t="e">
        <f>StSoMarks!K21/StSoMarks!K8</f>
        <v>#VALUE!</v>
      </c>
      <c r="L16" s="221" t="e">
        <f>StSoMarks!L21/StSoMarks!L8</f>
        <v>#VALUE!</v>
      </c>
      <c r="M16" s="221" t="e">
        <f>StSoMarks!M21/StSoMarks!M8</f>
        <v>#VALUE!</v>
      </c>
      <c r="N16" s="221" t="e">
        <f>StSoMarks!N21/StSoMarks!N8</f>
        <v>#VALUE!</v>
      </c>
      <c r="O16" s="221" t="e">
        <f>StSoMarks!O21/StSoMarks!O8</f>
        <v>#VALUE!</v>
      </c>
      <c r="P16" s="221" t="e">
        <f>StSoMarks!P21/StSoMarks!P8</f>
        <v>#VALUE!</v>
      </c>
      <c r="Q16" s="221" t="e">
        <f>StSoMarks!Q21/StSoMarks!Q8</f>
        <v>#VALUE!</v>
      </c>
    </row>
    <row r="17" spans="1:17" x14ac:dyDescent="0.25">
      <c r="A17">
        <f>StSoMarks!A22</f>
        <v>11</v>
      </c>
      <c r="B17" t="str">
        <f>StSoMarks!B22</f>
        <v>Pharmaceutical sciences</v>
      </c>
      <c r="C17" t="str">
        <f>StSoMarks!C22</f>
        <v/>
      </c>
      <c r="D17" t="str">
        <f>StSoMarks!D22</f>
        <v/>
      </c>
      <c r="E17" s="221" t="e">
        <f>StSoMarks!E22/StSoMarks!E8</f>
        <v>#VALUE!</v>
      </c>
      <c r="F17" s="221" t="e">
        <f>StSoMarks!F22/StSoMarks!F8</f>
        <v>#VALUE!</v>
      </c>
      <c r="G17" s="221" t="e">
        <f>StSoMarks!G22/StSoMarks!G8</f>
        <v>#VALUE!</v>
      </c>
      <c r="H17" s="221" t="e">
        <f>StSoMarks!H22/StSoMarks!H8</f>
        <v>#VALUE!</v>
      </c>
      <c r="I17" s="221" t="e">
        <f>StSoMarks!I22/StSoMarks!I8</f>
        <v>#VALUE!</v>
      </c>
      <c r="J17" s="221" t="e">
        <f>StSoMarks!J22/StSoMarks!J8</f>
        <v>#VALUE!</v>
      </c>
      <c r="K17" s="221" t="e">
        <f>StSoMarks!K22/StSoMarks!K8</f>
        <v>#VALUE!</v>
      </c>
      <c r="L17" s="221" t="e">
        <f>StSoMarks!L22/StSoMarks!L8</f>
        <v>#VALUE!</v>
      </c>
      <c r="M17" s="221" t="e">
        <f>StSoMarks!M22/StSoMarks!M8</f>
        <v>#VALUE!</v>
      </c>
      <c r="N17" s="221" t="e">
        <f>StSoMarks!N22/StSoMarks!N8</f>
        <v>#VALUE!</v>
      </c>
      <c r="O17" s="221" t="e">
        <f>StSoMarks!O22/StSoMarks!O8</f>
        <v>#VALUE!</v>
      </c>
      <c r="P17" s="221" t="e">
        <f>StSoMarks!P22/StSoMarks!P8</f>
        <v>#VALUE!</v>
      </c>
      <c r="Q17" s="221" t="e">
        <f>StSoMarks!Q22/StSoMarks!Q8</f>
        <v>#VALUE!</v>
      </c>
    </row>
    <row r="18" spans="1:17" x14ac:dyDescent="0.25">
      <c r="A18">
        <f>StSoMarks!A23</f>
        <v>12</v>
      </c>
      <c r="B18" t="str">
        <f>StSoMarks!B23</f>
        <v>Pharmaceutical sciences</v>
      </c>
      <c r="C18" t="str">
        <f>StSoMarks!C23</f>
        <v/>
      </c>
      <c r="D18" t="str">
        <f>StSoMarks!D23</f>
        <v/>
      </c>
      <c r="E18" s="221" t="e">
        <f>StSoMarks!E23/StSoMarks!E8</f>
        <v>#VALUE!</v>
      </c>
      <c r="F18" s="221" t="e">
        <f>StSoMarks!F23/StSoMarks!F8</f>
        <v>#VALUE!</v>
      </c>
      <c r="G18" s="221" t="e">
        <f>StSoMarks!G23/StSoMarks!G8</f>
        <v>#VALUE!</v>
      </c>
      <c r="H18" s="221" t="e">
        <f>StSoMarks!H23/StSoMarks!H8</f>
        <v>#VALUE!</v>
      </c>
      <c r="I18" s="221" t="e">
        <f>StSoMarks!I23/StSoMarks!I8</f>
        <v>#VALUE!</v>
      </c>
      <c r="J18" s="221" t="e">
        <f>StSoMarks!J23/StSoMarks!J8</f>
        <v>#VALUE!</v>
      </c>
      <c r="K18" s="221" t="e">
        <f>StSoMarks!K23/StSoMarks!K8</f>
        <v>#VALUE!</v>
      </c>
      <c r="L18" s="221" t="e">
        <f>StSoMarks!L23/StSoMarks!L8</f>
        <v>#VALUE!</v>
      </c>
      <c r="M18" s="221" t="e">
        <f>StSoMarks!M23/StSoMarks!M8</f>
        <v>#VALUE!</v>
      </c>
      <c r="N18" s="221" t="e">
        <f>StSoMarks!N23/StSoMarks!N8</f>
        <v>#VALUE!</v>
      </c>
      <c r="O18" s="221" t="e">
        <f>StSoMarks!O23/StSoMarks!O8</f>
        <v>#VALUE!</v>
      </c>
      <c r="P18" s="221" t="e">
        <f>StSoMarks!P23/StSoMarks!P8</f>
        <v>#VALUE!</v>
      </c>
      <c r="Q18" s="221" t="e">
        <f>StSoMarks!Q23/StSoMarks!Q8</f>
        <v>#VALUE!</v>
      </c>
    </row>
    <row r="19" spans="1:17" x14ac:dyDescent="0.25">
      <c r="A19">
        <f>StSoMarks!A24</f>
        <v>13</v>
      </c>
      <c r="B19" t="str">
        <f>StSoMarks!B24</f>
        <v>Pharmaceutical sciences</v>
      </c>
      <c r="C19" t="str">
        <f>StSoMarks!C24</f>
        <v/>
      </c>
      <c r="D19" t="str">
        <f>StSoMarks!D24</f>
        <v/>
      </c>
      <c r="E19" s="221" t="e">
        <f>StSoMarks!E24/StSoMarks!E8</f>
        <v>#VALUE!</v>
      </c>
      <c r="F19" s="221" t="e">
        <f>StSoMarks!F24/StSoMarks!F8</f>
        <v>#VALUE!</v>
      </c>
      <c r="G19" s="221" t="e">
        <f>StSoMarks!G24/StSoMarks!G8</f>
        <v>#VALUE!</v>
      </c>
      <c r="H19" s="221" t="e">
        <f>StSoMarks!H24/StSoMarks!H8</f>
        <v>#VALUE!</v>
      </c>
      <c r="I19" s="221" t="e">
        <f>StSoMarks!I24/StSoMarks!I8</f>
        <v>#VALUE!</v>
      </c>
      <c r="J19" s="221" t="e">
        <f>StSoMarks!J24/StSoMarks!J8</f>
        <v>#VALUE!</v>
      </c>
      <c r="K19" s="221" t="e">
        <f>StSoMarks!K24/StSoMarks!K8</f>
        <v>#VALUE!</v>
      </c>
      <c r="L19" s="221" t="e">
        <f>StSoMarks!L24/StSoMarks!L8</f>
        <v>#VALUE!</v>
      </c>
      <c r="M19" s="221" t="e">
        <f>StSoMarks!M24/StSoMarks!M8</f>
        <v>#VALUE!</v>
      </c>
      <c r="N19" s="221" t="e">
        <f>StSoMarks!N24/StSoMarks!N8</f>
        <v>#VALUE!</v>
      </c>
      <c r="O19" s="221" t="e">
        <f>StSoMarks!O24/StSoMarks!O8</f>
        <v>#VALUE!</v>
      </c>
      <c r="P19" s="221" t="e">
        <f>StSoMarks!P24/StSoMarks!P8</f>
        <v>#VALUE!</v>
      </c>
      <c r="Q19" s="221" t="e">
        <f>StSoMarks!Q24/StSoMarks!Q8</f>
        <v>#VALUE!</v>
      </c>
    </row>
    <row r="20" spans="1:17" x14ac:dyDescent="0.25">
      <c r="A20">
        <f>StSoMarks!A25</f>
        <v>14</v>
      </c>
      <c r="B20" t="str">
        <f>StSoMarks!B25</f>
        <v>Pharmaceutical sciences</v>
      </c>
      <c r="C20" t="str">
        <f>StSoMarks!C25</f>
        <v/>
      </c>
      <c r="D20" t="str">
        <f>StSoMarks!D25</f>
        <v/>
      </c>
      <c r="E20" s="221" t="e">
        <f>StSoMarks!E25/StSoMarks!E8</f>
        <v>#VALUE!</v>
      </c>
      <c r="F20" s="221" t="e">
        <f>StSoMarks!F25/StSoMarks!F8</f>
        <v>#VALUE!</v>
      </c>
      <c r="G20" s="221" t="e">
        <f>StSoMarks!G25/StSoMarks!G8</f>
        <v>#VALUE!</v>
      </c>
      <c r="H20" s="221" t="e">
        <f>StSoMarks!H25/StSoMarks!H8</f>
        <v>#VALUE!</v>
      </c>
      <c r="I20" s="221" t="e">
        <f>StSoMarks!I25/StSoMarks!I8</f>
        <v>#VALUE!</v>
      </c>
      <c r="J20" s="221" t="e">
        <f>StSoMarks!J25/StSoMarks!J8</f>
        <v>#VALUE!</v>
      </c>
      <c r="K20" s="221" t="e">
        <f>StSoMarks!K25/StSoMarks!K8</f>
        <v>#VALUE!</v>
      </c>
      <c r="L20" s="221" t="e">
        <f>StSoMarks!L25/StSoMarks!L8</f>
        <v>#VALUE!</v>
      </c>
      <c r="M20" s="221" t="e">
        <f>StSoMarks!M25/StSoMarks!M8</f>
        <v>#VALUE!</v>
      </c>
      <c r="N20" s="221" t="e">
        <f>StSoMarks!N25/StSoMarks!N8</f>
        <v>#VALUE!</v>
      </c>
      <c r="O20" s="221" t="e">
        <f>StSoMarks!O25/StSoMarks!O8</f>
        <v>#VALUE!</v>
      </c>
      <c r="P20" s="221" t="e">
        <f>StSoMarks!P25/StSoMarks!P8</f>
        <v>#VALUE!</v>
      </c>
      <c r="Q20" s="221" t="e">
        <f>StSoMarks!Q25/StSoMarks!Q8</f>
        <v>#VALUE!</v>
      </c>
    </row>
    <row r="21" spans="1:17" x14ac:dyDescent="0.25">
      <c r="A21">
        <f>StSoMarks!A26</f>
        <v>15</v>
      </c>
      <c r="B21" t="str">
        <f>StSoMarks!B26</f>
        <v>Pharmaceutical sciences</v>
      </c>
      <c r="C21" t="str">
        <f>StSoMarks!C26</f>
        <v/>
      </c>
      <c r="D21" t="str">
        <f>StSoMarks!D26</f>
        <v/>
      </c>
      <c r="E21" s="221" t="e">
        <f>StSoMarks!E26/StSoMarks!E8</f>
        <v>#VALUE!</v>
      </c>
      <c r="F21" s="221" t="e">
        <f>StSoMarks!F26/StSoMarks!F8</f>
        <v>#VALUE!</v>
      </c>
      <c r="G21" s="221" t="e">
        <f>StSoMarks!G26/StSoMarks!G8</f>
        <v>#VALUE!</v>
      </c>
      <c r="H21" s="221" t="e">
        <f>StSoMarks!H26/StSoMarks!H8</f>
        <v>#VALUE!</v>
      </c>
      <c r="I21" s="221" t="e">
        <f>StSoMarks!I26/StSoMarks!I8</f>
        <v>#VALUE!</v>
      </c>
      <c r="J21" s="221" t="e">
        <f>StSoMarks!J26/StSoMarks!J8</f>
        <v>#VALUE!</v>
      </c>
      <c r="K21" s="221" t="e">
        <f>StSoMarks!K26/StSoMarks!K8</f>
        <v>#VALUE!</v>
      </c>
      <c r="L21" s="221" t="e">
        <f>StSoMarks!L26/StSoMarks!L8</f>
        <v>#VALUE!</v>
      </c>
      <c r="M21" s="221" t="e">
        <f>StSoMarks!M26/StSoMarks!M8</f>
        <v>#VALUE!</v>
      </c>
      <c r="N21" s="221" t="e">
        <f>StSoMarks!N26/StSoMarks!N8</f>
        <v>#VALUE!</v>
      </c>
      <c r="O21" s="221" t="e">
        <f>StSoMarks!O26/StSoMarks!O8</f>
        <v>#VALUE!</v>
      </c>
      <c r="P21" s="221" t="e">
        <f>StSoMarks!P26/StSoMarks!P8</f>
        <v>#VALUE!</v>
      </c>
      <c r="Q21" s="221" t="e">
        <f>StSoMarks!Q26/StSoMarks!Q8</f>
        <v>#VALUE!</v>
      </c>
    </row>
    <row r="22" spans="1:17" x14ac:dyDescent="0.25">
      <c r="A22">
        <f>StSoMarks!A27</f>
        <v>16</v>
      </c>
      <c r="B22" t="str">
        <f>StSoMarks!B27</f>
        <v>Pharmaceutical sciences</v>
      </c>
      <c r="C22" t="str">
        <f>StSoMarks!C27</f>
        <v/>
      </c>
      <c r="D22" t="str">
        <f>StSoMarks!D27</f>
        <v/>
      </c>
      <c r="E22" s="221" t="e">
        <f>StSoMarks!E27/StSoMarks!E8</f>
        <v>#VALUE!</v>
      </c>
      <c r="F22" s="221" t="e">
        <f>StSoMarks!F27/StSoMarks!F8</f>
        <v>#VALUE!</v>
      </c>
      <c r="G22" s="221" t="e">
        <f>StSoMarks!G27/StSoMarks!G8</f>
        <v>#VALUE!</v>
      </c>
      <c r="H22" s="221" t="e">
        <f>StSoMarks!H27/StSoMarks!H8</f>
        <v>#VALUE!</v>
      </c>
      <c r="I22" s="221" t="e">
        <f>StSoMarks!I27/StSoMarks!I8</f>
        <v>#VALUE!</v>
      </c>
      <c r="J22" s="221" t="e">
        <f>StSoMarks!J27/StSoMarks!J8</f>
        <v>#VALUE!</v>
      </c>
      <c r="K22" s="221" t="e">
        <f>StSoMarks!K27/StSoMarks!K8</f>
        <v>#VALUE!</v>
      </c>
      <c r="L22" s="221" t="e">
        <f>StSoMarks!L27/StSoMarks!L8</f>
        <v>#VALUE!</v>
      </c>
      <c r="M22" s="221" t="e">
        <f>StSoMarks!M27/StSoMarks!M8</f>
        <v>#VALUE!</v>
      </c>
      <c r="N22" s="221" t="e">
        <f>StSoMarks!N27/StSoMarks!N8</f>
        <v>#VALUE!</v>
      </c>
      <c r="O22" s="221" t="e">
        <f>StSoMarks!O27/StSoMarks!O8</f>
        <v>#VALUE!</v>
      </c>
      <c r="P22" s="221" t="e">
        <f>StSoMarks!P27/StSoMarks!P8</f>
        <v>#VALUE!</v>
      </c>
      <c r="Q22" s="221" t="e">
        <f>StSoMarks!Q27/StSoMarks!Q8</f>
        <v>#VALUE!</v>
      </c>
    </row>
    <row r="23" spans="1:17" x14ac:dyDescent="0.25">
      <c r="A23">
        <f>StSoMarks!A28</f>
        <v>17</v>
      </c>
      <c r="B23" t="str">
        <f>StSoMarks!B28</f>
        <v>Pharmaceutical sciences</v>
      </c>
      <c r="C23" t="str">
        <f>StSoMarks!C28</f>
        <v/>
      </c>
      <c r="D23" t="str">
        <f>StSoMarks!D28</f>
        <v/>
      </c>
      <c r="E23" s="221" t="e">
        <f>StSoMarks!E28/StSoMarks!E8</f>
        <v>#VALUE!</v>
      </c>
      <c r="F23" s="221" t="e">
        <f>StSoMarks!F28/StSoMarks!F8</f>
        <v>#VALUE!</v>
      </c>
      <c r="G23" s="221" t="e">
        <f>StSoMarks!G28/StSoMarks!G8</f>
        <v>#VALUE!</v>
      </c>
      <c r="H23" s="221" t="e">
        <f>StSoMarks!H28/StSoMarks!H8</f>
        <v>#VALUE!</v>
      </c>
      <c r="I23" s="221" t="e">
        <f>StSoMarks!I28/StSoMarks!I8</f>
        <v>#VALUE!</v>
      </c>
      <c r="J23" s="221" t="e">
        <f>StSoMarks!J28/StSoMarks!J8</f>
        <v>#VALUE!</v>
      </c>
      <c r="K23" s="221" t="e">
        <f>StSoMarks!K28/StSoMarks!K8</f>
        <v>#VALUE!</v>
      </c>
      <c r="L23" s="221" t="e">
        <f>StSoMarks!L28/StSoMarks!L8</f>
        <v>#VALUE!</v>
      </c>
      <c r="M23" s="221" t="e">
        <f>StSoMarks!M28/StSoMarks!M8</f>
        <v>#VALUE!</v>
      </c>
      <c r="N23" s="221" t="e">
        <f>StSoMarks!N28/StSoMarks!N8</f>
        <v>#VALUE!</v>
      </c>
      <c r="O23" s="221" t="e">
        <f>StSoMarks!O28/StSoMarks!O8</f>
        <v>#VALUE!</v>
      </c>
      <c r="P23" s="221" t="e">
        <f>StSoMarks!P28/StSoMarks!P8</f>
        <v>#VALUE!</v>
      </c>
      <c r="Q23" s="221" t="e">
        <f>StSoMarks!Q28/StSoMarks!Q8</f>
        <v>#VALUE!</v>
      </c>
    </row>
    <row r="24" spans="1:17" x14ac:dyDescent="0.25">
      <c r="A24">
        <f>StSoMarks!A29</f>
        <v>18</v>
      </c>
      <c r="B24" t="str">
        <f>StSoMarks!B29</f>
        <v>Pharmaceutical sciences</v>
      </c>
      <c r="C24" t="str">
        <f>StSoMarks!C29</f>
        <v/>
      </c>
      <c r="D24" t="str">
        <f>StSoMarks!D29</f>
        <v/>
      </c>
      <c r="E24" s="221" t="e">
        <f>StSoMarks!E29/StSoMarks!E8</f>
        <v>#VALUE!</v>
      </c>
      <c r="F24" s="221" t="e">
        <f>StSoMarks!F29/StSoMarks!F8</f>
        <v>#VALUE!</v>
      </c>
      <c r="G24" s="221" t="e">
        <f>StSoMarks!G29/StSoMarks!G8</f>
        <v>#VALUE!</v>
      </c>
      <c r="H24" s="221" t="e">
        <f>StSoMarks!H29/StSoMarks!H8</f>
        <v>#VALUE!</v>
      </c>
      <c r="I24" s="221" t="e">
        <f>StSoMarks!I29/StSoMarks!I8</f>
        <v>#VALUE!</v>
      </c>
      <c r="J24" s="221" t="e">
        <f>StSoMarks!J29/StSoMarks!J8</f>
        <v>#VALUE!</v>
      </c>
      <c r="K24" s="221" t="e">
        <f>StSoMarks!K29/StSoMarks!K8</f>
        <v>#VALUE!</v>
      </c>
      <c r="L24" s="221" t="e">
        <f>StSoMarks!L29/StSoMarks!L8</f>
        <v>#VALUE!</v>
      </c>
      <c r="M24" s="221" t="e">
        <f>StSoMarks!M29/StSoMarks!M8</f>
        <v>#VALUE!</v>
      </c>
      <c r="N24" s="221" t="e">
        <f>StSoMarks!N29/StSoMarks!N8</f>
        <v>#VALUE!</v>
      </c>
      <c r="O24" s="221" t="e">
        <f>StSoMarks!O29/StSoMarks!O8</f>
        <v>#VALUE!</v>
      </c>
      <c r="P24" s="221" t="e">
        <f>StSoMarks!P29/StSoMarks!P8</f>
        <v>#VALUE!</v>
      </c>
      <c r="Q24" s="221" t="e">
        <f>StSoMarks!Q29/StSoMarks!Q8</f>
        <v>#VALUE!</v>
      </c>
    </row>
    <row r="25" spans="1:17" x14ac:dyDescent="0.25">
      <c r="A25">
        <f>StSoMarks!A30</f>
        <v>19</v>
      </c>
      <c r="B25" t="str">
        <f>StSoMarks!B30</f>
        <v>Pharmaceutical sciences</v>
      </c>
      <c r="C25" t="str">
        <f>StSoMarks!C30</f>
        <v/>
      </c>
      <c r="D25" t="str">
        <f>StSoMarks!D30</f>
        <v/>
      </c>
      <c r="E25" s="221" t="e">
        <f>StSoMarks!E30/StSoMarks!E8</f>
        <v>#VALUE!</v>
      </c>
      <c r="F25" s="221" t="e">
        <f>StSoMarks!F30/StSoMarks!F8</f>
        <v>#VALUE!</v>
      </c>
      <c r="G25" s="221" t="e">
        <f>StSoMarks!G30/StSoMarks!G8</f>
        <v>#VALUE!</v>
      </c>
      <c r="H25" s="221" t="e">
        <f>StSoMarks!H30/StSoMarks!H8</f>
        <v>#VALUE!</v>
      </c>
      <c r="I25" s="221" t="e">
        <f>StSoMarks!I30/StSoMarks!I8</f>
        <v>#VALUE!</v>
      </c>
      <c r="J25" s="221" t="e">
        <f>StSoMarks!J30/StSoMarks!J8</f>
        <v>#VALUE!</v>
      </c>
      <c r="K25" s="221" t="e">
        <f>StSoMarks!K30/StSoMarks!K8</f>
        <v>#VALUE!</v>
      </c>
      <c r="L25" s="221" t="e">
        <f>StSoMarks!L30/StSoMarks!L8</f>
        <v>#VALUE!</v>
      </c>
      <c r="M25" s="221" t="e">
        <f>StSoMarks!M30/StSoMarks!M8</f>
        <v>#VALUE!</v>
      </c>
      <c r="N25" s="221" t="e">
        <f>StSoMarks!N30/StSoMarks!N8</f>
        <v>#VALUE!</v>
      </c>
      <c r="O25" s="221" t="e">
        <f>StSoMarks!O30/StSoMarks!O8</f>
        <v>#VALUE!</v>
      </c>
      <c r="P25" s="221" t="e">
        <f>StSoMarks!P30/StSoMarks!P8</f>
        <v>#VALUE!</v>
      </c>
      <c r="Q25" s="221" t="e">
        <f>StSoMarks!Q30/StSoMarks!Q8</f>
        <v>#VALUE!</v>
      </c>
    </row>
    <row r="26" spans="1:17" x14ac:dyDescent="0.25">
      <c r="A26">
        <f>StSoMarks!A31</f>
        <v>20</v>
      </c>
      <c r="B26" t="str">
        <f>StSoMarks!B31</f>
        <v>Pharmaceutical sciences</v>
      </c>
      <c r="C26" t="str">
        <f>StSoMarks!C31</f>
        <v/>
      </c>
      <c r="D26" t="str">
        <f>StSoMarks!D31</f>
        <v/>
      </c>
      <c r="E26" s="221" t="e">
        <f>StSoMarks!E31/StSoMarks!E8</f>
        <v>#VALUE!</v>
      </c>
      <c r="F26" s="221" t="e">
        <f>StSoMarks!F31/StSoMarks!F8</f>
        <v>#VALUE!</v>
      </c>
      <c r="G26" s="221" t="e">
        <f>StSoMarks!G31/StSoMarks!G8</f>
        <v>#VALUE!</v>
      </c>
      <c r="H26" s="221" t="e">
        <f>StSoMarks!H31/StSoMarks!H8</f>
        <v>#VALUE!</v>
      </c>
      <c r="I26" s="221" t="e">
        <f>StSoMarks!I31/StSoMarks!I8</f>
        <v>#VALUE!</v>
      </c>
      <c r="J26" s="221" t="e">
        <f>StSoMarks!J31/StSoMarks!J8</f>
        <v>#VALUE!</v>
      </c>
      <c r="K26" s="221" t="e">
        <f>StSoMarks!K31/StSoMarks!K8</f>
        <v>#VALUE!</v>
      </c>
      <c r="L26" s="221" t="e">
        <f>StSoMarks!L31/StSoMarks!L8</f>
        <v>#VALUE!</v>
      </c>
      <c r="M26" s="221" t="e">
        <f>StSoMarks!M31/StSoMarks!M8</f>
        <v>#VALUE!</v>
      </c>
      <c r="N26" s="221" t="e">
        <f>StSoMarks!N31/StSoMarks!N8</f>
        <v>#VALUE!</v>
      </c>
      <c r="O26" s="221" t="e">
        <f>StSoMarks!O31/StSoMarks!O8</f>
        <v>#VALUE!</v>
      </c>
      <c r="P26" s="221" t="e">
        <f>StSoMarks!P31/StSoMarks!P8</f>
        <v>#VALUE!</v>
      </c>
      <c r="Q26" s="221" t="e">
        <f>StSoMarks!Q31/StSoMarks!Q8</f>
        <v>#VALUE!</v>
      </c>
    </row>
    <row r="27" spans="1:17" x14ac:dyDescent="0.25">
      <c r="A27">
        <f>StSoMarks!A32</f>
        <v>21</v>
      </c>
      <c r="B27" t="str">
        <f>StSoMarks!B32</f>
        <v>Pharmaceutical sciences</v>
      </c>
      <c r="C27" t="str">
        <f>StSoMarks!C32</f>
        <v/>
      </c>
      <c r="D27" t="str">
        <f>StSoMarks!D32</f>
        <v/>
      </c>
      <c r="E27" s="221" t="e">
        <f>StSoMarks!E32/StSoMarks!E8</f>
        <v>#VALUE!</v>
      </c>
      <c r="F27" s="221" t="e">
        <f>StSoMarks!F32/StSoMarks!F8</f>
        <v>#VALUE!</v>
      </c>
      <c r="G27" s="221" t="e">
        <f>StSoMarks!G32/StSoMarks!G8</f>
        <v>#VALUE!</v>
      </c>
      <c r="H27" s="221" t="e">
        <f>StSoMarks!H32/StSoMarks!H8</f>
        <v>#VALUE!</v>
      </c>
      <c r="I27" s="221" t="e">
        <f>StSoMarks!I32/StSoMarks!I8</f>
        <v>#VALUE!</v>
      </c>
      <c r="J27" s="221" t="e">
        <f>StSoMarks!J32/StSoMarks!J8</f>
        <v>#VALUE!</v>
      </c>
      <c r="K27" s="221" t="e">
        <f>StSoMarks!K32/StSoMarks!K8</f>
        <v>#VALUE!</v>
      </c>
      <c r="L27" s="221" t="e">
        <f>StSoMarks!L32/StSoMarks!L8</f>
        <v>#VALUE!</v>
      </c>
      <c r="M27" s="221" t="e">
        <f>StSoMarks!M32/StSoMarks!M8</f>
        <v>#VALUE!</v>
      </c>
      <c r="N27" s="221" t="e">
        <f>StSoMarks!N32/StSoMarks!N8</f>
        <v>#VALUE!</v>
      </c>
      <c r="O27" s="221" t="e">
        <f>StSoMarks!O32/StSoMarks!O8</f>
        <v>#VALUE!</v>
      </c>
      <c r="P27" s="221" t="e">
        <f>StSoMarks!P32/StSoMarks!P8</f>
        <v>#VALUE!</v>
      </c>
      <c r="Q27" s="221" t="e">
        <f>StSoMarks!Q32/StSoMarks!Q8</f>
        <v>#VALUE!</v>
      </c>
    </row>
    <row r="28" spans="1:17" x14ac:dyDescent="0.25">
      <c r="A28">
        <f>StSoMarks!A33</f>
        <v>22</v>
      </c>
      <c r="B28" t="str">
        <f>StSoMarks!B33</f>
        <v>Pharmaceutical sciences</v>
      </c>
      <c r="C28" t="str">
        <f>StSoMarks!C33</f>
        <v/>
      </c>
      <c r="D28" t="str">
        <f>StSoMarks!D33</f>
        <v/>
      </c>
      <c r="E28" s="221" t="e">
        <f>StSoMarks!E33/StSoMarks!E8</f>
        <v>#VALUE!</v>
      </c>
      <c r="F28" s="221" t="e">
        <f>StSoMarks!F33/StSoMarks!F8</f>
        <v>#VALUE!</v>
      </c>
      <c r="G28" s="221" t="e">
        <f>StSoMarks!G33/StSoMarks!G8</f>
        <v>#VALUE!</v>
      </c>
      <c r="H28" s="221" t="e">
        <f>StSoMarks!H33/StSoMarks!H8</f>
        <v>#VALUE!</v>
      </c>
      <c r="I28" s="221" t="e">
        <f>StSoMarks!I33/StSoMarks!I8</f>
        <v>#VALUE!</v>
      </c>
      <c r="J28" s="221" t="e">
        <f>StSoMarks!J33/StSoMarks!J8</f>
        <v>#VALUE!</v>
      </c>
      <c r="K28" s="221" t="e">
        <f>StSoMarks!K33/StSoMarks!K8</f>
        <v>#VALUE!</v>
      </c>
      <c r="L28" s="221" t="e">
        <f>StSoMarks!L33/StSoMarks!L8</f>
        <v>#VALUE!</v>
      </c>
      <c r="M28" s="221" t="e">
        <f>StSoMarks!M33/StSoMarks!M8</f>
        <v>#VALUE!</v>
      </c>
      <c r="N28" s="221" t="e">
        <f>StSoMarks!N33/StSoMarks!N8</f>
        <v>#VALUE!</v>
      </c>
      <c r="O28" s="221" t="e">
        <f>StSoMarks!O33/StSoMarks!O8</f>
        <v>#VALUE!</v>
      </c>
      <c r="P28" s="221" t="e">
        <f>StSoMarks!P33/StSoMarks!P8</f>
        <v>#VALUE!</v>
      </c>
      <c r="Q28" s="221" t="e">
        <f>StSoMarks!Q33/StSoMarks!Q8</f>
        <v>#VALUE!</v>
      </c>
    </row>
    <row r="29" spans="1:17" x14ac:dyDescent="0.25">
      <c r="A29">
        <f>StSoMarks!A34</f>
        <v>23</v>
      </c>
      <c r="B29" t="str">
        <f>StSoMarks!B34</f>
        <v>Pharmaceutical sciences</v>
      </c>
      <c r="C29" t="str">
        <f>StSoMarks!C34</f>
        <v/>
      </c>
      <c r="D29" t="str">
        <f>StSoMarks!D34</f>
        <v/>
      </c>
      <c r="E29" s="221" t="e">
        <f>StSoMarks!E34/StSoMarks!E8</f>
        <v>#VALUE!</v>
      </c>
      <c r="F29" s="221" t="e">
        <f>StSoMarks!F34/StSoMarks!F8</f>
        <v>#VALUE!</v>
      </c>
      <c r="G29" s="221" t="e">
        <f>StSoMarks!G34/StSoMarks!G8</f>
        <v>#VALUE!</v>
      </c>
      <c r="H29" s="221" t="e">
        <f>StSoMarks!H34/StSoMarks!H8</f>
        <v>#VALUE!</v>
      </c>
      <c r="I29" s="221" t="e">
        <f>StSoMarks!I34/StSoMarks!I8</f>
        <v>#VALUE!</v>
      </c>
      <c r="J29" s="221" t="e">
        <f>StSoMarks!J34/StSoMarks!J8</f>
        <v>#VALUE!</v>
      </c>
      <c r="K29" s="221" t="e">
        <f>StSoMarks!K34/StSoMarks!K8</f>
        <v>#VALUE!</v>
      </c>
      <c r="L29" s="221" t="e">
        <f>StSoMarks!L34/StSoMarks!L8</f>
        <v>#VALUE!</v>
      </c>
      <c r="M29" s="221" t="e">
        <f>StSoMarks!M34/StSoMarks!M8</f>
        <v>#VALUE!</v>
      </c>
      <c r="N29" s="221" t="e">
        <f>StSoMarks!N34/StSoMarks!N8</f>
        <v>#VALUE!</v>
      </c>
      <c r="O29" s="221" t="e">
        <f>StSoMarks!O34/StSoMarks!O8</f>
        <v>#VALUE!</v>
      </c>
      <c r="P29" s="221" t="e">
        <f>StSoMarks!P34/StSoMarks!P8</f>
        <v>#VALUE!</v>
      </c>
      <c r="Q29" s="221" t="e">
        <f>StSoMarks!Q34/StSoMarks!Q8</f>
        <v>#VALUE!</v>
      </c>
    </row>
    <row r="30" spans="1:17" x14ac:dyDescent="0.25">
      <c r="A30">
        <f>StSoMarks!A35</f>
        <v>24</v>
      </c>
      <c r="B30" t="str">
        <f>StSoMarks!B35</f>
        <v>Pharmaceutical sciences</v>
      </c>
      <c r="C30" t="str">
        <f>StSoMarks!C35</f>
        <v/>
      </c>
      <c r="D30" t="str">
        <f>StSoMarks!D35</f>
        <v/>
      </c>
      <c r="E30" s="221" t="e">
        <f>StSoMarks!E35/StSoMarks!E8</f>
        <v>#VALUE!</v>
      </c>
      <c r="F30" s="221" t="e">
        <f>StSoMarks!F35/StSoMarks!F8</f>
        <v>#VALUE!</v>
      </c>
      <c r="G30" s="221" t="e">
        <f>StSoMarks!G35/StSoMarks!G8</f>
        <v>#VALUE!</v>
      </c>
      <c r="H30" s="221" t="e">
        <f>StSoMarks!H35/StSoMarks!H8</f>
        <v>#VALUE!</v>
      </c>
      <c r="I30" s="221" t="e">
        <f>StSoMarks!I35/StSoMarks!I8</f>
        <v>#VALUE!</v>
      </c>
      <c r="J30" s="221" t="e">
        <f>StSoMarks!J35/StSoMarks!J8</f>
        <v>#VALUE!</v>
      </c>
      <c r="K30" s="221" t="e">
        <f>StSoMarks!K35/StSoMarks!K8</f>
        <v>#VALUE!</v>
      </c>
      <c r="L30" s="221" t="e">
        <f>StSoMarks!L35/StSoMarks!L8</f>
        <v>#VALUE!</v>
      </c>
      <c r="M30" s="221" t="e">
        <f>StSoMarks!M35/StSoMarks!M8</f>
        <v>#VALUE!</v>
      </c>
      <c r="N30" s="221" t="e">
        <f>StSoMarks!N35/StSoMarks!N8</f>
        <v>#VALUE!</v>
      </c>
      <c r="O30" s="221" t="e">
        <f>StSoMarks!O35/StSoMarks!O8</f>
        <v>#VALUE!</v>
      </c>
      <c r="P30" s="221" t="e">
        <f>StSoMarks!P35/StSoMarks!P8</f>
        <v>#VALUE!</v>
      </c>
      <c r="Q30" s="221" t="e">
        <f>StSoMarks!Q35/StSoMarks!Q8</f>
        <v>#VALUE!</v>
      </c>
    </row>
    <row r="31" spans="1:17" x14ac:dyDescent="0.25">
      <c r="A31">
        <f>StSoMarks!A36</f>
        <v>25</v>
      </c>
      <c r="B31" t="str">
        <f>StSoMarks!B36</f>
        <v>Pharmaceutical sciences</v>
      </c>
      <c r="C31" t="str">
        <f>StSoMarks!C36</f>
        <v/>
      </c>
      <c r="D31" t="str">
        <f>StSoMarks!D36</f>
        <v/>
      </c>
      <c r="E31" s="221" t="e">
        <f>StSoMarks!E36/StSoMarks!E8</f>
        <v>#VALUE!</v>
      </c>
      <c r="F31" s="221" t="e">
        <f>StSoMarks!F36/StSoMarks!F8</f>
        <v>#VALUE!</v>
      </c>
      <c r="G31" s="221" t="e">
        <f>StSoMarks!G36/StSoMarks!G8</f>
        <v>#VALUE!</v>
      </c>
      <c r="H31" s="221" t="e">
        <f>StSoMarks!H36/StSoMarks!H8</f>
        <v>#VALUE!</v>
      </c>
      <c r="I31" s="221" t="e">
        <f>StSoMarks!I36/StSoMarks!I8</f>
        <v>#VALUE!</v>
      </c>
      <c r="J31" s="221" t="e">
        <f>StSoMarks!J36/StSoMarks!J8</f>
        <v>#VALUE!</v>
      </c>
      <c r="K31" s="221" t="e">
        <f>StSoMarks!K36/StSoMarks!K8</f>
        <v>#VALUE!</v>
      </c>
      <c r="L31" s="221" t="e">
        <f>StSoMarks!L36/StSoMarks!L8</f>
        <v>#VALUE!</v>
      </c>
      <c r="M31" s="221" t="e">
        <f>StSoMarks!M36/StSoMarks!M8</f>
        <v>#VALUE!</v>
      </c>
      <c r="N31" s="221" t="e">
        <f>StSoMarks!N36/StSoMarks!N8</f>
        <v>#VALUE!</v>
      </c>
      <c r="O31" s="221" t="e">
        <f>StSoMarks!O36/StSoMarks!O8</f>
        <v>#VALUE!</v>
      </c>
      <c r="P31" s="221" t="e">
        <f>StSoMarks!P36/StSoMarks!P8</f>
        <v>#VALUE!</v>
      </c>
      <c r="Q31" s="221" t="e">
        <f>StSoMarks!Q36/StSoMarks!Q8</f>
        <v>#VALUE!</v>
      </c>
    </row>
    <row r="32" spans="1:17" x14ac:dyDescent="0.25">
      <c r="A32">
        <f>StSoMarks!A37</f>
        <v>26</v>
      </c>
      <c r="B32" t="str">
        <f>StSoMarks!B37</f>
        <v>Pharmaceutical sciences</v>
      </c>
      <c r="C32" t="str">
        <f>StSoMarks!C37</f>
        <v/>
      </c>
      <c r="D32" t="str">
        <f>StSoMarks!D37</f>
        <v/>
      </c>
      <c r="E32" s="221" t="e">
        <f>StSoMarks!E37/StSoMarks!E8</f>
        <v>#VALUE!</v>
      </c>
      <c r="F32" s="221" t="e">
        <f>StSoMarks!F37/StSoMarks!F8</f>
        <v>#VALUE!</v>
      </c>
      <c r="G32" s="221" t="e">
        <f>StSoMarks!G37/StSoMarks!G8</f>
        <v>#VALUE!</v>
      </c>
      <c r="H32" s="221" t="e">
        <f>StSoMarks!H37/StSoMarks!H8</f>
        <v>#VALUE!</v>
      </c>
      <c r="I32" s="221" t="e">
        <f>StSoMarks!I37/StSoMarks!I8</f>
        <v>#VALUE!</v>
      </c>
      <c r="J32" s="221" t="e">
        <f>StSoMarks!J37/StSoMarks!J8</f>
        <v>#VALUE!</v>
      </c>
      <c r="K32" s="221" t="e">
        <f>StSoMarks!K37/StSoMarks!K8</f>
        <v>#VALUE!</v>
      </c>
      <c r="L32" s="221" t="e">
        <f>StSoMarks!L37/StSoMarks!L8</f>
        <v>#VALUE!</v>
      </c>
      <c r="M32" s="221" t="e">
        <f>StSoMarks!M37/StSoMarks!M8</f>
        <v>#VALUE!</v>
      </c>
      <c r="N32" s="221" t="e">
        <f>StSoMarks!N37/StSoMarks!N8</f>
        <v>#VALUE!</v>
      </c>
      <c r="O32" s="221" t="e">
        <f>StSoMarks!O37/StSoMarks!O8</f>
        <v>#VALUE!</v>
      </c>
      <c r="P32" s="221" t="e">
        <f>StSoMarks!P37/StSoMarks!P8</f>
        <v>#VALUE!</v>
      </c>
      <c r="Q32" s="221" t="e">
        <f>StSoMarks!Q37/StSoMarks!Q8</f>
        <v>#VALUE!</v>
      </c>
    </row>
    <row r="33" spans="1:17" x14ac:dyDescent="0.25">
      <c r="A33">
        <f>StSoMarks!A38</f>
        <v>27</v>
      </c>
      <c r="B33" t="str">
        <f>StSoMarks!B38</f>
        <v>Pharmaceutical sciences</v>
      </c>
      <c r="C33" t="str">
        <f>StSoMarks!C38</f>
        <v/>
      </c>
      <c r="D33" t="str">
        <f>StSoMarks!D38</f>
        <v/>
      </c>
      <c r="E33" s="221" t="e">
        <f>StSoMarks!E38/StSoMarks!E8</f>
        <v>#VALUE!</v>
      </c>
      <c r="F33" s="221" t="e">
        <f>StSoMarks!F38/StSoMarks!F8</f>
        <v>#VALUE!</v>
      </c>
      <c r="G33" s="221" t="e">
        <f>StSoMarks!G38/StSoMarks!G8</f>
        <v>#VALUE!</v>
      </c>
      <c r="H33" s="221" t="e">
        <f>StSoMarks!H38/StSoMarks!H8</f>
        <v>#VALUE!</v>
      </c>
      <c r="I33" s="221" t="e">
        <f>StSoMarks!I38/StSoMarks!I8</f>
        <v>#VALUE!</v>
      </c>
      <c r="J33" s="221" t="e">
        <f>StSoMarks!J38/StSoMarks!J8</f>
        <v>#VALUE!</v>
      </c>
      <c r="K33" s="221" t="e">
        <f>StSoMarks!K38/StSoMarks!K8</f>
        <v>#VALUE!</v>
      </c>
      <c r="L33" s="221" t="e">
        <f>StSoMarks!L38/StSoMarks!L8</f>
        <v>#VALUE!</v>
      </c>
      <c r="M33" s="221" t="e">
        <f>StSoMarks!M38/StSoMarks!M8</f>
        <v>#VALUE!</v>
      </c>
      <c r="N33" s="221" t="e">
        <f>StSoMarks!N38/StSoMarks!N8</f>
        <v>#VALUE!</v>
      </c>
      <c r="O33" s="221" t="e">
        <f>StSoMarks!O38/StSoMarks!O8</f>
        <v>#VALUE!</v>
      </c>
      <c r="P33" s="221" t="e">
        <f>StSoMarks!P38/StSoMarks!P8</f>
        <v>#VALUE!</v>
      </c>
      <c r="Q33" s="221" t="e">
        <f>StSoMarks!Q38/StSoMarks!Q8</f>
        <v>#VALUE!</v>
      </c>
    </row>
    <row r="34" spans="1:17" x14ac:dyDescent="0.25">
      <c r="A34">
        <f>StSoMarks!A39</f>
        <v>28</v>
      </c>
      <c r="B34" t="str">
        <f>StSoMarks!B39</f>
        <v>Pharmaceutical sciences</v>
      </c>
      <c r="C34" t="str">
        <f>StSoMarks!C39</f>
        <v/>
      </c>
      <c r="D34" t="str">
        <f>StSoMarks!D39</f>
        <v/>
      </c>
      <c r="E34" s="221" t="e">
        <f>StSoMarks!E39/StSoMarks!E8</f>
        <v>#VALUE!</v>
      </c>
      <c r="F34" s="221" t="e">
        <f>StSoMarks!F39/StSoMarks!F8</f>
        <v>#VALUE!</v>
      </c>
      <c r="G34" s="221" t="e">
        <f>StSoMarks!G39/StSoMarks!G8</f>
        <v>#VALUE!</v>
      </c>
      <c r="H34" s="221" t="e">
        <f>StSoMarks!H39/StSoMarks!H8</f>
        <v>#VALUE!</v>
      </c>
      <c r="I34" s="221" t="e">
        <f>StSoMarks!I39/StSoMarks!I8</f>
        <v>#VALUE!</v>
      </c>
      <c r="J34" s="221" t="e">
        <f>StSoMarks!J39/StSoMarks!J8</f>
        <v>#VALUE!</v>
      </c>
      <c r="K34" s="221" t="e">
        <f>StSoMarks!K39/StSoMarks!K8</f>
        <v>#VALUE!</v>
      </c>
      <c r="L34" s="221" t="e">
        <f>StSoMarks!L39/StSoMarks!L8</f>
        <v>#VALUE!</v>
      </c>
      <c r="M34" s="221" t="e">
        <f>StSoMarks!M39/StSoMarks!M8</f>
        <v>#VALUE!</v>
      </c>
      <c r="N34" s="221" t="e">
        <f>StSoMarks!N39/StSoMarks!N8</f>
        <v>#VALUE!</v>
      </c>
      <c r="O34" s="221" t="e">
        <f>StSoMarks!O39/StSoMarks!O8</f>
        <v>#VALUE!</v>
      </c>
      <c r="P34" s="221" t="e">
        <f>StSoMarks!P39/StSoMarks!P8</f>
        <v>#VALUE!</v>
      </c>
      <c r="Q34" s="221" t="e">
        <f>StSoMarks!Q39/StSoMarks!Q8</f>
        <v>#VALUE!</v>
      </c>
    </row>
    <row r="35" spans="1:17" x14ac:dyDescent="0.25">
      <c r="A35">
        <f>StSoMarks!A40</f>
        <v>29</v>
      </c>
      <c r="B35" t="str">
        <f>StSoMarks!B40</f>
        <v>Pharmaceutical sciences</v>
      </c>
      <c r="C35" t="str">
        <f>StSoMarks!C40</f>
        <v/>
      </c>
      <c r="D35" t="str">
        <f>StSoMarks!D40</f>
        <v/>
      </c>
      <c r="E35" s="221" t="e">
        <f>StSoMarks!E40/StSoMarks!E8</f>
        <v>#VALUE!</v>
      </c>
      <c r="F35" s="221" t="e">
        <f>StSoMarks!F40/StSoMarks!F8</f>
        <v>#VALUE!</v>
      </c>
      <c r="G35" s="221" t="e">
        <f>StSoMarks!G40/StSoMarks!G8</f>
        <v>#VALUE!</v>
      </c>
      <c r="H35" s="221" t="e">
        <f>StSoMarks!H40/StSoMarks!H8</f>
        <v>#VALUE!</v>
      </c>
      <c r="I35" s="221" t="e">
        <f>StSoMarks!I40/StSoMarks!I8</f>
        <v>#VALUE!</v>
      </c>
      <c r="J35" s="221" t="e">
        <f>StSoMarks!J40/StSoMarks!J8</f>
        <v>#VALUE!</v>
      </c>
      <c r="K35" s="221" t="e">
        <f>StSoMarks!K40/StSoMarks!K8</f>
        <v>#VALUE!</v>
      </c>
      <c r="L35" s="221" t="e">
        <f>StSoMarks!L40/StSoMarks!L8</f>
        <v>#VALUE!</v>
      </c>
      <c r="M35" s="221" t="e">
        <f>StSoMarks!M40/StSoMarks!M8</f>
        <v>#VALUE!</v>
      </c>
      <c r="N35" s="221" t="e">
        <f>StSoMarks!N40/StSoMarks!N8</f>
        <v>#VALUE!</v>
      </c>
      <c r="O35" s="221" t="e">
        <f>StSoMarks!O40/StSoMarks!O8</f>
        <v>#VALUE!</v>
      </c>
      <c r="P35" s="221" t="e">
        <f>StSoMarks!P40/StSoMarks!P8</f>
        <v>#VALUE!</v>
      </c>
      <c r="Q35" s="221" t="e">
        <f>StSoMarks!Q40/StSoMarks!Q8</f>
        <v>#VALUE!</v>
      </c>
    </row>
    <row r="36" spans="1:17" x14ac:dyDescent="0.25">
      <c r="A36">
        <f>StSoMarks!A41</f>
        <v>30</v>
      </c>
      <c r="B36" t="str">
        <f>StSoMarks!B41</f>
        <v>Pharmaceutical sciences</v>
      </c>
      <c r="C36" t="str">
        <f>StSoMarks!C41</f>
        <v/>
      </c>
      <c r="D36" t="str">
        <f>StSoMarks!D41</f>
        <v/>
      </c>
      <c r="E36" s="221" t="e">
        <f>StSoMarks!E41/StSoMarks!E8</f>
        <v>#VALUE!</v>
      </c>
      <c r="F36" s="221" t="e">
        <f>StSoMarks!F41/StSoMarks!F8</f>
        <v>#VALUE!</v>
      </c>
      <c r="G36" s="221" t="e">
        <f>StSoMarks!G41/StSoMarks!G8</f>
        <v>#VALUE!</v>
      </c>
      <c r="H36" s="221" t="e">
        <f>StSoMarks!H41/StSoMarks!H8</f>
        <v>#VALUE!</v>
      </c>
      <c r="I36" s="221" t="e">
        <f>StSoMarks!I41/StSoMarks!I8</f>
        <v>#VALUE!</v>
      </c>
      <c r="J36" s="221" t="e">
        <f>StSoMarks!J41/StSoMarks!J8</f>
        <v>#VALUE!</v>
      </c>
      <c r="K36" s="221" t="e">
        <f>StSoMarks!K41/StSoMarks!K8</f>
        <v>#VALUE!</v>
      </c>
      <c r="L36" s="221" t="e">
        <f>StSoMarks!L41/StSoMarks!L8</f>
        <v>#VALUE!</v>
      </c>
      <c r="M36" s="221" t="e">
        <f>StSoMarks!M41/StSoMarks!M8</f>
        <v>#VALUE!</v>
      </c>
      <c r="N36" s="221" t="e">
        <f>StSoMarks!N41/StSoMarks!N8</f>
        <v>#VALUE!</v>
      </c>
      <c r="O36" s="221" t="e">
        <f>StSoMarks!O41/StSoMarks!O8</f>
        <v>#VALUE!</v>
      </c>
      <c r="P36" s="221" t="e">
        <f>StSoMarks!P41/StSoMarks!P8</f>
        <v>#VALUE!</v>
      </c>
      <c r="Q36" s="221" t="e">
        <f>StSoMarks!Q41/StSoMarks!Q8</f>
        <v>#VALUE!</v>
      </c>
    </row>
    <row r="37" spans="1:17" x14ac:dyDescent="0.25">
      <c r="A37">
        <f>StSoMarks!A42</f>
        <v>31</v>
      </c>
      <c r="B37" t="str">
        <f>StSoMarks!B42</f>
        <v>Pharmaceutical sciences</v>
      </c>
      <c r="C37" t="str">
        <f>StSoMarks!C42</f>
        <v/>
      </c>
      <c r="D37" t="str">
        <f>StSoMarks!D42</f>
        <v/>
      </c>
      <c r="E37" s="221" t="e">
        <f>StSoMarks!E42/StSoMarks!E8</f>
        <v>#VALUE!</v>
      </c>
      <c r="F37" s="221" t="e">
        <f>StSoMarks!F42/StSoMarks!F8</f>
        <v>#VALUE!</v>
      </c>
      <c r="G37" s="221" t="e">
        <f>StSoMarks!G42/StSoMarks!G8</f>
        <v>#VALUE!</v>
      </c>
      <c r="H37" s="221" t="e">
        <f>StSoMarks!H42/StSoMarks!H8</f>
        <v>#VALUE!</v>
      </c>
      <c r="I37" s="221" t="e">
        <f>StSoMarks!I42/StSoMarks!I8</f>
        <v>#VALUE!</v>
      </c>
      <c r="J37" s="221" t="e">
        <f>StSoMarks!J42/StSoMarks!J8</f>
        <v>#VALUE!</v>
      </c>
      <c r="K37" s="221" t="e">
        <f>StSoMarks!K42/StSoMarks!K8</f>
        <v>#VALUE!</v>
      </c>
      <c r="L37" s="221" t="e">
        <f>StSoMarks!L42/StSoMarks!L8</f>
        <v>#VALUE!</v>
      </c>
      <c r="M37" s="221" t="e">
        <f>StSoMarks!M42/StSoMarks!M8</f>
        <v>#VALUE!</v>
      </c>
      <c r="N37" s="221" t="e">
        <f>StSoMarks!N42/StSoMarks!N8</f>
        <v>#VALUE!</v>
      </c>
      <c r="O37" s="221" t="e">
        <f>StSoMarks!O42/StSoMarks!O8</f>
        <v>#VALUE!</v>
      </c>
      <c r="P37" s="221" t="e">
        <f>StSoMarks!P42/StSoMarks!P8</f>
        <v>#VALUE!</v>
      </c>
      <c r="Q37" s="221" t="e">
        <f>StSoMarks!Q42/StSoMarks!Q8</f>
        <v>#VALUE!</v>
      </c>
    </row>
    <row r="38" spans="1:17" x14ac:dyDescent="0.25">
      <c r="A38">
        <f>StSoMarks!A43</f>
        <v>32</v>
      </c>
      <c r="B38" t="str">
        <f>StSoMarks!B43</f>
        <v>Pharmaceutical sciences</v>
      </c>
      <c r="C38" t="str">
        <f>StSoMarks!C43</f>
        <v/>
      </c>
      <c r="D38" t="str">
        <f>StSoMarks!D43</f>
        <v/>
      </c>
      <c r="E38" s="221" t="e">
        <f>StSoMarks!E43/StSoMarks!E8</f>
        <v>#VALUE!</v>
      </c>
      <c r="F38" s="221" t="e">
        <f>StSoMarks!F43/StSoMarks!F8</f>
        <v>#VALUE!</v>
      </c>
      <c r="G38" s="221" t="e">
        <f>StSoMarks!G43/StSoMarks!G8</f>
        <v>#VALUE!</v>
      </c>
      <c r="H38" s="221" t="e">
        <f>StSoMarks!H43/StSoMarks!H8</f>
        <v>#VALUE!</v>
      </c>
      <c r="I38" s="221" t="e">
        <f>StSoMarks!I43/StSoMarks!I8</f>
        <v>#VALUE!</v>
      </c>
      <c r="J38" s="221" t="e">
        <f>StSoMarks!J43/StSoMarks!J8</f>
        <v>#VALUE!</v>
      </c>
      <c r="K38" s="221" t="e">
        <f>StSoMarks!K43/StSoMarks!K8</f>
        <v>#VALUE!</v>
      </c>
      <c r="L38" s="221" t="e">
        <f>StSoMarks!L43/StSoMarks!L8</f>
        <v>#VALUE!</v>
      </c>
      <c r="M38" s="221" t="e">
        <f>StSoMarks!M43/StSoMarks!M8</f>
        <v>#VALUE!</v>
      </c>
      <c r="N38" s="221" t="e">
        <f>StSoMarks!N43/StSoMarks!N8</f>
        <v>#VALUE!</v>
      </c>
      <c r="O38" s="221" t="e">
        <f>StSoMarks!O43/StSoMarks!O8</f>
        <v>#VALUE!</v>
      </c>
      <c r="P38" s="221" t="e">
        <f>StSoMarks!P43/StSoMarks!P8</f>
        <v>#VALUE!</v>
      </c>
      <c r="Q38" s="221" t="e">
        <f>StSoMarks!Q43/StSoMarks!Q8</f>
        <v>#VALUE!</v>
      </c>
    </row>
    <row r="39" spans="1:17" x14ac:dyDescent="0.25">
      <c r="A39">
        <f>StSoMarks!A44</f>
        <v>33</v>
      </c>
      <c r="B39" t="str">
        <f>StSoMarks!B44</f>
        <v>Pharmaceutical sciences</v>
      </c>
      <c r="C39" t="str">
        <f>StSoMarks!C44</f>
        <v/>
      </c>
      <c r="D39" t="str">
        <f>StSoMarks!D44</f>
        <v/>
      </c>
      <c r="E39" s="221" t="e">
        <f>StSoMarks!E44/StSoMarks!E8</f>
        <v>#VALUE!</v>
      </c>
      <c r="F39" s="221" t="e">
        <f>StSoMarks!F44/StSoMarks!F8</f>
        <v>#VALUE!</v>
      </c>
      <c r="G39" s="221" t="e">
        <f>StSoMarks!G44/StSoMarks!G8</f>
        <v>#VALUE!</v>
      </c>
      <c r="H39" s="221" t="e">
        <f>StSoMarks!H44/StSoMarks!H8</f>
        <v>#VALUE!</v>
      </c>
      <c r="I39" s="221" t="e">
        <f>StSoMarks!I44/StSoMarks!I8</f>
        <v>#VALUE!</v>
      </c>
      <c r="J39" s="221" t="e">
        <f>StSoMarks!J44/StSoMarks!J8</f>
        <v>#VALUE!</v>
      </c>
      <c r="K39" s="221" t="e">
        <f>StSoMarks!K44/StSoMarks!K8</f>
        <v>#VALUE!</v>
      </c>
      <c r="L39" s="221" t="e">
        <f>StSoMarks!L44/StSoMarks!L8</f>
        <v>#VALUE!</v>
      </c>
      <c r="M39" s="221" t="e">
        <f>StSoMarks!M44/StSoMarks!M8</f>
        <v>#VALUE!</v>
      </c>
      <c r="N39" s="221" t="e">
        <f>StSoMarks!N44/StSoMarks!N8</f>
        <v>#VALUE!</v>
      </c>
      <c r="O39" s="221" t="e">
        <f>StSoMarks!O44/StSoMarks!O8</f>
        <v>#VALUE!</v>
      </c>
      <c r="P39" s="221" t="e">
        <f>StSoMarks!P44/StSoMarks!P8</f>
        <v>#VALUE!</v>
      </c>
      <c r="Q39" s="221" t="e">
        <f>StSoMarks!Q44/StSoMarks!Q8</f>
        <v>#VALUE!</v>
      </c>
    </row>
    <row r="40" spans="1:17" x14ac:dyDescent="0.25">
      <c r="A40">
        <f>StSoMarks!A45</f>
        <v>34</v>
      </c>
      <c r="B40" t="str">
        <f>StSoMarks!B45</f>
        <v>Pharmaceutical sciences</v>
      </c>
      <c r="C40" t="str">
        <f>StSoMarks!C45</f>
        <v/>
      </c>
      <c r="D40" t="str">
        <f>StSoMarks!D45</f>
        <v/>
      </c>
      <c r="E40" s="221" t="e">
        <f>StSoMarks!E45/StSoMarks!E8</f>
        <v>#VALUE!</v>
      </c>
      <c r="F40" s="221" t="e">
        <f>StSoMarks!F45/StSoMarks!F8</f>
        <v>#VALUE!</v>
      </c>
      <c r="G40" s="221" t="e">
        <f>StSoMarks!G45/StSoMarks!G8</f>
        <v>#VALUE!</v>
      </c>
      <c r="H40" s="221" t="e">
        <f>StSoMarks!H45/StSoMarks!H8</f>
        <v>#VALUE!</v>
      </c>
      <c r="I40" s="221" t="e">
        <f>StSoMarks!I45/StSoMarks!I8</f>
        <v>#VALUE!</v>
      </c>
      <c r="J40" s="221" t="e">
        <f>StSoMarks!J45/StSoMarks!J8</f>
        <v>#VALUE!</v>
      </c>
      <c r="K40" s="221" t="e">
        <f>StSoMarks!K45/StSoMarks!K8</f>
        <v>#VALUE!</v>
      </c>
      <c r="L40" s="221" t="e">
        <f>StSoMarks!L45/StSoMarks!L8</f>
        <v>#VALUE!</v>
      </c>
      <c r="M40" s="221" t="e">
        <f>StSoMarks!M45/StSoMarks!M8</f>
        <v>#VALUE!</v>
      </c>
      <c r="N40" s="221" t="e">
        <f>StSoMarks!N45/StSoMarks!N8</f>
        <v>#VALUE!</v>
      </c>
      <c r="O40" s="221" t="e">
        <f>StSoMarks!O45/StSoMarks!O8</f>
        <v>#VALUE!</v>
      </c>
      <c r="P40" s="221" t="e">
        <f>StSoMarks!P45/StSoMarks!P8</f>
        <v>#VALUE!</v>
      </c>
      <c r="Q40" s="221" t="e">
        <f>StSoMarks!Q45/StSoMarks!Q8</f>
        <v>#VALUE!</v>
      </c>
    </row>
    <row r="41" spans="1:17" x14ac:dyDescent="0.25">
      <c r="A41">
        <f>StSoMarks!A46</f>
        <v>35</v>
      </c>
      <c r="B41" t="str">
        <f>StSoMarks!B46</f>
        <v>Pharmaceutical sciences</v>
      </c>
      <c r="C41" t="str">
        <f>StSoMarks!C46</f>
        <v/>
      </c>
      <c r="D41" t="str">
        <f>StSoMarks!D46</f>
        <v/>
      </c>
      <c r="E41" s="221" t="e">
        <f>StSoMarks!E46/StSoMarks!E8</f>
        <v>#VALUE!</v>
      </c>
      <c r="F41" s="221" t="e">
        <f>StSoMarks!F46/StSoMarks!F8</f>
        <v>#VALUE!</v>
      </c>
      <c r="G41" s="221" t="e">
        <f>StSoMarks!G46/StSoMarks!G8</f>
        <v>#VALUE!</v>
      </c>
      <c r="H41" s="221" t="e">
        <f>StSoMarks!H46/StSoMarks!H8</f>
        <v>#VALUE!</v>
      </c>
      <c r="I41" s="221" t="e">
        <f>StSoMarks!I46/StSoMarks!I8</f>
        <v>#VALUE!</v>
      </c>
      <c r="J41" s="221" t="e">
        <f>StSoMarks!J46/StSoMarks!J8</f>
        <v>#VALUE!</v>
      </c>
      <c r="K41" s="221" t="e">
        <f>StSoMarks!K46/StSoMarks!K8</f>
        <v>#VALUE!</v>
      </c>
      <c r="L41" s="221" t="e">
        <f>StSoMarks!L46/StSoMarks!L8</f>
        <v>#VALUE!</v>
      </c>
      <c r="M41" s="221" t="e">
        <f>StSoMarks!M46/StSoMarks!M8</f>
        <v>#VALUE!</v>
      </c>
      <c r="N41" s="221" t="e">
        <f>StSoMarks!N46/StSoMarks!N8</f>
        <v>#VALUE!</v>
      </c>
      <c r="O41" s="221" t="e">
        <f>StSoMarks!O46/StSoMarks!O8</f>
        <v>#VALUE!</v>
      </c>
      <c r="P41" s="221" t="e">
        <f>StSoMarks!P46/StSoMarks!P8</f>
        <v>#VALUE!</v>
      </c>
      <c r="Q41" s="221" t="e">
        <f>StSoMarks!Q46/StSoMarks!Q8</f>
        <v>#VALUE!</v>
      </c>
    </row>
    <row r="42" spans="1:17" x14ac:dyDescent="0.25">
      <c r="A42">
        <f>StSoMarks!A47</f>
        <v>36</v>
      </c>
      <c r="B42" t="str">
        <f>StSoMarks!B47</f>
        <v>Pharmaceutical sciences</v>
      </c>
      <c r="C42" t="str">
        <f>StSoMarks!C47</f>
        <v/>
      </c>
      <c r="D42" t="str">
        <f>StSoMarks!D47</f>
        <v/>
      </c>
      <c r="E42" s="221" t="e">
        <f>StSoMarks!E47/StSoMarks!E8</f>
        <v>#VALUE!</v>
      </c>
      <c r="F42" s="221" t="e">
        <f>StSoMarks!F47/StSoMarks!F8</f>
        <v>#VALUE!</v>
      </c>
      <c r="G42" s="221" t="e">
        <f>StSoMarks!G47/StSoMarks!G8</f>
        <v>#VALUE!</v>
      </c>
      <c r="H42" s="221" t="e">
        <f>StSoMarks!H47/StSoMarks!H8</f>
        <v>#VALUE!</v>
      </c>
      <c r="I42" s="221" t="e">
        <f>StSoMarks!I47/StSoMarks!I8</f>
        <v>#VALUE!</v>
      </c>
      <c r="J42" s="221" t="e">
        <f>StSoMarks!J47/StSoMarks!J8</f>
        <v>#VALUE!</v>
      </c>
      <c r="K42" s="221" t="e">
        <f>StSoMarks!K47/StSoMarks!K8</f>
        <v>#VALUE!</v>
      </c>
      <c r="L42" s="221" t="e">
        <f>StSoMarks!L47/StSoMarks!L8</f>
        <v>#VALUE!</v>
      </c>
      <c r="M42" s="221" t="e">
        <f>StSoMarks!M47/StSoMarks!M8</f>
        <v>#VALUE!</v>
      </c>
      <c r="N42" s="221" t="e">
        <f>StSoMarks!N47/StSoMarks!N8</f>
        <v>#VALUE!</v>
      </c>
      <c r="O42" s="221" t="e">
        <f>StSoMarks!O47/StSoMarks!O8</f>
        <v>#VALUE!</v>
      </c>
      <c r="P42" s="221" t="e">
        <f>StSoMarks!P47/StSoMarks!P8</f>
        <v>#VALUE!</v>
      </c>
      <c r="Q42" s="221" t="e">
        <f>StSoMarks!Q47/StSoMarks!Q8</f>
        <v>#VALUE!</v>
      </c>
    </row>
    <row r="43" spans="1:17" x14ac:dyDescent="0.25">
      <c r="A43">
        <f>StSoMarks!A48</f>
        <v>37</v>
      </c>
      <c r="B43" t="str">
        <f>StSoMarks!B48</f>
        <v>Pharmaceutical sciences</v>
      </c>
      <c r="C43" t="str">
        <f>StSoMarks!C48</f>
        <v/>
      </c>
      <c r="D43" t="str">
        <f>StSoMarks!D48</f>
        <v/>
      </c>
      <c r="E43" s="221" t="e">
        <f>StSoMarks!E48/StSoMarks!E8</f>
        <v>#VALUE!</v>
      </c>
      <c r="F43" s="221" t="e">
        <f>StSoMarks!F48/StSoMarks!F8</f>
        <v>#VALUE!</v>
      </c>
      <c r="G43" s="221" t="e">
        <f>StSoMarks!G48/StSoMarks!G8</f>
        <v>#VALUE!</v>
      </c>
      <c r="H43" s="221" t="e">
        <f>StSoMarks!H48/StSoMarks!H8</f>
        <v>#VALUE!</v>
      </c>
      <c r="I43" s="221" t="e">
        <f>StSoMarks!I48/StSoMarks!I8</f>
        <v>#VALUE!</v>
      </c>
      <c r="J43" s="221" t="e">
        <f>StSoMarks!J48/StSoMarks!J8</f>
        <v>#VALUE!</v>
      </c>
      <c r="K43" s="221" t="e">
        <f>StSoMarks!K48/StSoMarks!K8</f>
        <v>#VALUE!</v>
      </c>
      <c r="L43" s="221" t="e">
        <f>StSoMarks!L48/StSoMarks!L8</f>
        <v>#VALUE!</v>
      </c>
      <c r="M43" s="221" t="e">
        <f>StSoMarks!M48/StSoMarks!M8</f>
        <v>#VALUE!</v>
      </c>
      <c r="N43" s="221" t="e">
        <f>StSoMarks!N48/StSoMarks!N8</f>
        <v>#VALUE!</v>
      </c>
      <c r="O43" s="221" t="e">
        <f>StSoMarks!O48/StSoMarks!O8</f>
        <v>#VALUE!</v>
      </c>
      <c r="P43" s="221" t="e">
        <f>StSoMarks!P48/StSoMarks!P8</f>
        <v>#VALUE!</v>
      </c>
      <c r="Q43" s="221" t="e">
        <f>StSoMarks!Q48/StSoMarks!Q8</f>
        <v>#VALUE!</v>
      </c>
    </row>
    <row r="44" spans="1:17" x14ac:dyDescent="0.25">
      <c r="A44">
        <f>StSoMarks!A49</f>
        <v>38</v>
      </c>
      <c r="B44" t="str">
        <f>StSoMarks!B49</f>
        <v>Pharmaceutical sciences</v>
      </c>
      <c r="C44" t="str">
        <f>StSoMarks!C49</f>
        <v/>
      </c>
      <c r="D44" t="str">
        <f>StSoMarks!D49</f>
        <v/>
      </c>
      <c r="E44" s="221" t="e">
        <f>StSoMarks!E49/StSoMarks!E8</f>
        <v>#VALUE!</v>
      </c>
      <c r="F44" s="221" t="e">
        <f>StSoMarks!F49/StSoMarks!F8</f>
        <v>#VALUE!</v>
      </c>
      <c r="G44" s="221" t="e">
        <f>StSoMarks!G49/StSoMarks!G8</f>
        <v>#VALUE!</v>
      </c>
      <c r="H44" s="221" t="e">
        <f>StSoMarks!H49/StSoMarks!H8</f>
        <v>#VALUE!</v>
      </c>
      <c r="I44" s="221" t="e">
        <f>StSoMarks!I49/StSoMarks!I8</f>
        <v>#VALUE!</v>
      </c>
      <c r="J44" s="221" t="e">
        <f>StSoMarks!J49/StSoMarks!J8</f>
        <v>#VALUE!</v>
      </c>
      <c r="K44" s="221" t="e">
        <f>StSoMarks!K49/StSoMarks!K8</f>
        <v>#VALUE!</v>
      </c>
      <c r="L44" s="221" t="e">
        <f>StSoMarks!L49/StSoMarks!L8</f>
        <v>#VALUE!</v>
      </c>
      <c r="M44" s="221" t="e">
        <f>StSoMarks!M49/StSoMarks!M8</f>
        <v>#VALUE!</v>
      </c>
      <c r="N44" s="221" t="e">
        <f>StSoMarks!N49/StSoMarks!N8</f>
        <v>#VALUE!</v>
      </c>
      <c r="O44" s="221" t="e">
        <f>StSoMarks!O49/StSoMarks!O8</f>
        <v>#VALUE!</v>
      </c>
      <c r="P44" s="221" t="e">
        <f>StSoMarks!P49/StSoMarks!P8</f>
        <v>#VALUE!</v>
      </c>
      <c r="Q44" s="221" t="e">
        <f>StSoMarks!Q49/StSoMarks!Q8</f>
        <v>#VALUE!</v>
      </c>
    </row>
    <row r="45" spans="1:17" x14ac:dyDescent="0.25">
      <c r="A45">
        <f>StSoMarks!A50</f>
        <v>39</v>
      </c>
      <c r="B45" t="str">
        <f>StSoMarks!B50</f>
        <v>Pharmaceutical sciences</v>
      </c>
      <c r="C45" t="str">
        <f>StSoMarks!C50</f>
        <v/>
      </c>
      <c r="D45" t="str">
        <f>StSoMarks!D50</f>
        <v/>
      </c>
      <c r="E45" s="221" t="e">
        <f>StSoMarks!E50/StSoMarks!E8</f>
        <v>#VALUE!</v>
      </c>
      <c r="F45" s="221" t="e">
        <f>StSoMarks!F50/StSoMarks!F8</f>
        <v>#VALUE!</v>
      </c>
      <c r="G45" s="221" t="e">
        <f>StSoMarks!G50/StSoMarks!G8</f>
        <v>#VALUE!</v>
      </c>
      <c r="H45" s="221" t="e">
        <f>StSoMarks!H50/StSoMarks!H8</f>
        <v>#VALUE!</v>
      </c>
      <c r="I45" s="221" t="e">
        <f>StSoMarks!I50/StSoMarks!I8</f>
        <v>#VALUE!</v>
      </c>
      <c r="J45" s="221" t="e">
        <f>StSoMarks!J50/StSoMarks!J8</f>
        <v>#VALUE!</v>
      </c>
      <c r="K45" s="221" t="e">
        <f>StSoMarks!K50/StSoMarks!K8</f>
        <v>#VALUE!</v>
      </c>
      <c r="L45" s="221" t="e">
        <f>StSoMarks!L50/StSoMarks!L8</f>
        <v>#VALUE!</v>
      </c>
      <c r="M45" s="221" t="e">
        <f>StSoMarks!M50/StSoMarks!M8</f>
        <v>#VALUE!</v>
      </c>
      <c r="N45" s="221" t="e">
        <f>StSoMarks!N50/StSoMarks!N8</f>
        <v>#VALUE!</v>
      </c>
      <c r="O45" s="221" t="e">
        <f>StSoMarks!O50/StSoMarks!O8</f>
        <v>#VALUE!</v>
      </c>
      <c r="P45" s="221" t="e">
        <f>StSoMarks!P50/StSoMarks!P8</f>
        <v>#VALUE!</v>
      </c>
      <c r="Q45" s="221" t="e">
        <f>StSoMarks!Q50/StSoMarks!Q8</f>
        <v>#VALUE!</v>
      </c>
    </row>
    <row r="46" spans="1:17" x14ac:dyDescent="0.25">
      <c r="A46">
        <f>StSoMarks!A51</f>
        <v>40</v>
      </c>
      <c r="B46" t="str">
        <f>StSoMarks!B51</f>
        <v>Pharmaceutical sciences</v>
      </c>
      <c r="C46" t="str">
        <f>StSoMarks!C51</f>
        <v/>
      </c>
      <c r="D46" t="str">
        <f>StSoMarks!D51</f>
        <v/>
      </c>
      <c r="E46" s="221" t="e">
        <f>StSoMarks!E51/StSoMarks!E8</f>
        <v>#VALUE!</v>
      </c>
      <c r="F46" s="221" t="e">
        <f>StSoMarks!F51/StSoMarks!F8</f>
        <v>#VALUE!</v>
      </c>
      <c r="G46" s="221" t="e">
        <f>StSoMarks!G51/StSoMarks!G8</f>
        <v>#VALUE!</v>
      </c>
      <c r="H46" s="221" t="e">
        <f>StSoMarks!H51/StSoMarks!H8</f>
        <v>#VALUE!</v>
      </c>
      <c r="I46" s="221" t="e">
        <f>StSoMarks!I51/StSoMarks!I8</f>
        <v>#VALUE!</v>
      </c>
      <c r="J46" s="221" t="e">
        <f>StSoMarks!J51/StSoMarks!J8</f>
        <v>#VALUE!</v>
      </c>
      <c r="K46" s="221" t="e">
        <f>StSoMarks!K51/StSoMarks!K8</f>
        <v>#VALUE!</v>
      </c>
      <c r="L46" s="221" t="e">
        <f>StSoMarks!L51/StSoMarks!L8</f>
        <v>#VALUE!</v>
      </c>
      <c r="M46" s="221" t="e">
        <f>StSoMarks!M51/StSoMarks!M8</f>
        <v>#VALUE!</v>
      </c>
      <c r="N46" s="221" t="e">
        <f>StSoMarks!N51/StSoMarks!N8</f>
        <v>#VALUE!</v>
      </c>
      <c r="O46" s="221" t="e">
        <f>StSoMarks!O51/StSoMarks!O8</f>
        <v>#VALUE!</v>
      </c>
      <c r="P46" s="221" t="e">
        <f>StSoMarks!P51/StSoMarks!P8</f>
        <v>#VALUE!</v>
      </c>
      <c r="Q46" s="221" t="e">
        <f>StSoMarks!Q51/StSoMarks!Q8</f>
        <v>#VALUE!</v>
      </c>
    </row>
    <row r="47" spans="1:17" x14ac:dyDescent="0.25">
      <c r="A47">
        <f>StSoMarks!A52</f>
        <v>41</v>
      </c>
      <c r="B47" t="str">
        <f>StSoMarks!B52</f>
        <v>Pharmaceutical sciences</v>
      </c>
      <c r="C47" t="str">
        <f>StSoMarks!C52</f>
        <v/>
      </c>
      <c r="D47" t="str">
        <f>StSoMarks!D52</f>
        <v/>
      </c>
      <c r="E47" s="221" t="e">
        <f>StSoMarks!E52/StSoMarks!E8</f>
        <v>#VALUE!</v>
      </c>
      <c r="F47" s="221" t="e">
        <f>StSoMarks!F52/StSoMarks!F8</f>
        <v>#VALUE!</v>
      </c>
      <c r="G47" s="221" t="e">
        <f>StSoMarks!G52/StSoMarks!G8</f>
        <v>#VALUE!</v>
      </c>
      <c r="H47" s="221" t="e">
        <f>StSoMarks!H52/StSoMarks!H8</f>
        <v>#VALUE!</v>
      </c>
      <c r="I47" s="221" t="e">
        <f>StSoMarks!I52/StSoMarks!I8</f>
        <v>#VALUE!</v>
      </c>
      <c r="J47" s="221" t="e">
        <f>StSoMarks!J52/StSoMarks!J8</f>
        <v>#VALUE!</v>
      </c>
      <c r="K47" s="221" t="e">
        <f>StSoMarks!K52/StSoMarks!K8</f>
        <v>#VALUE!</v>
      </c>
      <c r="L47" s="221" t="e">
        <f>StSoMarks!L52/StSoMarks!L8</f>
        <v>#VALUE!</v>
      </c>
      <c r="M47" s="221" t="e">
        <f>StSoMarks!M52/StSoMarks!M8</f>
        <v>#VALUE!</v>
      </c>
      <c r="N47" s="221" t="e">
        <f>StSoMarks!N52/StSoMarks!N8</f>
        <v>#VALUE!</v>
      </c>
      <c r="O47" s="221" t="e">
        <f>StSoMarks!O52/StSoMarks!O8</f>
        <v>#VALUE!</v>
      </c>
      <c r="P47" s="221" t="e">
        <f>StSoMarks!P52/StSoMarks!P8</f>
        <v>#VALUE!</v>
      </c>
      <c r="Q47" s="221" t="e">
        <f>StSoMarks!Q52/StSoMarks!Q8</f>
        <v>#VALUE!</v>
      </c>
    </row>
    <row r="48" spans="1:17" x14ac:dyDescent="0.25">
      <c r="A48">
        <f>StSoMarks!A53</f>
        <v>42</v>
      </c>
      <c r="B48" t="str">
        <f>StSoMarks!B53</f>
        <v>Pharmaceutical sciences</v>
      </c>
      <c r="C48" t="str">
        <f>StSoMarks!C53</f>
        <v/>
      </c>
      <c r="D48" t="str">
        <f>StSoMarks!D53</f>
        <v/>
      </c>
      <c r="E48" s="221" t="e">
        <f>StSoMarks!E53/StSoMarks!E8</f>
        <v>#VALUE!</v>
      </c>
      <c r="F48" s="221" t="e">
        <f>StSoMarks!F53/StSoMarks!F8</f>
        <v>#VALUE!</v>
      </c>
      <c r="G48" s="221" t="e">
        <f>StSoMarks!G53/StSoMarks!G8</f>
        <v>#VALUE!</v>
      </c>
      <c r="H48" s="221" t="e">
        <f>StSoMarks!H53/StSoMarks!H8</f>
        <v>#VALUE!</v>
      </c>
      <c r="I48" s="221" t="e">
        <f>StSoMarks!I53/StSoMarks!I8</f>
        <v>#VALUE!</v>
      </c>
      <c r="J48" s="221" t="e">
        <f>StSoMarks!J53/StSoMarks!J8</f>
        <v>#VALUE!</v>
      </c>
      <c r="K48" s="221" t="e">
        <f>StSoMarks!K53/StSoMarks!K8</f>
        <v>#VALUE!</v>
      </c>
      <c r="L48" s="221" t="e">
        <f>StSoMarks!L53/StSoMarks!L8</f>
        <v>#VALUE!</v>
      </c>
      <c r="M48" s="221" t="e">
        <f>StSoMarks!M53/StSoMarks!M8</f>
        <v>#VALUE!</v>
      </c>
      <c r="N48" s="221" t="e">
        <f>StSoMarks!N53/StSoMarks!N8</f>
        <v>#VALUE!</v>
      </c>
      <c r="O48" s="221" t="e">
        <f>StSoMarks!O53/StSoMarks!O8</f>
        <v>#VALUE!</v>
      </c>
      <c r="P48" s="221" t="e">
        <f>StSoMarks!P53/StSoMarks!P8</f>
        <v>#VALUE!</v>
      </c>
      <c r="Q48" s="221" t="e">
        <f>StSoMarks!Q53/StSoMarks!Q8</f>
        <v>#VALUE!</v>
      </c>
    </row>
    <row r="49" spans="1:17" x14ac:dyDescent="0.25">
      <c r="A49">
        <f>StSoMarks!A54</f>
        <v>43</v>
      </c>
      <c r="B49" t="str">
        <f>StSoMarks!B54</f>
        <v>Pharmaceutical sciences</v>
      </c>
      <c r="C49" t="str">
        <f>StSoMarks!C54</f>
        <v/>
      </c>
      <c r="D49" t="str">
        <f>StSoMarks!D54</f>
        <v/>
      </c>
      <c r="E49" s="221" t="e">
        <f>StSoMarks!E54/StSoMarks!E8</f>
        <v>#VALUE!</v>
      </c>
      <c r="F49" s="221" t="e">
        <f>StSoMarks!F54/StSoMarks!F8</f>
        <v>#VALUE!</v>
      </c>
      <c r="G49" s="221" t="e">
        <f>StSoMarks!G54/StSoMarks!G8</f>
        <v>#VALUE!</v>
      </c>
      <c r="H49" s="221" t="e">
        <f>StSoMarks!H54/StSoMarks!H8</f>
        <v>#VALUE!</v>
      </c>
      <c r="I49" s="221" t="e">
        <f>StSoMarks!I54/StSoMarks!I8</f>
        <v>#VALUE!</v>
      </c>
      <c r="J49" s="221" t="e">
        <f>StSoMarks!J54/StSoMarks!J8</f>
        <v>#VALUE!</v>
      </c>
      <c r="K49" s="221" t="e">
        <f>StSoMarks!K54/StSoMarks!K8</f>
        <v>#VALUE!</v>
      </c>
      <c r="L49" s="221" t="e">
        <f>StSoMarks!L54/StSoMarks!L8</f>
        <v>#VALUE!</v>
      </c>
      <c r="M49" s="221" t="e">
        <f>StSoMarks!M54/StSoMarks!M8</f>
        <v>#VALUE!</v>
      </c>
      <c r="N49" s="221" t="e">
        <f>StSoMarks!N54/StSoMarks!N8</f>
        <v>#VALUE!</v>
      </c>
      <c r="O49" s="221" t="e">
        <f>StSoMarks!O54/StSoMarks!O8</f>
        <v>#VALUE!</v>
      </c>
      <c r="P49" s="221" t="e">
        <f>StSoMarks!P54/StSoMarks!P8</f>
        <v>#VALUE!</v>
      </c>
      <c r="Q49" s="221" t="e">
        <f>StSoMarks!Q54/StSoMarks!Q8</f>
        <v>#VALUE!</v>
      </c>
    </row>
    <row r="50" spans="1:17" x14ac:dyDescent="0.25">
      <c r="A50">
        <f>StSoMarks!A55</f>
        <v>44</v>
      </c>
      <c r="B50" t="str">
        <f>StSoMarks!B55</f>
        <v>Pharmaceutical sciences</v>
      </c>
      <c r="C50" t="str">
        <f>StSoMarks!C55</f>
        <v/>
      </c>
      <c r="D50" t="str">
        <f>StSoMarks!D55</f>
        <v/>
      </c>
      <c r="E50" s="221" t="e">
        <f>StSoMarks!E55/StSoMarks!E8</f>
        <v>#VALUE!</v>
      </c>
      <c r="F50" s="221" t="e">
        <f>StSoMarks!F55/StSoMarks!F8</f>
        <v>#VALUE!</v>
      </c>
      <c r="G50" s="221" t="e">
        <f>StSoMarks!G55/StSoMarks!G8</f>
        <v>#VALUE!</v>
      </c>
      <c r="H50" s="221" t="e">
        <f>StSoMarks!H55/StSoMarks!H8</f>
        <v>#VALUE!</v>
      </c>
      <c r="I50" s="221" t="e">
        <f>StSoMarks!I55/StSoMarks!I8</f>
        <v>#VALUE!</v>
      </c>
      <c r="J50" s="221" t="e">
        <f>StSoMarks!J55/StSoMarks!J8</f>
        <v>#VALUE!</v>
      </c>
      <c r="K50" s="221" t="e">
        <f>StSoMarks!K55/StSoMarks!K8</f>
        <v>#VALUE!</v>
      </c>
      <c r="L50" s="221" t="e">
        <f>StSoMarks!L55/StSoMarks!L8</f>
        <v>#VALUE!</v>
      </c>
      <c r="M50" s="221" t="e">
        <f>StSoMarks!M55/StSoMarks!M8</f>
        <v>#VALUE!</v>
      </c>
      <c r="N50" s="221" t="e">
        <f>StSoMarks!N55/StSoMarks!N8</f>
        <v>#VALUE!</v>
      </c>
      <c r="O50" s="221" t="e">
        <f>StSoMarks!O55/StSoMarks!O8</f>
        <v>#VALUE!</v>
      </c>
      <c r="P50" s="221" t="e">
        <f>StSoMarks!P55/StSoMarks!P8</f>
        <v>#VALUE!</v>
      </c>
      <c r="Q50" s="221" t="e">
        <f>StSoMarks!Q55/StSoMarks!Q8</f>
        <v>#VALUE!</v>
      </c>
    </row>
    <row r="51" spans="1:17" x14ac:dyDescent="0.25">
      <c r="A51">
        <f>StSoMarks!A56</f>
        <v>45</v>
      </c>
      <c r="B51" t="str">
        <f>StSoMarks!B56</f>
        <v>Pharmaceutical sciences</v>
      </c>
      <c r="C51" t="str">
        <f>StSoMarks!C56</f>
        <v/>
      </c>
      <c r="D51" t="str">
        <f>StSoMarks!D56</f>
        <v/>
      </c>
      <c r="E51" s="221" t="e">
        <f>StSoMarks!E56/StSoMarks!E8</f>
        <v>#VALUE!</v>
      </c>
      <c r="F51" s="221" t="e">
        <f>StSoMarks!F56/StSoMarks!F8</f>
        <v>#VALUE!</v>
      </c>
      <c r="G51" s="221" t="e">
        <f>StSoMarks!G56/StSoMarks!G8</f>
        <v>#VALUE!</v>
      </c>
      <c r="H51" s="221" t="e">
        <f>StSoMarks!H56/StSoMarks!H8</f>
        <v>#VALUE!</v>
      </c>
      <c r="I51" s="221" t="e">
        <f>StSoMarks!I56/StSoMarks!I8</f>
        <v>#VALUE!</v>
      </c>
      <c r="J51" s="221" t="e">
        <f>StSoMarks!J56/StSoMarks!J8</f>
        <v>#VALUE!</v>
      </c>
      <c r="K51" s="221" t="e">
        <f>StSoMarks!K56/StSoMarks!K8</f>
        <v>#VALUE!</v>
      </c>
      <c r="L51" s="221" t="e">
        <f>StSoMarks!L56/StSoMarks!L8</f>
        <v>#VALUE!</v>
      </c>
      <c r="M51" s="221" t="e">
        <f>StSoMarks!M56/StSoMarks!M8</f>
        <v>#VALUE!</v>
      </c>
      <c r="N51" s="221" t="e">
        <f>StSoMarks!N56/StSoMarks!N8</f>
        <v>#VALUE!</v>
      </c>
      <c r="O51" s="221" t="e">
        <f>StSoMarks!O56/StSoMarks!O8</f>
        <v>#VALUE!</v>
      </c>
      <c r="P51" s="221" t="e">
        <f>StSoMarks!P56/StSoMarks!P8</f>
        <v>#VALUE!</v>
      </c>
      <c r="Q51" s="221" t="e">
        <f>StSoMarks!Q56/StSoMarks!Q8</f>
        <v>#VALUE!</v>
      </c>
    </row>
    <row r="52" spans="1:17" x14ac:dyDescent="0.25">
      <c r="A52">
        <f>StSoMarks!A57</f>
        <v>46</v>
      </c>
      <c r="B52" t="str">
        <f>StSoMarks!B57</f>
        <v>Pharmaceutical sciences</v>
      </c>
      <c r="C52" t="str">
        <f>StSoMarks!C57</f>
        <v/>
      </c>
      <c r="D52" t="str">
        <f>StSoMarks!D57</f>
        <v/>
      </c>
      <c r="E52" s="221" t="e">
        <f>StSoMarks!E57/StSoMarks!E8</f>
        <v>#VALUE!</v>
      </c>
      <c r="F52" s="221" t="e">
        <f>StSoMarks!F57/StSoMarks!F8</f>
        <v>#VALUE!</v>
      </c>
      <c r="G52" s="221" t="e">
        <f>StSoMarks!G57/StSoMarks!G8</f>
        <v>#VALUE!</v>
      </c>
      <c r="H52" s="221" t="e">
        <f>StSoMarks!H57/StSoMarks!H8</f>
        <v>#VALUE!</v>
      </c>
      <c r="I52" s="221" t="e">
        <f>StSoMarks!I57/StSoMarks!I8</f>
        <v>#VALUE!</v>
      </c>
      <c r="J52" s="221" t="e">
        <f>StSoMarks!J57/StSoMarks!J8</f>
        <v>#VALUE!</v>
      </c>
      <c r="K52" s="221" t="e">
        <f>StSoMarks!K57/StSoMarks!K8</f>
        <v>#VALUE!</v>
      </c>
      <c r="L52" s="221" t="e">
        <f>StSoMarks!L57/StSoMarks!L8</f>
        <v>#VALUE!</v>
      </c>
      <c r="M52" s="221" t="e">
        <f>StSoMarks!M57/StSoMarks!M8</f>
        <v>#VALUE!</v>
      </c>
      <c r="N52" s="221" t="e">
        <f>StSoMarks!N57/StSoMarks!N8</f>
        <v>#VALUE!</v>
      </c>
      <c r="O52" s="221" t="e">
        <f>StSoMarks!O57/StSoMarks!O8</f>
        <v>#VALUE!</v>
      </c>
      <c r="P52" s="221" t="e">
        <f>StSoMarks!P57/StSoMarks!P8</f>
        <v>#VALUE!</v>
      </c>
      <c r="Q52" s="221" t="e">
        <f>StSoMarks!Q57/StSoMarks!Q8</f>
        <v>#VALUE!</v>
      </c>
    </row>
    <row r="53" spans="1:17" x14ac:dyDescent="0.25">
      <c r="A53">
        <f>StSoMarks!A58</f>
        <v>47</v>
      </c>
      <c r="B53" t="str">
        <f>StSoMarks!B58</f>
        <v>Pharmaceutical sciences</v>
      </c>
      <c r="C53" t="str">
        <f>StSoMarks!C58</f>
        <v/>
      </c>
      <c r="D53" t="str">
        <f>StSoMarks!D58</f>
        <v/>
      </c>
      <c r="E53" s="221" t="e">
        <f>StSoMarks!E58/StSoMarks!E8</f>
        <v>#VALUE!</v>
      </c>
      <c r="F53" s="221" t="e">
        <f>StSoMarks!F58/StSoMarks!F8</f>
        <v>#VALUE!</v>
      </c>
      <c r="G53" s="221" t="e">
        <f>StSoMarks!G58/StSoMarks!G8</f>
        <v>#VALUE!</v>
      </c>
      <c r="H53" s="221" t="e">
        <f>StSoMarks!H58/StSoMarks!H8</f>
        <v>#VALUE!</v>
      </c>
      <c r="I53" s="221" t="e">
        <f>StSoMarks!I58/StSoMarks!I8</f>
        <v>#VALUE!</v>
      </c>
      <c r="J53" s="221" t="e">
        <f>StSoMarks!J58/StSoMarks!J8</f>
        <v>#VALUE!</v>
      </c>
      <c r="K53" s="221" t="e">
        <f>StSoMarks!K58/StSoMarks!K8</f>
        <v>#VALUE!</v>
      </c>
      <c r="L53" s="221" t="e">
        <f>StSoMarks!L58/StSoMarks!L8</f>
        <v>#VALUE!</v>
      </c>
      <c r="M53" s="221" t="e">
        <f>StSoMarks!M58/StSoMarks!M8</f>
        <v>#VALUE!</v>
      </c>
      <c r="N53" s="221" t="e">
        <f>StSoMarks!N58/StSoMarks!N8</f>
        <v>#VALUE!</v>
      </c>
      <c r="O53" s="221" t="e">
        <f>StSoMarks!O58/StSoMarks!O8</f>
        <v>#VALUE!</v>
      </c>
      <c r="P53" s="221" t="e">
        <f>StSoMarks!P58/StSoMarks!P8</f>
        <v>#VALUE!</v>
      </c>
      <c r="Q53" s="221" t="e">
        <f>StSoMarks!Q58/StSoMarks!Q8</f>
        <v>#VALUE!</v>
      </c>
    </row>
    <row r="54" spans="1:17" x14ac:dyDescent="0.25">
      <c r="A54">
        <f>StSoMarks!A59</f>
        <v>48</v>
      </c>
      <c r="B54" t="str">
        <f>StSoMarks!B59</f>
        <v>Pharmaceutical sciences</v>
      </c>
      <c r="C54" t="str">
        <f>StSoMarks!C59</f>
        <v/>
      </c>
      <c r="D54" t="str">
        <f>StSoMarks!D59</f>
        <v/>
      </c>
      <c r="E54" s="221" t="e">
        <f>StSoMarks!E59/StSoMarks!E8</f>
        <v>#VALUE!</v>
      </c>
      <c r="F54" s="221" t="e">
        <f>StSoMarks!F59/StSoMarks!F8</f>
        <v>#VALUE!</v>
      </c>
      <c r="G54" s="221" t="e">
        <f>StSoMarks!G59/StSoMarks!G8</f>
        <v>#VALUE!</v>
      </c>
      <c r="H54" s="221" t="e">
        <f>StSoMarks!H59/StSoMarks!H8</f>
        <v>#VALUE!</v>
      </c>
      <c r="I54" s="221" t="e">
        <f>StSoMarks!I59/StSoMarks!I8</f>
        <v>#VALUE!</v>
      </c>
      <c r="J54" s="221" t="e">
        <f>StSoMarks!J59/StSoMarks!J8</f>
        <v>#VALUE!</v>
      </c>
      <c r="K54" s="221" t="e">
        <f>StSoMarks!K59/StSoMarks!K8</f>
        <v>#VALUE!</v>
      </c>
      <c r="L54" s="221" t="e">
        <f>StSoMarks!L59/StSoMarks!L8</f>
        <v>#VALUE!</v>
      </c>
      <c r="M54" s="221" t="e">
        <f>StSoMarks!M59/StSoMarks!M8</f>
        <v>#VALUE!</v>
      </c>
      <c r="N54" s="221" t="e">
        <f>StSoMarks!N59/StSoMarks!N8</f>
        <v>#VALUE!</v>
      </c>
      <c r="O54" s="221" t="e">
        <f>StSoMarks!O59/StSoMarks!O8</f>
        <v>#VALUE!</v>
      </c>
      <c r="P54" s="221" t="e">
        <f>StSoMarks!P59/StSoMarks!P8</f>
        <v>#VALUE!</v>
      </c>
      <c r="Q54" s="221" t="e">
        <f>StSoMarks!Q59/StSoMarks!Q8</f>
        <v>#VALUE!</v>
      </c>
    </row>
    <row r="55" spans="1:17" x14ac:dyDescent="0.25">
      <c r="A55">
        <f>StSoMarks!A60</f>
        <v>49</v>
      </c>
      <c r="B55" t="str">
        <f>StSoMarks!B60</f>
        <v>Pharmaceutical sciences</v>
      </c>
      <c r="C55" t="str">
        <f>StSoMarks!C60</f>
        <v/>
      </c>
      <c r="D55" t="str">
        <f>StSoMarks!D60</f>
        <v/>
      </c>
      <c r="E55" s="221" t="e">
        <f>StSoMarks!E60/StSoMarks!E8</f>
        <v>#VALUE!</v>
      </c>
      <c r="F55" s="221" t="e">
        <f>StSoMarks!F60/StSoMarks!F8</f>
        <v>#VALUE!</v>
      </c>
      <c r="G55" s="221" t="e">
        <f>StSoMarks!G60/StSoMarks!G8</f>
        <v>#VALUE!</v>
      </c>
      <c r="H55" s="221" t="e">
        <f>StSoMarks!H60/StSoMarks!H8</f>
        <v>#VALUE!</v>
      </c>
      <c r="I55" s="221" t="e">
        <f>StSoMarks!I60/StSoMarks!I8</f>
        <v>#VALUE!</v>
      </c>
      <c r="J55" s="221" t="e">
        <f>StSoMarks!J60/StSoMarks!J8</f>
        <v>#VALUE!</v>
      </c>
      <c r="K55" s="221" t="e">
        <f>StSoMarks!K60/StSoMarks!K8</f>
        <v>#VALUE!</v>
      </c>
      <c r="L55" s="221" t="e">
        <f>StSoMarks!L60/StSoMarks!L8</f>
        <v>#VALUE!</v>
      </c>
      <c r="M55" s="221" t="e">
        <f>StSoMarks!M60/StSoMarks!M8</f>
        <v>#VALUE!</v>
      </c>
      <c r="N55" s="221" t="e">
        <f>StSoMarks!N60/StSoMarks!N8</f>
        <v>#VALUE!</v>
      </c>
      <c r="O55" s="221" t="e">
        <f>StSoMarks!O60/StSoMarks!O8</f>
        <v>#VALUE!</v>
      </c>
      <c r="P55" s="221" t="e">
        <f>StSoMarks!P60/StSoMarks!P8</f>
        <v>#VALUE!</v>
      </c>
      <c r="Q55" s="221" t="e">
        <f>StSoMarks!Q60/StSoMarks!Q8</f>
        <v>#VALUE!</v>
      </c>
    </row>
    <row r="56" spans="1:17" x14ac:dyDescent="0.25">
      <c r="A56">
        <f>StSoMarks!A61</f>
        <v>50</v>
      </c>
      <c r="B56" t="str">
        <f>StSoMarks!B61</f>
        <v>Pharmaceutical sciences</v>
      </c>
      <c r="C56" t="str">
        <f>StSoMarks!C61</f>
        <v/>
      </c>
      <c r="D56" t="str">
        <f>StSoMarks!D61</f>
        <v/>
      </c>
      <c r="E56" s="221" t="e">
        <f>StSoMarks!E61/StSoMarks!E8</f>
        <v>#VALUE!</v>
      </c>
      <c r="F56" s="221" t="e">
        <f>StSoMarks!F61/StSoMarks!F8</f>
        <v>#VALUE!</v>
      </c>
      <c r="G56" s="221" t="e">
        <f>StSoMarks!G61/StSoMarks!G8</f>
        <v>#VALUE!</v>
      </c>
      <c r="H56" s="221" t="e">
        <f>StSoMarks!H61/StSoMarks!H8</f>
        <v>#VALUE!</v>
      </c>
      <c r="I56" s="221" t="e">
        <f>StSoMarks!I61/StSoMarks!I8</f>
        <v>#VALUE!</v>
      </c>
      <c r="J56" s="221" t="e">
        <f>StSoMarks!J61/StSoMarks!J8</f>
        <v>#VALUE!</v>
      </c>
      <c r="K56" s="221" t="e">
        <f>StSoMarks!K61/StSoMarks!K8</f>
        <v>#VALUE!</v>
      </c>
      <c r="L56" s="221" t="e">
        <f>StSoMarks!L61/StSoMarks!L8</f>
        <v>#VALUE!</v>
      </c>
      <c r="M56" s="221" t="e">
        <f>StSoMarks!M61/StSoMarks!M8</f>
        <v>#VALUE!</v>
      </c>
      <c r="N56" s="221" t="e">
        <f>StSoMarks!N61/StSoMarks!N8</f>
        <v>#VALUE!</v>
      </c>
      <c r="O56" s="221" t="e">
        <f>StSoMarks!O61/StSoMarks!O8</f>
        <v>#VALUE!</v>
      </c>
      <c r="P56" s="221" t="e">
        <f>StSoMarks!P61/StSoMarks!P8</f>
        <v>#VALUE!</v>
      </c>
      <c r="Q56" s="221" t="e">
        <f>StSoMarks!Q61/StSoMarks!Q8</f>
        <v>#VALUE!</v>
      </c>
    </row>
    <row r="57" spans="1:17" x14ac:dyDescent="0.25">
      <c r="A57">
        <f>StSoMarks!A62</f>
        <v>51</v>
      </c>
      <c r="B57" t="str">
        <f>StSoMarks!B62</f>
        <v>Pharmaceutical sciences</v>
      </c>
      <c r="C57" t="str">
        <f>StSoMarks!C62</f>
        <v/>
      </c>
      <c r="D57" t="str">
        <f>StSoMarks!D62</f>
        <v/>
      </c>
      <c r="E57" s="221" t="e">
        <f>StSoMarks!E62/StSoMarks!E8</f>
        <v>#VALUE!</v>
      </c>
      <c r="F57" s="221" t="e">
        <f>StSoMarks!F62/StSoMarks!F8</f>
        <v>#VALUE!</v>
      </c>
      <c r="G57" s="221" t="e">
        <f>StSoMarks!G62/StSoMarks!G8</f>
        <v>#VALUE!</v>
      </c>
      <c r="H57" s="221" t="e">
        <f>StSoMarks!H62/StSoMarks!H8</f>
        <v>#VALUE!</v>
      </c>
      <c r="I57" s="221" t="e">
        <f>StSoMarks!I62/StSoMarks!I8</f>
        <v>#VALUE!</v>
      </c>
      <c r="J57" s="221" t="e">
        <f>StSoMarks!J62/StSoMarks!J8</f>
        <v>#VALUE!</v>
      </c>
      <c r="K57" s="221" t="e">
        <f>StSoMarks!K62/StSoMarks!K8</f>
        <v>#VALUE!</v>
      </c>
      <c r="L57" s="221" t="e">
        <f>StSoMarks!L62/StSoMarks!L8</f>
        <v>#VALUE!</v>
      </c>
      <c r="M57" s="221" t="e">
        <f>StSoMarks!M62/StSoMarks!M8</f>
        <v>#VALUE!</v>
      </c>
      <c r="N57" s="221" t="e">
        <f>StSoMarks!N62/StSoMarks!N8</f>
        <v>#VALUE!</v>
      </c>
      <c r="O57" s="221" t="e">
        <f>StSoMarks!O62/StSoMarks!O8</f>
        <v>#VALUE!</v>
      </c>
      <c r="P57" s="221" t="e">
        <f>StSoMarks!P62/StSoMarks!P8</f>
        <v>#VALUE!</v>
      </c>
      <c r="Q57" s="221" t="e">
        <f>StSoMarks!Q62/StSoMarks!Q8</f>
        <v>#VALUE!</v>
      </c>
    </row>
    <row r="58" spans="1:17" x14ac:dyDescent="0.25">
      <c r="A58">
        <f>StSoMarks!A63</f>
        <v>52</v>
      </c>
      <c r="B58" t="str">
        <f>StSoMarks!B63</f>
        <v>Pharmaceutical sciences</v>
      </c>
      <c r="C58" t="str">
        <f>StSoMarks!C63</f>
        <v/>
      </c>
      <c r="D58" t="str">
        <f>StSoMarks!D63</f>
        <v/>
      </c>
      <c r="E58" s="221" t="e">
        <f>StSoMarks!E63/StSoMarks!E8</f>
        <v>#VALUE!</v>
      </c>
      <c r="F58" s="221" t="e">
        <f>StSoMarks!F63/StSoMarks!F8</f>
        <v>#VALUE!</v>
      </c>
      <c r="G58" s="221" t="e">
        <f>StSoMarks!G63/StSoMarks!G8</f>
        <v>#VALUE!</v>
      </c>
      <c r="H58" s="221" t="e">
        <f>StSoMarks!H63/StSoMarks!H8</f>
        <v>#VALUE!</v>
      </c>
      <c r="I58" s="221" t="e">
        <f>StSoMarks!I63/StSoMarks!I8</f>
        <v>#VALUE!</v>
      </c>
      <c r="J58" s="221" t="e">
        <f>StSoMarks!J63/StSoMarks!J8</f>
        <v>#VALUE!</v>
      </c>
      <c r="K58" s="221" t="e">
        <f>StSoMarks!K63/StSoMarks!K8</f>
        <v>#VALUE!</v>
      </c>
      <c r="L58" s="221" t="e">
        <f>StSoMarks!L63/StSoMarks!L8</f>
        <v>#VALUE!</v>
      </c>
      <c r="M58" s="221" t="e">
        <f>StSoMarks!M63/StSoMarks!M8</f>
        <v>#VALUE!</v>
      </c>
      <c r="N58" s="221" t="e">
        <f>StSoMarks!N63/StSoMarks!N8</f>
        <v>#VALUE!</v>
      </c>
      <c r="O58" s="221" t="e">
        <f>StSoMarks!O63/StSoMarks!O8</f>
        <v>#VALUE!</v>
      </c>
      <c r="P58" s="221" t="e">
        <f>StSoMarks!P63/StSoMarks!P8</f>
        <v>#VALUE!</v>
      </c>
      <c r="Q58" s="221" t="e">
        <f>StSoMarks!Q63/StSoMarks!Q8</f>
        <v>#VALUE!</v>
      </c>
    </row>
    <row r="59" spans="1:17" x14ac:dyDescent="0.25">
      <c r="A59">
        <f>StSoMarks!A64</f>
        <v>53</v>
      </c>
      <c r="B59" t="str">
        <f>StSoMarks!B64</f>
        <v>Pharmaceutical sciences</v>
      </c>
      <c r="C59" t="str">
        <f>StSoMarks!C64</f>
        <v/>
      </c>
      <c r="D59" t="str">
        <f>StSoMarks!D64</f>
        <v/>
      </c>
      <c r="E59" s="221" t="e">
        <f>StSoMarks!E64/StSoMarks!E8</f>
        <v>#VALUE!</v>
      </c>
      <c r="F59" s="221" t="e">
        <f>StSoMarks!F64/StSoMarks!F8</f>
        <v>#VALUE!</v>
      </c>
      <c r="G59" s="221" t="e">
        <f>StSoMarks!G64/StSoMarks!G8</f>
        <v>#VALUE!</v>
      </c>
      <c r="H59" s="221" t="e">
        <f>StSoMarks!H64/StSoMarks!H8</f>
        <v>#VALUE!</v>
      </c>
      <c r="I59" s="221" t="e">
        <f>StSoMarks!I64/StSoMarks!I8</f>
        <v>#VALUE!</v>
      </c>
      <c r="J59" s="221" t="e">
        <f>StSoMarks!J64/StSoMarks!J8</f>
        <v>#VALUE!</v>
      </c>
      <c r="K59" s="221" t="e">
        <f>StSoMarks!K64/StSoMarks!K8</f>
        <v>#VALUE!</v>
      </c>
      <c r="L59" s="221" t="e">
        <f>StSoMarks!L64/StSoMarks!L8</f>
        <v>#VALUE!</v>
      </c>
      <c r="M59" s="221" t="e">
        <f>StSoMarks!M64/StSoMarks!M8</f>
        <v>#VALUE!</v>
      </c>
      <c r="N59" s="221" t="e">
        <f>StSoMarks!N64/StSoMarks!N8</f>
        <v>#VALUE!</v>
      </c>
      <c r="O59" s="221" t="e">
        <f>StSoMarks!O64/StSoMarks!O8</f>
        <v>#VALUE!</v>
      </c>
      <c r="P59" s="221" t="e">
        <f>StSoMarks!P64/StSoMarks!P8</f>
        <v>#VALUE!</v>
      </c>
      <c r="Q59" s="221" t="e">
        <f>StSoMarks!Q64/StSoMarks!Q8</f>
        <v>#VALUE!</v>
      </c>
    </row>
    <row r="60" spans="1:17" x14ac:dyDescent="0.25">
      <c r="A60">
        <f>StSoMarks!A65</f>
        <v>54</v>
      </c>
      <c r="B60" t="str">
        <f>StSoMarks!B65</f>
        <v>Pharmaceutical sciences</v>
      </c>
      <c r="C60" t="str">
        <f>StSoMarks!C65</f>
        <v/>
      </c>
      <c r="D60" t="str">
        <f>StSoMarks!D65</f>
        <v/>
      </c>
      <c r="E60" s="221" t="e">
        <f>StSoMarks!E65/StSoMarks!E8</f>
        <v>#VALUE!</v>
      </c>
      <c r="F60" s="221" t="e">
        <f>StSoMarks!F65/StSoMarks!F8</f>
        <v>#VALUE!</v>
      </c>
      <c r="G60" s="221" t="e">
        <f>StSoMarks!G65/StSoMarks!G8</f>
        <v>#VALUE!</v>
      </c>
      <c r="H60" s="221" t="e">
        <f>StSoMarks!H65/StSoMarks!H8</f>
        <v>#VALUE!</v>
      </c>
      <c r="I60" s="221" t="e">
        <f>StSoMarks!I65/StSoMarks!I8</f>
        <v>#VALUE!</v>
      </c>
      <c r="J60" s="221" t="e">
        <f>StSoMarks!J65/StSoMarks!J8</f>
        <v>#VALUE!</v>
      </c>
      <c r="K60" s="221" t="e">
        <f>StSoMarks!K65/StSoMarks!K8</f>
        <v>#VALUE!</v>
      </c>
      <c r="L60" s="221" t="e">
        <f>StSoMarks!L65/StSoMarks!L8</f>
        <v>#VALUE!</v>
      </c>
      <c r="M60" s="221" t="e">
        <f>StSoMarks!M65/StSoMarks!M8</f>
        <v>#VALUE!</v>
      </c>
      <c r="N60" s="221" t="e">
        <f>StSoMarks!N65/StSoMarks!N8</f>
        <v>#VALUE!</v>
      </c>
      <c r="O60" s="221" t="e">
        <f>StSoMarks!O65/StSoMarks!O8</f>
        <v>#VALUE!</v>
      </c>
      <c r="P60" s="221" t="e">
        <f>StSoMarks!P65/StSoMarks!P8</f>
        <v>#VALUE!</v>
      </c>
      <c r="Q60" s="221" t="e">
        <f>StSoMarks!Q65/StSoMarks!Q8</f>
        <v>#VALUE!</v>
      </c>
    </row>
    <row r="61" spans="1:17" x14ac:dyDescent="0.25">
      <c r="A61">
        <f>StSoMarks!A66</f>
        <v>55</v>
      </c>
      <c r="B61" t="str">
        <f>StSoMarks!B66</f>
        <v>Pharmaceutical sciences</v>
      </c>
      <c r="C61" t="str">
        <f>StSoMarks!C66</f>
        <v/>
      </c>
      <c r="D61" t="str">
        <f>StSoMarks!D66</f>
        <v/>
      </c>
      <c r="E61" s="221" t="e">
        <f>StSoMarks!E66/StSoMarks!E8</f>
        <v>#VALUE!</v>
      </c>
      <c r="F61" s="221" t="e">
        <f>StSoMarks!F66/StSoMarks!F8</f>
        <v>#VALUE!</v>
      </c>
      <c r="G61" s="221" t="e">
        <f>StSoMarks!G66/StSoMarks!G8</f>
        <v>#VALUE!</v>
      </c>
      <c r="H61" s="221" t="e">
        <f>StSoMarks!H66/StSoMarks!H8</f>
        <v>#VALUE!</v>
      </c>
      <c r="I61" s="221" t="e">
        <f>StSoMarks!I66/StSoMarks!I8</f>
        <v>#VALUE!</v>
      </c>
      <c r="J61" s="221" t="e">
        <f>StSoMarks!J66/StSoMarks!J8</f>
        <v>#VALUE!</v>
      </c>
      <c r="K61" s="221" t="e">
        <f>StSoMarks!K66/StSoMarks!K8</f>
        <v>#VALUE!</v>
      </c>
      <c r="L61" s="221" t="e">
        <f>StSoMarks!L66/StSoMarks!L8</f>
        <v>#VALUE!</v>
      </c>
      <c r="M61" s="221" t="e">
        <f>StSoMarks!M66/StSoMarks!M8</f>
        <v>#VALUE!</v>
      </c>
      <c r="N61" s="221" t="e">
        <f>StSoMarks!N66/StSoMarks!N8</f>
        <v>#VALUE!</v>
      </c>
      <c r="O61" s="221" t="e">
        <f>StSoMarks!O66/StSoMarks!O8</f>
        <v>#VALUE!</v>
      </c>
      <c r="P61" s="221" t="e">
        <f>StSoMarks!P66/StSoMarks!P8</f>
        <v>#VALUE!</v>
      </c>
      <c r="Q61" s="221" t="e">
        <f>StSoMarks!Q66/StSoMarks!Q8</f>
        <v>#VALUE!</v>
      </c>
    </row>
    <row r="62" spans="1:17" x14ac:dyDescent="0.25">
      <c r="A62">
        <f>StSoMarks!A67</f>
        <v>56</v>
      </c>
      <c r="B62" t="str">
        <f>StSoMarks!B67</f>
        <v>Pharmaceutical sciences</v>
      </c>
      <c r="C62" t="str">
        <f>StSoMarks!C67</f>
        <v/>
      </c>
      <c r="D62" t="str">
        <f>StSoMarks!D67</f>
        <v/>
      </c>
      <c r="E62" s="221" t="e">
        <f>StSoMarks!E67/StSoMarks!E8</f>
        <v>#VALUE!</v>
      </c>
      <c r="F62" s="221" t="e">
        <f>StSoMarks!F67/StSoMarks!F8</f>
        <v>#VALUE!</v>
      </c>
      <c r="G62" s="221" t="e">
        <f>StSoMarks!G67/StSoMarks!G8</f>
        <v>#VALUE!</v>
      </c>
      <c r="H62" s="221" t="e">
        <f>StSoMarks!H67/StSoMarks!H8</f>
        <v>#VALUE!</v>
      </c>
      <c r="I62" s="221" t="e">
        <f>StSoMarks!I67/StSoMarks!I8</f>
        <v>#VALUE!</v>
      </c>
      <c r="J62" s="221" t="e">
        <f>StSoMarks!J67/StSoMarks!J8</f>
        <v>#VALUE!</v>
      </c>
      <c r="K62" s="221" t="e">
        <f>StSoMarks!K67/StSoMarks!K8</f>
        <v>#VALUE!</v>
      </c>
      <c r="L62" s="221" t="e">
        <f>StSoMarks!L67/StSoMarks!L8</f>
        <v>#VALUE!</v>
      </c>
      <c r="M62" s="221" t="e">
        <f>StSoMarks!M67/StSoMarks!M8</f>
        <v>#VALUE!</v>
      </c>
      <c r="N62" s="221" t="e">
        <f>StSoMarks!N67/StSoMarks!N8</f>
        <v>#VALUE!</v>
      </c>
      <c r="O62" s="221" t="e">
        <f>StSoMarks!O67/StSoMarks!O8</f>
        <v>#VALUE!</v>
      </c>
      <c r="P62" s="221" t="e">
        <f>StSoMarks!P67/StSoMarks!P8</f>
        <v>#VALUE!</v>
      </c>
      <c r="Q62" s="221" t="e">
        <f>StSoMarks!Q67/StSoMarks!Q8</f>
        <v>#VALUE!</v>
      </c>
    </row>
    <row r="63" spans="1:17" x14ac:dyDescent="0.25">
      <c r="A63">
        <f>StSoMarks!A68</f>
        <v>57</v>
      </c>
      <c r="B63" t="str">
        <f>StSoMarks!B68</f>
        <v>Pharmaceutical sciences</v>
      </c>
      <c r="C63" t="str">
        <f>StSoMarks!C68</f>
        <v/>
      </c>
      <c r="D63" t="str">
        <f>StSoMarks!D68</f>
        <v/>
      </c>
      <c r="E63" s="221" t="e">
        <f>StSoMarks!E68/StSoMarks!E8</f>
        <v>#VALUE!</v>
      </c>
      <c r="F63" s="221" t="e">
        <f>StSoMarks!F68/StSoMarks!F8</f>
        <v>#VALUE!</v>
      </c>
      <c r="G63" s="221" t="e">
        <f>StSoMarks!G68/StSoMarks!G8</f>
        <v>#VALUE!</v>
      </c>
      <c r="H63" s="221" t="e">
        <f>StSoMarks!H68/StSoMarks!H8</f>
        <v>#VALUE!</v>
      </c>
      <c r="I63" s="221" t="e">
        <f>StSoMarks!I68/StSoMarks!I8</f>
        <v>#VALUE!</v>
      </c>
      <c r="J63" s="221" t="e">
        <f>StSoMarks!J68/StSoMarks!J8</f>
        <v>#VALUE!</v>
      </c>
      <c r="K63" s="221" t="e">
        <f>StSoMarks!K68/StSoMarks!K8</f>
        <v>#VALUE!</v>
      </c>
      <c r="L63" s="221" t="e">
        <f>StSoMarks!L68/StSoMarks!L8</f>
        <v>#VALUE!</v>
      </c>
      <c r="M63" s="221" t="e">
        <f>StSoMarks!M68/StSoMarks!M8</f>
        <v>#VALUE!</v>
      </c>
      <c r="N63" s="221" t="e">
        <f>StSoMarks!N68/StSoMarks!N8</f>
        <v>#VALUE!</v>
      </c>
      <c r="O63" s="221" t="e">
        <f>StSoMarks!O68/StSoMarks!O8</f>
        <v>#VALUE!</v>
      </c>
      <c r="P63" s="221" t="e">
        <f>StSoMarks!P68/StSoMarks!P8</f>
        <v>#VALUE!</v>
      </c>
      <c r="Q63" s="221" t="e">
        <f>StSoMarks!Q68/StSoMarks!Q8</f>
        <v>#VALUE!</v>
      </c>
    </row>
    <row r="64" spans="1:17" x14ac:dyDescent="0.25">
      <c r="A64">
        <f>StSoMarks!A69</f>
        <v>58</v>
      </c>
      <c r="B64" t="str">
        <f>StSoMarks!B69</f>
        <v>Pharmaceutical sciences</v>
      </c>
      <c r="C64" t="str">
        <f>StSoMarks!C69</f>
        <v/>
      </c>
      <c r="D64" t="str">
        <f>StSoMarks!D69</f>
        <v/>
      </c>
      <c r="E64" s="221" t="e">
        <f>StSoMarks!E69/StSoMarks!E8</f>
        <v>#VALUE!</v>
      </c>
      <c r="F64" s="221" t="e">
        <f>StSoMarks!F69/StSoMarks!F8</f>
        <v>#VALUE!</v>
      </c>
      <c r="G64" s="221" t="e">
        <f>StSoMarks!G69/StSoMarks!G8</f>
        <v>#VALUE!</v>
      </c>
      <c r="H64" s="221" t="e">
        <f>StSoMarks!H69/StSoMarks!H8</f>
        <v>#VALUE!</v>
      </c>
      <c r="I64" s="221" t="e">
        <f>StSoMarks!I69/StSoMarks!I8</f>
        <v>#VALUE!</v>
      </c>
      <c r="J64" s="221" t="e">
        <f>StSoMarks!J69/StSoMarks!J8</f>
        <v>#VALUE!</v>
      </c>
      <c r="K64" s="221" t="e">
        <f>StSoMarks!K69/StSoMarks!K8</f>
        <v>#VALUE!</v>
      </c>
      <c r="L64" s="221" t="e">
        <f>StSoMarks!L69/StSoMarks!L8</f>
        <v>#VALUE!</v>
      </c>
      <c r="M64" s="221" t="e">
        <f>StSoMarks!M69/StSoMarks!M8</f>
        <v>#VALUE!</v>
      </c>
      <c r="N64" s="221" t="e">
        <f>StSoMarks!N69/StSoMarks!N8</f>
        <v>#VALUE!</v>
      </c>
      <c r="O64" s="221" t="e">
        <f>StSoMarks!O69/StSoMarks!O8</f>
        <v>#VALUE!</v>
      </c>
      <c r="P64" s="221" t="e">
        <f>StSoMarks!P69/StSoMarks!P8</f>
        <v>#VALUE!</v>
      </c>
      <c r="Q64" s="221" t="e">
        <f>StSoMarks!Q69/StSoMarks!Q8</f>
        <v>#VALUE!</v>
      </c>
    </row>
    <row r="65" spans="1:17" x14ac:dyDescent="0.25">
      <c r="A65">
        <f>StSoMarks!A70</f>
        <v>59</v>
      </c>
      <c r="B65" t="str">
        <f>StSoMarks!B70</f>
        <v>Pharmaceutical sciences</v>
      </c>
      <c r="C65" t="str">
        <f>StSoMarks!C70</f>
        <v/>
      </c>
      <c r="D65" t="str">
        <f>StSoMarks!D70</f>
        <v/>
      </c>
      <c r="E65" s="221" t="e">
        <f>StSoMarks!E70/StSoMarks!E8</f>
        <v>#VALUE!</v>
      </c>
      <c r="F65" s="221" t="e">
        <f>StSoMarks!F70/StSoMarks!F8</f>
        <v>#VALUE!</v>
      </c>
      <c r="G65" s="221" t="e">
        <f>StSoMarks!G70/StSoMarks!G8</f>
        <v>#VALUE!</v>
      </c>
      <c r="H65" s="221" t="e">
        <f>StSoMarks!H70/StSoMarks!H8</f>
        <v>#VALUE!</v>
      </c>
      <c r="I65" s="221" t="e">
        <f>StSoMarks!I70/StSoMarks!I8</f>
        <v>#VALUE!</v>
      </c>
      <c r="J65" s="221" t="e">
        <f>StSoMarks!J70/StSoMarks!J8</f>
        <v>#VALUE!</v>
      </c>
      <c r="K65" s="221" t="e">
        <f>StSoMarks!K70/StSoMarks!K8</f>
        <v>#VALUE!</v>
      </c>
      <c r="L65" s="221" t="e">
        <f>StSoMarks!L70/StSoMarks!L8</f>
        <v>#VALUE!</v>
      </c>
      <c r="M65" s="221" t="e">
        <f>StSoMarks!M70/StSoMarks!M8</f>
        <v>#VALUE!</v>
      </c>
      <c r="N65" s="221" t="e">
        <f>StSoMarks!N70/StSoMarks!N8</f>
        <v>#VALUE!</v>
      </c>
      <c r="O65" s="221" t="e">
        <f>StSoMarks!O70/StSoMarks!O8</f>
        <v>#VALUE!</v>
      </c>
      <c r="P65" s="221" t="e">
        <f>StSoMarks!P70/StSoMarks!P8</f>
        <v>#VALUE!</v>
      </c>
      <c r="Q65" s="221" t="e">
        <f>StSoMarks!Q70/StSoMarks!Q8</f>
        <v>#VALUE!</v>
      </c>
    </row>
    <row r="66" spans="1:17" x14ac:dyDescent="0.25">
      <c r="A66">
        <f>StSoMarks!A71</f>
        <v>60</v>
      </c>
      <c r="B66" t="str">
        <f>StSoMarks!B71</f>
        <v>Pharmaceutical sciences</v>
      </c>
      <c r="C66" t="str">
        <f>StSoMarks!C71</f>
        <v/>
      </c>
      <c r="D66" t="str">
        <f>StSoMarks!D71</f>
        <v/>
      </c>
      <c r="E66" s="221" t="e">
        <f>StSoMarks!E71/StSoMarks!E8</f>
        <v>#VALUE!</v>
      </c>
      <c r="F66" s="221" t="e">
        <f>StSoMarks!F71/StSoMarks!F8</f>
        <v>#VALUE!</v>
      </c>
      <c r="G66" s="221" t="e">
        <f>StSoMarks!G71/StSoMarks!G8</f>
        <v>#VALUE!</v>
      </c>
      <c r="H66" s="221" t="e">
        <f>StSoMarks!H71/StSoMarks!H8</f>
        <v>#VALUE!</v>
      </c>
      <c r="I66" s="221" t="e">
        <f>StSoMarks!I71/StSoMarks!I8</f>
        <v>#VALUE!</v>
      </c>
      <c r="J66" s="221" t="e">
        <f>StSoMarks!J71/StSoMarks!J8</f>
        <v>#VALUE!</v>
      </c>
      <c r="K66" s="221" t="e">
        <f>StSoMarks!K71/StSoMarks!K8</f>
        <v>#VALUE!</v>
      </c>
      <c r="L66" s="221" t="e">
        <f>StSoMarks!L71/StSoMarks!L8</f>
        <v>#VALUE!</v>
      </c>
      <c r="M66" s="221" t="e">
        <f>StSoMarks!M71/StSoMarks!M8</f>
        <v>#VALUE!</v>
      </c>
      <c r="N66" s="221" t="e">
        <f>StSoMarks!N71/StSoMarks!N8</f>
        <v>#VALUE!</v>
      </c>
      <c r="O66" s="221" t="e">
        <f>StSoMarks!O71/StSoMarks!O8</f>
        <v>#VALUE!</v>
      </c>
      <c r="P66" s="221" t="e">
        <f>StSoMarks!P71/StSoMarks!P8</f>
        <v>#VALUE!</v>
      </c>
      <c r="Q66" s="221" t="e">
        <f>StSoMarks!Q71/StSoMarks!Q8</f>
        <v>#VALUE!</v>
      </c>
    </row>
    <row r="67" spans="1:17" x14ac:dyDescent="0.25">
      <c r="A67">
        <f>StSoMarks!A72</f>
        <v>61</v>
      </c>
      <c r="B67" t="str">
        <f>StSoMarks!B72</f>
        <v>Pharmaceutical sciences</v>
      </c>
      <c r="C67" t="str">
        <f>StSoMarks!C72</f>
        <v/>
      </c>
      <c r="D67" t="str">
        <f>StSoMarks!D72</f>
        <v/>
      </c>
      <c r="E67" s="221" t="e">
        <f>StSoMarks!E72/StSoMarks!E8</f>
        <v>#VALUE!</v>
      </c>
      <c r="F67" s="221" t="e">
        <f>StSoMarks!F72/StSoMarks!F8</f>
        <v>#VALUE!</v>
      </c>
      <c r="G67" s="221" t="e">
        <f>StSoMarks!G72/StSoMarks!G8</f>
        <v>#VALUE!</v>
      </c>
      <c r="H67" s="221" t="e">
        <f>StSoMarks!H72/StSoMarks!H8</f>
        <v>#VALUE!</v>
      </c>
      <c r="I67" s="221" t="e">
        <f>StSoMarks!I72/StSoMarks!I8</f>
        <v>#VALUE!</v>
      </c>
      <c r="J67" s="221" t="e">
        <f>StSoMarks!J72/StSoMarks!J8</f>
        <v>#VALUE!</v>
      </c>
      <c r="K67" s="221" t="e">
        <f>StSoMarks!K72/StSoMarks!K8</f>
        <v>#VALUE!</v>
      </c>
      <c r="L67" s="221" t="e">
        <f>StSoMarks!L72/StSoMarks!L8</f>
        <v>#VALUE!</v>
      </c>
      <c r="M67" s="221" t="e">
        <f>StSoMarks!M72/StSoMarks!M8</f>
        <v>#VALUE!</v>
      </c>
      <c r="N67" s="221" t="e">
        <f>StSoMarks!N72/StSoMarks!N8</f>
        <v>#VALUE!</v>
      </c>
      <c r="O67" s="221" t="e">
        <f>StSoMarks!O72/StSoMarks!O8</f>
        <v>#VALUE!</v>
      </c>
      <c r="P67" s="221" t="e">
        <f>StSoMarks!P72/StSoMarks!P8</f>
        <v>#VALUE!</v>
      </c>
      <c r="Q67" s="221" t="e">
        <f>StSoMarks!Q72/StSoMarks!Q8</f>
        <v>#VALUE!</v>
      </c>
    </row>
    <row r="68" spans="1:17" x14ac:dyDescent="0.25">
      <c r="A68">
        <f>StSoMarks!A73</f>
        <v>62</v>
      </c>
      <c r="B68" t="str">
        <f>StSoMarks!B73</f>
        <v>Pharmaceutical sciences</v>
      </c>
      <c r="C68" t="str">
        <f>StSoMarks!C73</f>
        <v/>
      </c>
      <c r="D68" t="str">
        <f>StSoMarks!D73</f>
        <v/>
      </c>
      <c r="E68" s="221" t="e">
        <f>StSoMarks!E73/StSoMarks!E8</f>
        <v>#VALUE!</v>
      </c>
      <c r="F68" s="221" t="e">
        <f>StSoMarks!F73/StSoMarks!F8</f>
        <v>#VALUE!</v>
      </c>
      <c r="G68" s="221" t="e">
        <f>StSoMarks!G73/StSoMarks!G8</f>
        <v>#VALUE!</v>
      </c>
      <c r="H68" s="221" t="e">
        <f>StSoMarks!H73/StSoMarks!H8</f>
        <v>#VALUE!</v>
      </c>
      <c r="I68" s="221" t="e">
        <f>StSoMarks!I73/StSoMarks!I8</f>
        <v>#VALUE!</v>
      </c>
      <c r="J68" s="221" t="e">
        <f>StSoMarks!J73/StSoMarks!J8</f>
        <v>#VALUE!</v>
      </c>
      <c r="K68" s="221" t="e">
        <f>StSoMarks!K73/StSoMarks!K8</f>
        <v>#VALUE!</v>
      </c>
      <c r="L68" s="221" t="e">
        <f>StSoMarks!L73/StSoMarks!L8</f>
        <v>#VALUE!</v>
      </c>
      <c r="M68" s="221" t="e">
        <f>StSoMarks!M73/StSoMarks!M8</f>
        <v>#VALUE!</v>
      </c>
      <c r="N68" s="221" t="e">
        <f>StSoMarks!N73/StSoMarks!N8</f>
        <v>#VALUE!</v>
      </c>
      <c r="O68" s="221" t="e">
        <f>StSoMarks!O73/StSoMarks!O8</f>
        <v>#VALUE!</v>
      </c>
      <c r="P68" s="221" t="e">
        <f>StSoMarks!P73/StSoMarks!P8</f>
        <v>#VALUE!</v>
      </c>
      <c r="Q68" s="221" t="e">
        <f>StSoMarks!Q73/StSoMarks!Q8</f>
        <v>#VALUE!</v>
      </c>
    </row>
    <row r="69" spans="1:17" x14ac:dyDescent="0.25">
      <c r="A69">
        <f>StSoMarks!A74</f>
        <v>63</v>
      </c>
      <c r="B69" t="str">
        <f>StSoMarks!B74</f>
        <v>Pharmaceutical sciences</v>
      </c>
      <c r="C69" t="str">
        <f>StSoMarks!C74</f>
        <v/>
      </c>
      <c r="D69" t="str">
        <f>StSoMarks!D74</f>
        <v/>
      </c>
      <c r="E69" s="221" t="e">
        <f>StSoMarks!E74/StSoMarks!E8</f>
        <v>#VALUE!</v>
      </c>
      <c r="F69" s="221" t="e">
        <f>StSoMarks!F74/StSoMarks!F8</f>
        <v>#VALUE!</v>
      </c>
      <c r="G69" s="221" t="e">
        <f>StSoMarks!G74/StSoMarks!G8</f>
        <v>#VALUE!</v>
      </c>
      <c r="H69" s="221" t="e">
        <f>StSoMarks!H74/StSoMarks!H8</f>
        <v>#VALUE!</v>
      </c>
      <c r="I69" s="221" t="e">
        <f>StSoMarks!I74/StSoMarks!I8</f>
        <v>#VALUE!</v>
      </c>
      <c r="J69" s="221" t="e">
        <f>StSoMarks!J74/StSoMarks!J8</f>
        <v>#VALUE!</v>
      </c>
      <c r="K69" s="221" t="e">
        <f>StSoMarks!K74/StSoMarks!K8</f>
        <v>#VALUE!</v>
      </c>
      <c r="L69" s="221" t="e">
        <f>StSoMarks!L74/StSoMarks!L8</f>
        <v>#VALUE!</v>
      </c>
      <c r="M69" s="221" t="e">
        <f>StSoMarks!M74/StSoMarks!M8</f>
        <v>#VALUE!</v>
      </c>
      <c r="N69" s="221" t="e">
        <f>StSoMarks!N74/StSoMarks!N8</f>
        <v>#VALUE!</v>
      </c>
      <c r="O69" s="221" t="e">
        <f>StSoMarks!O74/StSoMarks!O8</f>
        <v>#VALUE!</v>
      </c>
      <c r="P69" s="221" t="e">
        <f>StSoMarks!P74/StSoMarks!P8</f>
        <v>#VALUE!</v>
      </c>
      <c r="Q69" s="221" t="e">
        <f>StSoMarks!Q74/StSoMarks!Q8</f>
        <v>#VALUE!</v>
      </c>
    </row>
    <row r="70" spans="1:17" x14ac:dyDescent="0.25">
      <c r="A70">
        <f>StSoMarks!A75</f>
        <v>64</v>
      </c>
      <c r="B70" t="str">
        <f>StSoMarks!B75</f>
        <v>Pharmaceutical sciences</v>
      </c>
      <c r="C70" t="str">
        <f>StSoMarks!C75</f>
        <v/>
      </c>
      <c r="D70" t="str">
        <f>StSoMarks!D75</f>
        <v/>
      </c>
      <c r="E70" s="221" t="e">
        <f>StSoMarks!E75/StSoMarks!E8</f>
        <v>#VALUE!</v>
      </c>
      <c r="F70" s="221" t="e">
        <f>StSoMarks!F75/StSoMarks!F8</f>
        <v>#VALUE!</v>
      </c>
      <c r="G70" s="221" t="e">
        <f>StSoMarks!G75/StSoMarks!G8</f>
        <v>#VALUE!</v>
      </c>
      <c r="H70" s="221" t="e">
        <f>StSoMarks!H75/StSoMarks!H8</f>
        <v>#VALUE!</v>
      </c>
      <c r="I70" s="221" t="e">
        <f>StSoMarks!I75/StSoMarks!I8</f>
        <v>#VALUE!</v>
      </c>
      <c r="J70" s="221" t="e">
        <f>StSoMarks!J75/StSoMarks!J8</f>
        <v>#VALUE!</v>
      </c>
      <c r="K70" s="221" t="e">
        <f>StSoMarks!K75/StSoMarks!K8</f>
        <v>#VALUE!</v>
      </c>
      <c r="L70" s="221" t="e">
        <f>StSoMarks!L75/StSoMarks!L8</f>
        <v>#VALUE!</v>
      </c>
      <c r="M70" s="221" t="e">
        <f>StSoMarks!M75/StSoMarks!M8</f>
        <v>#VALUE!</v>
      </c>
      <c r="N70" s="221" t="e">
        <f>StSoMarks!N75/StSoMarks!N8</f>
        <v>#VALUE!</v>
      </c>
      <c r="O70" s="221" t="e">
        <f>StSoMarks!O75/StSoMarks!O8</f>
        <v>#VALUE!</v>
      </c>
      <c r="P70" s="221" t="e">
        <f>StSoMarks!P75/StSoMarks!P8</f>
        <v>#VALUE!</v>
      </c>
      <c r="Q70" s="221" t="e">
        <f>StSoMarks!Q75/StSoMarks!Q8</f>
        <v>#VALUE!</v>
      </c>
    </row>
    <row r="71" spans="1:17" x14ac:dyDescent="0.25">
      <c r="A71">
        <f>StSoMarks!A76</f>
        <v>65</v>
      </c>
      <c r="B71" t="str">
        <f>StSoMarks!B76</f>
        <v>Pharmaceutical sciences</v>
      </c>
      <c r="C71" t="str">
        <f>StSoMarks!C76</f>
        <v/>
      </c>
      <c r="D71" t="str">
        <f>StSoMarks!D76</f>
        <v/>
      </c>
      <c r="E71" s="221" t="e">
        <f>StSoMarks!E76/StSoMarks!E8</f>
        <v>#VALUE!</v>
      </c>
      <c r="F71" s="221" t="e">
        <f>StSoMarks!F76/StSoMarks!F8</f>
        <v>#VALUE!</v>
      </c>
      <c r="G71" s="221" t="e">
        <f>StSoMarks!G76/StSoMarks!G8</f>
        <v>#VALUE!</v>
      </c>
      <c r="H71" s="221" t="e">
        <f>StSoMarks!H76/StSoMarks!H8</f>
        <v>#VALUE!</v>
      </c>
      <c r="I71" s="221" t="e">
        <f>StSoMarks!I76/StSoMarks!I8</f>
        <v>#VALUE!</v>
      </c>
      <c r="J71" s="221" t="e">
        <f>StSoMarks!J76/StSoMarks!J8</f>
        <v>#VALUE!</v>
      </c>
      <c r="K71" s="221" t="e">
        <f>StSoMarks!K76/StSoMarks!K8</f>
        <v>#VALUE!</v>
      </c>
      <c r="L71" s="221" t="e">
        <f>StSoMarks!L76/StSoMarks!L8</f>
        <v>#VALUE!</v>
      </c>
      <c r="M71" s="221" t="e">
        <f>StSoMarks!M76/StSoMarks!M8</f>
        <v>#VALUE!</v>
      </c>
      <c r="N71" s="221" t="e">
        <f>StSoMarks!N76/StSoMarks!N8</f>
        <v>#VALUE!</v>
      </c>
      <c r="O71" s="221" t="e">
        <f>StSoMarks!O76/StSoMarks!O8</f>
        <v>#VALUE!</v>
      </c>
      <c r="P71" s="221" t="e">
        <f>StSoMarks!P76/StSoMarks!P8</f>
        <v>#VALUE!</v>
      </c>
      <c r="Q71" s="221" t="e">
        <f>StSoMarks!Q76/StSoMarks!Q8</f>
        <v>#VALUE!</v>
      </c>
    </row>
    <row r="72" spans="1:17" x14ac:dyDescent="0.25">
      <c r="A72">
        <f>StSoMarks!A77</f>
        <v>66</v>
      </c>
      <c r="B72" t="str">
        <f>StSoMarks!B77</f>
        <v>Pharmaceutical sciences</v>
      </c>
      <c r="C72" t="str">
        <f>StSoMarks!C77</f>
        <v/>
      </c>
      <c r="D72" t="str">
        <f>StSoMarks!D77</f>
        <v/>
      </c>
      <c r="E72" s="221" t="e">
        <f>StSoMarks!E77/StSoMarks!E8</f>
        <v>#VALUE!</v>
      </c>
      <c r="F72" s="221" t="e">
        <f>StSoMarks!F77/StSoMarks!F8</f>
        <v>#VALUE!</v>
      </c>
      <c r="G72" s="221" t="e">
        <f>StSoMarks!G77/StSoMarks!G8</f>
        <v>#VALUE!</v>
      </c>
      <c r="H72" s="221" t="e">
        <f>StSoMarks!H77/StSoMarks!H8</f>
        <v>#VALUE!</v>
      </c>
      <c r="I72" s="221" t="e">
        <f>StSoMarks!I77/StSoMarks!I8</f>
        <v>#VALUE!</v>
      </c>
      <c r="J72" s="221" t="e">
        <f>StSoMarks!J77/StSoMarks!J8</f>
        <v>#VALUE!</v>
      </c>
      <c r="K72" s="221" t="e">
        <f>StSoMarks!K77/StSoMarks!K8</f>
        <v>#VALUE!</v>
      </c>
      <c r="L72" s="221" t="e">
        <f>StSoMarks!L77/StSoMarks!L8</f>
        <v>#VALUE!</v>
      </c>
      <c r="M72" s="221" t="e">
        <f>StSoMarks!M77/StSoMarks!M8</f>
        <v>#VALUE!</v>
      </c>
      <c r="N72" s="221" t="e">
        <f>StSoMarks!N77/StSoMarks!N8</f>
        <v>#VALUE!</v>
      </c>
      <c r="O72" s="221" t="e">
        <f>StSoMarks!O77/StSoMarks!O8</f>
        <v>#VALUE!</v>
      </c>
      <c r="P72" s="221" t="e">
        <f>StSoMarks!P77/StSoMarks!P8</f>
        <v>#VALUE!</v>
      </c>
      <c r="Q72" s="221" t="e">
        <f>StSoMarks!Q77/StSoMarks!Q8</f>
        <v>#VALUE!</v>
      </c>
    </row>
    <row r="73" spans="1:17" x14ac:dyDescent="0.25">
      <c r="A73">
        <f>StSoMarks!A78</f>
        <v>67</v>
      </c>
      <c r="B73" t="str">
        <f>StSoMarks!B78</f>
        <v>Pharmaceutical sciences</v>
      </c>
      <c r="C73" t="str">
        <f>StSoMarks!C78</f>
        <v/>
      </c>
      <c r="D73" t="str">
        <f>StSoMarks!D78</f>
        <v/>
      </c>
      <c r="E73" s="221" t="e">
        <f>StSoMarks!E78/StSoMarks!E8</f>
        <v>#VALUE!</v>
      </c>
      <c r="F73" s="221" t="e">
        <f>StSoMarks!F78/StSoMarks!F8</f>
        <v>#VALUE!</v>
      </c>
      <c r="G73" s="221" t="e">
        <f>StSoMarks!G78/StSoMarks!G8</f>
        <v>#VALUE!</v>
      </c>
      <c r="H73" s="221" t="e">
        <f>StSoMarks!H78/StSoMarks!H8</f>
        <v>#VALUE!</v>
      </c>
      <c r="I73" s="221" t="e">
        <f>StSoMarks!I78/StSoMarks!I8</f>
        <v>#VALUE!</v>
      </c>
      <c r="J73" s="221" t="e">
        <f>StSoMarks!J78/StSoMarks!J8</f>
        <v>#VALUE!</v>
      </c>
      <c r="K73" s="221" t="e">
        <f>StSoMarks!K78/StSoMarks!K8</f>
        <v>#VALUE!</v>
      </c>
      <c r="L73" s="221" t="e">
        <f>StSoMarks!L78/StSoMarks!L8</f>
        <v>#VALUE!</v>
      </c>
      <c r="M73" s="221" t="e">
        <f>StSoMarks!M78/StSoMarks!M8</f>
        <v>#VALUE!</v>
      </c>
      <c r="N73" s="221" t="e">
        <f>StSoMarks!N78/StSoMarks!N8</f>
        <v>#VALUE!</v>
      </c>
      <c r="O73" s="221" t="e">
        <f>StSoMarks!O78/StSoMarks!O8</f>
        <v>#VALUE!</v>
      </c>
      <c r="P73" s="221" t="e">
        <f>StSoMarks!P78/StSoMarks!P8</f>
        <v>#VALUE!</v>
      </c>
      <c r="Q73" s="221" t="e">
        <f>StSoMarks!Q78/StSoMarks!Q8</f>
        <v>#VALUE!</v>
      </c>
    </row>
    <row r="74" spans="1:17" x14ac:dyDescent="0.25">
      <c r="A74">
        <f>StSoMarks!A79</f>
        <v>68</v>
      </c>
      <c r="B74" t="str">
        <f>StSoMarks!B79</f>
        <v>Pharmaceutical sciences</v>
      </c>
      <c r="C74" t="str">
        <f>StSoMarks!C79</f>
        <v/>
      </c>
      <c r="D74" t="str">
        <f>StSoMarks!D79</f>
        <v/>
      </c>
      <c r="E74" s="221" t="e">
        <f>StSoMarks!E79/StSoMarks!E8</f>
        <v>#VALUE!</v>
      </c>
      <c r="F74" s="221" t="e">
        <f>StSoMarks!F79/StSoMarks!F8</f>
        <v>#VALUE!</v>
      </c>
      <c r="G74" s="221" t="e">
        <f>StSoMarks!G79/StSoMarks!G8</f>
        <v>#VALUE!</v>
      </c>
      <c r="H74" s="221" t="e">
        <f>StSoMarks!H79/StSoMarks!H8</f>
        <v>#VALUE!</v>
      </c>
      <c r="I74" s="221" t="e">
        <f>StSoMarks!I79/StSoMarks!I8</f>
        <v>#VALUE!</v>
      </c>
      <c r="J74" s="221" t="e">
        <f>StSoMarks!J79/StSoMarks!J8</f>
        <v>#VALUE!</v>
      </c>
      <c r="K74" s="221" t="e">
        <f>StSoMarks!K79/StSoMarks!K8</f>
        <v>#VALUE!</v>
      </c>
      <c r="L74" s="221" t="e">
        <f>StSoMarks!L79/StSoMarks!L8</f>
        <v>#VALUE!</v>
      </c>
      <c r="M74" s="221" t="e">
        <f>StSoMarks!M79/StSoMarks!M8</f>
        <v>#VALUE!</v>
      </c>
      <c r="N74" s="221" t="e">
        <f>StSoMarks!N79/StSoMarks!N8</f>
        <v>#VALUE!</v>
      </c>
      <c r="O74" s="221" t="e">
        <f>StSoMarks!O79/StSoMarks!O8</f>
        <v>#VALUE!</v>
      </c>
      <c r="P74" s="221" t="e">
        <f>StSoMarks!P79/StSoMarks!P8</f>
        <v>#VALUE!</v>
      </c>
      <c r="Q74" s="221" t="e">
        <f>StSoMarks!Q79/StSoMarks!Q8</f>
        <v>#VALUE!</v>
      </c>
    </row>
    <row r="75" spans="1:17" x14ac:dyDescent="0.25">
      <c r="A75">
        <f>StSoMarks!A80</f>
        <v>69</v>
      </c>
      <c r="B75" t="str">
        <f>StSoMarks!B80</f>
        <v>Pharmaceutical sciences</v>
      </c>
      <c r="C75" t="str">
        <f>StSoMarks!C80</f>
        <v/>
      </c>
      <c r="D75" t="str">
        <f>StSoMarks!D80</f>
        <v/>
      </c>
      <c r="E75" s="221" t="e">
        <f>StSoMarks!E80/StSoMarks!E8</f>
        <v>#VALUE!</v>
      </c>
      <c r="F75" s="221" t="e">
        <f>StSoMarks!F80/StSoMarks!F8</f>
        <v>#VALUE!</v>
      </c>
      <c r="G75" s="221" t="e">
        <f>StSoMarks!G80/StSoMarks!G8</f>
        <v>#VALUE!</v>
      </c>
      <c r="H75" s="221" t="e">
        <f>StSoMarks!H80/StSoMarks!H8</f>
        <v>#VALUE!</v>
      </c>
      <c r="I75" s="221" t="e">
        <f>StSoMarks!I80/StSoMarks!I8</f>
        <v>#VALUE!</v>
      </c>
      <c r="J75" s="221" t="e">
        <f>StSoMarks!J80/StSoMarks!J8</f>
        <v>#VALUE!</v>
      </c>
      <c r="K75" s="221" t="e">
        <f>StSoMarks!K80/StSoMarks!K8</f>
        <v>#VALUE!</v>
      </c>
      <c r="L75" s="221" t="e">
        <f>StSoMarks!L80/StSoMarks!L8</f>
        <v>#VALUE!</v>
      </c>
      <c r="M75" s="221" t="e">
        <f>StSoMarks!M80/StSoMarks!M8</f>
        <v>#VALUE!</v>
      </c>
      <c r="N75" s="221" t="e">
        <f>StSoMarks!N80/StSoMarks!N8</f>
        <v>#VALUE!</v>
      </c>
      <c r="O75" s="221" t="e">
        <f>StSoMarks!O80/StSoMarks!O8</f>
        <v>#VALUE!</v>
      </c>
      <c r="P75" s="221" t="e">
        <f>StSoMarks!P80/StSoMarks!P8</f>
        <v>#VALUE!</v>
      </c>
      <c r="Q75" s="221" t="e">
        <f>StSoMarks!Q80/StSoMarks!Q8</f>
        <v>#VALUE!</v>
      </c>
    </row>
    <row r="76" spans="1:17" x14ac:dyDescent="0.25">
      <c r="A76">
        <f>StSoMarks!A81</f>
        <v>70</v>
      </c>
      <c r="B76" t="str">
        <f>StSoMarks!B81</f>
        <v>Pharmaceutical sciences</v>
      </c>
      <c r="C76" t="str">
        <f>StSoMarks!C81</f>
        <v/>
      </c>
      <c r="D76" t="str">
        <f>StSoMarks!D81</f>
        <v/>
      </c>
      <c r="E76" s="221" t="e">
        <f>StSoMarks!E81/StSoMarks!E8</f>
        <v>#VALUE!</v>
      </c>
      <c r="F76" s="221" t="e">
        <f>StSoMarks!F81/StSoMarks!F8</f>
        <v>#VALUE!</v>
      </c>
      <c r="G76" s="221" t="e">
        <f>StSoMarks!G81/StSoMarks!G8</f>
        <v>#VALUE!</v>
      </c>
      <c r="H76" s="221" t="e">
        <f>StSoMarks!H81/StSoMarks!H8</f>
        <v>#VALUE!</v>
      </c>
      <c r="I76" s="221" t="e">
        <f>StSoMarks!I81/StSoMarks!I8</f>
        <v>#VALUE!</v>
      </c>
      <c r="J76" s="221" t="e">
        <f>StSoMarks!J81/StSoMarks!J8</f>
        <v>#VALUE!</v>
      </c>
      <c r="K76" s="221" t="e">
        <f>StSoMarks!K81/StSoMarks!K8</f>
        <v>#VALUE!</v>
      </c>
      <c r="L76" s="221" t="e">
        <f>StSoMarks!L81/StSoMarks!L8</f>
        <v>#VALUE!</v>
      </c>
      <c r="M76" s="221" t="e">
        <f>StSoMarks!M81/StSoMarks!M8</f>
        <v>#VALUE!</v>
      </c>
      <c r="N76" s="221" t="e">
        <f>StSoMarks!N81/StSoMarks!N8</f>
        <v>#VALUE!</v>
      </c>
      <c r="O76" s="221" t="e">
        <f>StSoMarks!O81/StSoMarks!O8</f>
        <v>#VALUE!</v>
      </c>
      <c r="P76" s="221" t="e">
        <f>StSoMarks!P81/StSoMarks!P8</f>
        <v>#VALUE!</v>
      </c>
      <c r="Q76" s="221" t="e">
        <f>StSoMarks!Q81/StSoMarks!Q8</f>
        <v>#VALUE!</v>
      </c>
    </row>
    <row r="77" spans="1:17" x14ac:dyDescent="0.25">
      <c r="A77">
        <f>StSoMarks!A82</f>
        <v>71</v>
      </c>
      <c r="B77" t="str">
        <f>StSoMarks!B82</f>
        <v>Pharmaceutical sciences</v>
      </c>
      <c r="C77" t="str">
        <f>StSoMarks!C82</f>
        <v/>
      </c>
      <c r="D77" t="str">
        <f>StSoMarks!D82</f>
        <v/>
      </c>
      <c r="E77" s="221" t="e">
        <f>StSoMarks!E82/StSoMarks!E8</f>
        <v>#VALUE!</v>
      </c>
      <c r="F77" s="221" t="e">
        <f>StSoMarks!F82/StSoMarks!F8</f>
        <v>#VALUE!</v>
      </c>
      <c r="G77" s="221" t="e">
        <f>StSoMarks!G82/StSoMarks!G8</f>
        <v>#VALUE!</v>
      </c>
      <c r="H77" s="221" t="e">
        <f>StSoMarks!H82/StSoMarks!H8</f>
        <v>#VALUE!</v>
      </c>
      <c r="I77" s="221" t="e">
        <f>StSoMarks!I82/StSoMarks!I8</f>
        <v>#VALUE!</v>
      </c>
      <c r="J77" s="221" t="e">
        <f>StSoMarks!J82/StSoMarks!J8</f>
        <v>#VALUE!</v>
      </c>
      <c r="K77" s="221" t="e">
        <f>StSoMarks!K82/StSoMarks!K8</f>
        <v>#VALUE!</v>
      </c>
      <c r="L77" s="221" t="e">
        <f>StSoMarks!L82/StSoMarks!L8</f>
        <v>#VALUE!</v>
      </c>
      <c r="M77" s="221" t="e">
        <f>StSoMarks!M82/StSoMarks!M8</f>
        <v>#VALUE!</v>
      </c>
      <c r="N77" s="221" t="e">
        <f>StSoMarks!N82/StSoMarks!N8</f>
        <v>#VALUE!</v>
      </c>
      <c r="O77" s="221" t="e">
        <f>StSoMarks!O82/StSoMarks!O8</f>
        <v>#VALUE!</v>
      </c>
      <c r="P77" s="221" t="e">
        <f>StSoMarks!P82/StSoMarks!P8</f>
        <v>#VALUE!</v>
      </c>
      <c r="Q77" s="221" t="e">
        <f>StSoMarks!Q82/StSoMarks!Q8</f>
        <v>#VALUE!</v>
      </c>
    </row>
    <row r="78" spans="1:17" x14ac:dyDescent="0.25">
      <c r="A78">
        <f>StSoMarks!A83</f>
        <v>72</v>
      </c>
      <c r="B78" t="str">
        <f>StSoMarks!B83</f>
        <v>Pharmaceutical sciences</v>
      </c>
      <c r="C78" t="str">
        <f>StSoMarks!C83</f>
        <v/>
      </c>
      <c r="D78" t="str">
        <f>StSoMarks!D83</f>
        <v/>
      </c>
      <c r="E78" s="221" t="e">
        <f>StSoMarks!E83/StSoMarks!E8</f>
        <v>#VALUE!</v>
      </c>
      <c r="F78" s="221" t="e">
        <f>StSoMarks!F83/StSoMarks!F8</f>
        <v>#VALUE!</v>
      </c>
      <c r="G78" s="221" t="e">
        <f>StSoMarks!G83/StSoMarks!G8</f>
        <v>#VALUE!</v>
      </c>
      <c r="H78" s="221" t="e">
        <f>StSoMarks!H83/StSoMarks!H8</f>
        <v>#VALUE!</v>
      </c>
      <c r="I78" s="221" t="e">
        <f>StSoMarks!I83/StSoMarks!I8</f>
        <v>#VALUE!</v>
      </c>
      <c r="J78" s="221" t="e">
        <f>StSoMarks!J83/StSoMarks!J8</f>
        <v>#VALUE!</v>
      </c>
      <c r="K78" s="221" t="e">
        <f>StSoMarks!K83/StSoMarks!K8</f>
        <v>#VALUE!</v>
      </c>
      <c r="L78" s="221" t="e">
        <f>StSoMarks!L83/StSoMarks!L8</f>
        <v>#VALUE!</v>
      </c>
      <c r="M78" s="221" t="e">
        <f>StSoMarks!M83/StSoMarks!M8</f>
        <v>#VALUE!</v>
      </c>
      <c r="N78" s="221" t="e">
        <f>StSoMarks!N83/StSoMarks!N8</f>
        <v>#VALUE!</v>
      </c>
      <c r="O78" s="221" t="e">
        <f>StSoMarks!O83/StSoMarks!O8</f>
        <v>#VALUE!</v>
      </c>
      <c r="P78" s="221" t="e">
        <f>StSoMarks!P83/StSoMarks!P8</f>
        <v>#VALUE!</v>
      </c>
      <c r="Q78" s="221" t="e">
        <f>StSoMarks!Q83/StSoMarks!Q8</f>
        <v>#VALUE!</v>
      </c>
    </row>
    <row r="79" spans="1:17" x14ac:dyDescent="0.25">
      <c r="A79">
        <f>StSoMarks!A84</f>
        <v>73</v>
      </c>
      <c r="B79" t="str">
        <f>StSoMarks!B84</f>
        <v>Pharmaceutical sciences</v>
      </c>
      <c r="C79" t="str">
        <f>StSoMarks!C84</f>
        <v/>
      </c>
      <c r="D79" t="str">
        <f>StSoMarks!D84</f>
        <v/>
      </c>
      <c r="E79" s="221" t="e">
        <f>StSoMarks!E84/StSoMarks!E8</f>
        <v>#VALUE!</v>
      </c>
      <c r="F79" s="221" t="e">
        <f>StSoMarks!F84/StSoMarks!F8</f>
        <v>#VALUE!</v>
      </c>
      <c r="G79" s="221" t="e">
        <f>StSoMarks!G84/StSoMarks!G8</f>
        <v>#VALUE!</v>
      </c>
      <c r="H79" s="221" t="e">
        <f>StSoMarks!H84/StSoMarks!H8</f>
        <v>#VALUE!</v>
      </c>
      <c r="I79" s="221" t="e">
        <f>StSoMarks!I84/StSoMarks!I8</f>
        <v>#VALUE!</v>
      </c>
      <c r="J79" s="221" t="e">
        <f>StSoMarks!J84/StSoMarks!J8</f>
        <v>#VALUE!</v>
      </c>
      <c r="K79" s="221" t="e">
        <f>StSoMarks!K84/StSoMarks!K8</f>
        <v>#VALUE!</v>
      </c>
      <c r="L79" s="221" t="e">
        <f>StSoMarks!L84/StSoMarks!L8</f>
        <v>#VALUE!</v>
      </c>
      <c r="M79" s="221" t="e">
        <f>StSoMarks!M84/StSoMarks!M8</f>
        <v>#VALUE!</v>
      </c>
      <c r="N79" s="221" t="e">
        <f>StSoMarks!N84/StSoMarks!N8</f>
        <v>#VALUE!</v>
      </c>
      <c r="O79" s="221" t="e">
        <f>StSoMarks!O84/StSoMarks!O8</f>
        <v>#VALUE!</v>
      </c>
      <c r="P79" s="221" t="e">
        <f>StSoMarks!P84/StSoMarks!P8</f>
        <v>#VALUE!</v>
      </c>
      <c r="Q79" s="221" t="e">
        <f>StSoMarks!Q84/StSoMarks!Q8</f>
        <v>#VALUE!</v>
      </c>
    </row>
    <row r="80" spans="1:17" x14ac:dyDescent="0.25">
      <c r="A80">
        <f>StSoMarks!A85</f>
        <v>74</v>
      </c>
      <c r="B80" t="str">
        <f>StSoMarks!B85</f>
        <v>Pharmaceutical sciences</v>
      </c>
      <c r="C80" t="str">
        <f>StSoMarks!C85</f>
        <v/>
      </c>
      <c r="D80" t="str">
        <f>StSoMarks!D85</f>
        <v/>
      </c>
      <c r="E80" s="221" t="e">
        <f>StSoMarks!E85/StSoMarks!E8</f>
        <v>#VALUE!</v>
      </c>
      <c r="F80" s="221" t="e">
        <f>StSoMarks!F85/StSoMarks!F8</f>
        <v>#VALUE!</v>
      </c>
      <c r="G80" s="221" t="e">
        <f>StSoMarks!G85/StSoMarks!G8</f>
        <v>#VALUE!</v>
      </c>
      <c r="H80" s="221" t="e">
        <f>StSoMarks!H85/StSoMarks!H8</f>
        <v>#VALUE!</v>
      </c>
      <c r="I80" s="221" t="e">
        <f>StSoMarks!I85/StSoMarks!I8</f>
        <v>#VALUE!</v>
      </c>
      <c r="J80" s="221" t="e">
        <f>StSoMarks!J85/StSoMarks!J8</f>
        <v>#VALUE!</v>
      </c>
      <c r="K80" s="221" t="e">
        <f>StSoMarks!K85/StSoMarks!K8</f>
        <v>#VALUE!</v>
      </c>
      <c r="L80" s="221" t="e">
        <f>StSoMarks!L85/StSoMarks!L8</f>
        <v>#VALUE!</v>
      </c>
      <c r="M80" s="221" t="e">
        <f>StSoMarks!M85/StSoMarks!M8</f>
        <v>#VALUE!</v>
      </c>
      <c r="N80" s="221" t="e">
        <f>StSoMarks!N85/StSoMarks!N8</f>
        <v>#VALUE!</v>
      </c>
      <c r="O80" s="221" t="e">
        <f>StSoMarks!O85/StSoMarks!O8</f>
        <v>#VALUE!</v>
      </c>
      <c r="P80" s="221" t="e">
        <f>StSoMarks!P85/StSoMarks!P8</f>
        <v>#VALUE!</v>
      </c>
      <c r="Q80" s="221" t="e">
        <f>StSoMarks!Q85/StSoMarks!Q8</f>
        <v>#VALUE!</v>
      </c>
    </row>
    <row r="81" spans="1:17" x14ac:dyDescent="0.25">
      <c r="A81">
        <f>StSoMarks!A86</f>
        <v>75</v>
      </c>
      <c r="B81" t="str">
        <f>StSoMarks!B86</f>
        <v>Pharmaceutical sciences</v>
      </c>
      <c r="C81" t="str">
        <f>StSoMarks!C86</f>
        <v/>
      </c>
      <c r="D81" t="str">
        <f>StSoMarks!D86</f>
        <v/>
      </c>
      <c r="E81" s="221" t="e">
        <f>StSoMarks!E86/StSoMarks!E8</f>
        <v>#VALUE!</v>
      </c>
      <c r="F81" s="221" t="e">
        <f>StSoMarks!F86/StSoMarks!F8</f>
        <v>#VALUE!</v>
      </c>
      <c r="G81" s="221" t="e">
        <f>StSoMarks!G86/StSoMarks!G8</f>
        <v>#VALUE!</v>
      </c>
      <c r="H81" s="221" t="e">
        <f>StSoMarks!H86/StSoMarks!H8</f>
        <v>#VALUE!</v>
      </c>
      <c r="I81" s="221" t="e">
        <f>StSoMarks!I86/StSoMarks!I8</f>
        <v>#VALUE!</v>
      </c>
      <c r="J81" s="221" t="e">
        <f>StSoMarks!J86/StSoMarks!J8</f>
        <v>#VALUE!</v>
      </c>
      <c r="K81" s="221" t="e">
        <f>StSoMarks!K86/StSoMarks!K8</f>
        <v>#VALUE!</v>
      </c>
      <c r="L81" s="221" t="e">
        <f>StSoMarks!L86/StSoMarks!L8</f>
        <v>#VALUE!</v>
      </c>
      <c r="M81" s="221" t="e">
        <f>StSoMarks!M86/StSoMarks!M8</f>
        <v>#VALUE!</v>
      </c>
      <c r="N81" s="221" t="e">
        <f>StSoMarks!N86/StSoMarks!N8</f>
        <v>#VALUE!</v>
      </c>
      <c r="O81" s="221" t="e">
        <f>StSoMarks!O86/StSoMarks!O8</f>
        <v>#VALUE!</v>
      </c>
      <c r="P81" s="221" t="e">
        <f>StSoMarks!P86/StSoMarks!P8</f>
        <v>#VALUE!</v>
      </c>
      <c r="Q81" s="221" t="e">
        <f>StSoMarks!Q86/StSoMarks!Q8</f>
        <v>#VALUE!</v>
      </c>
    </row>
    <row r="82" spans="1:17" x14ac:dyDescent="0.25">
      <c r="A82">
        <f>StSoMarks!A87</f>
        <v>76</v>
      </c>
      <c r="B82" t="str">
        <f>StSoMarks!B87</f>
        <v>Pharmaceutical sciences</v>
      </c>
      <c r="C82" t="str">
        <f>StSoMarks!C87</f>
        <v/>
      </c>
      <c r="D82" t="str">
        <f>StSoMarks!D87</f>
        <v/>
      </c>
      <c r="E82" s="221" t="e">
        <f>StSoMarks!E87/StSoMarks!E8</f>
        <v>#VALUE!</v>
      </c>
      <c r="F82" s="221" t="e">
        <f>StSoMarks!F87/StSoMarks!F8</f>
        <v>#VALUE!</v>
      </c>
      <c r="G82" s="221" t="e">
        <f>StSoMarks!G87/StSoMarks!G8</f>
        <v>#VALUE!</v>
      </c>
      <c r="H82" s="221" t="e">
        <f>StSoMarks!H87/StSoMarks!H8</f>
        <v>#VALUE!</v>
      </c>
      <c r="I82" s="221" t="e">
        <f>StSoMarks!I87/StSoMarks!I8</f>
        <v>#VALUE!</v>
      </c>
      <c r="J82" s="221" t="e">
        <f>StSoMarks!J87/StSoMarks!J8</f>
        <v>#VALUE!</v>
      </c>
      <c r="K82" s="221" t="e">
        <f>StSoMarks!K87/StSoMarks!K8</f>
        <v>#VALUE!</v>
      </c>
      <c r="L82" s="221" t="e">
        <f>StSoMarks!L87/StSoMarks!L8</f>
        <v>#VALUE!</v>
      </c>
      <c r="M82" s="221" t="e">
        <f>StSoMarks!M87/StSoMarks!M8</f>
        <v>#VALUE!</v>
      </c>
      <c r="N82" s="221" t="e">
        <f>StSoMarks!N87/StSoMarks!N8</f>
        <v>#VALUE!</v>
      </c>
      <c r="O82" s="221" t="e">
        <f>StSoMarks!O87/StSoMarks!O8</f>
        <v>#VALUE!</v>
      </c>
      <c r="P82" s="221" t="e">
        <f>StSoMarks!P87/StSoMarks!P8</f>
        <v>#VALUE!</v>
      </c>
      <c r="Q82" s="221" t="e">
        <f>StSoMarks!Q87/StSoMarks!Q8</f>
        <v>#VALUE!</v>
      </c>
    </row>
    <row r="83" spans="1:17" x14ac:dyDescent="0.25">
      <c r="A83">
        <f>StSoMarks!A88</f>
        <v>77</v>
      </c>
      <c r="B83" t="str">
        <f>StSoMarks!B88</f>
        <v>Pharmaceutical sciences</v>
      </c>
      <c r="C83" t="str">
        <f>StSoMarks!C88</f>
        <v/>
      </c>
      <c r="D83" t="str">
        <f>StSoMarks!D88</f>
        <v/>
      </c>
      <c r="E83" s="221" t="e">
        <f>StSoMarks!E88/StSoMarks!E8</f>
        <v>#VALUE!</v>
      </c>
      <c r="F83" s="221" t="e">
        <f>StSoMarks!F88/StSoMarks!F8</f>
        <v>#VALUE!</v>
      </c>
      <c r="G83" s="221" t="e">
        <f>StSoMarks!G88/StSoMarks!G8</f>
        <v>#VALUE!</v>
      </c>
      <c r="H83" s="221" t="e">
        <f>StSoMarks!H88/StSoMarks!H8</f>
        <v>#VALUE!</v>
      </c>
      <c r="I83" s="221" t="e">
        <f>StSoMarks!I88/StSoMarks!I8</f>
        <v>#VALUE!</v>
      </c>
      <c r="J83" s="221" t="e">
        <f>StSoMarks!J88/StSoMarks!J8</f>
        <v>#VALUE!</v>
      </c>
      <c r="K83" s="221" t="e">
        <f>StSoMarks!K88/StSoMarks!K8</f>
        <v>#VALUE!</v>
      </c>
      <c r="L83" s="221" t="e">
        <f>StSoMarks!L88/StSoMarks!L8</f>
        <v>#VALUE!</v>
      </c>
      <c r="M83" s="221" t="e">
        <f>StSoMarks!M88/StSoMarks!M8</f>
        <v>#VALUE!</v>
      </c>
      <c r="N83" s="221" t="e">
        <f>StSoMarks!N88/StSoMarks!N8</f>
        <v>#VALUE!</v>
      </c>
      <c r="O83" s="221" t="e">
        <f>StSoMarks!O88/StSoMarks!O8</f>
        <v>#VALUE!</v>
      </c>
      <c r="P83" s="221" t="e">
        <f>StSoMarks!P88/StSoMarks!P8</f>
        <v>#VALUE!</v>
      </c>
      <c r="Q83" s="221" t="e">
        <f>StSoMarks!Q88/StSoMarks!Q8</f>
        <v>#VALUE!</v>
      </c>
    </row>
    <row r="84" spans="1:17" x14ac:dyDescent="0.25">
      <c r="A84">
        <f>StSoMarks!A89</f>
        <v>78</v>
      </c>
      <c r="B84" t="str">
        <f>StSoMarks!B89</f>
        <v>Pharmaceutical sciences</v>
      </c>
      <c r="C84" t="str">
        <f>StSoMarks!C89</f>
        <v/>
      </c>
      <c r="D84" t="str">
        <f>StSoMarks!D89</f>
        <v/>
      </c>
      <c r="E84" s="221" t="e">
        <f>StSoMarks!E89/StSoMarks!E8</f>
        <v>#VALUE!</v>
      </c>
      <c r="F84" s="221" t="e">
        <f>StSoMarks!F89/StSoMarks!F8</f>
        <v>#VALUE!</v>
      </c>
      <c r="G84" s="221" t="e">
        <f>StSoMarks!G89/StSoMarks!G8</f>
        <v>#VALUE!</v>
      </c>
      <c r="H84" s="221" t="e">
        <f>StSoMarks!H89/StSoMarks!H8</f>
        <v>#VALUE!</v>
      </c>
      <c r="I84" s="221" t="e">
        <f>StSoMarks!I89/StSoMarks!I8</f>
        <v>#VALUE!</v>
      </c>
      <c r="J84" s="221" t="e">
        <f>StSoMarks!J89/StSoMarks!J8</f>
        <v>#VALUE!</v>
      </c>
      <c r="K84" s="221" t="e">
        <f>StSoMarks!K89/StSoMarks!K8</f>
        <v>#VALUE!</v>
      </c>
      <c r="L84" s="221" t="e">
        <f>StSoMarks!L89/StSoMarks!L8</f>
        <v>#VALUE!</v>
      </c>
      <c r="M84" s="221" t="e">
        <f>StSoMarks!M89/StSoMarks!M8</f>
        <v>#VALUE!</v>
      </c>
      <c r="N84" s="221" t="e">
        <f>StSoMarks!N89/StSoMarks!N8</f>
        <v>#VALUE!</v>
      </c>
      <c r="O84" s="221" t="e">
        <f>StSoMarks!O89/StSoMarks!O8</f>
        <v>#VALUE!</v>
      </c>
      <c r="P84" s="221" t="e">
        <f>StSoMarks!P89/StSoMarks!P8</f>
        <v>#VALUE!</v>
      </c>
      <c r="Q84" s="221" t="e">
        <f>StSoMarks!Q89/StSoMarks!Q8</f>
        <v>#VALUE!</v>
      </c>
    </row>
    <row r="85" spans="1:17" x14ac:dyDescent="0.25">
      <c r="A85">
        <f>StSoMarks!A90</f>
        <v>79</v>
      </c>
      <c r="B85" t="str">
        <f>StSoMarks!B90</f>
        <v>Pharmaceutical sciences</v>
      </c>
      <c r="C85" t="str">
        <f>StSoMarks!C90</f>
        <v/>
      </c>
      <c r="D85" t="str">
        <f>StSoMarks!D90</f>
        <v/>
      </c>
      <c r="E85" s="221" t="e">
        <f>StSoMarks!E90/StSoMarks!E8</f>
        <v>#VALUE!</v>
      </c>
      <c r="F85" s="221" t="e">
        <f>StSoMarks!F90/StSoMarks!F8</f>
        <v>#VALUE!</v>
      </c>
      <c r="G85" s="221" t="e">
        <f>StSoMarks!G90/StSoMarks!G8</f>
        <v>#VALUE!</v>
      </c>
      <c r="H85" s="221" t="e">
        <f>StSoMarks!H90/StSoMarks!H8</f>
        <v>#VALUE!</v>
      </c>
      <c r="I85" s="221" t="e">
        <f>StSoMarks!I90/StSoMarks!I8</f>
        <v>#VALUE!</v>
      </c>
      <c r="J85" s="221" t="e">
        <f>StSoMarks!J90/StSoMarks!J8</f>
        <v>#VALUE!</v>
      </c>
      <c r="K85" s="221" t="e">
        <f>StSoMarks!K90/StSoMarks!K8</f>
        <v>#VALUE!</v>
      </c>
      <c r="L85" s="221" t="e">
        <f>StSoMarks!L90/StSoMarks!L8</f>
        <v>#VALUE!</v>
      </c>
      <c r="M85" s="221" t="e">
        <f>StSoMarks!M90/StSoMarks!M8</f>
        <v>#VALUE!</v>
      </c>
      <c r="N85" s="221" t="e">
        <f>StSoMarks!N90/StSoMarks!N8</f>
        <v>#VALUE!</v>
      </c>
      <c r="O85" s="221" t="e">
        <f>StSoMarks!O90/StSoMarks!O8</f>
        <v>#VALUE!</v>
      </c>
      <c r="P85" s="221" t="e">
        <f>StSoMarks!P90/StSoMarks!P8</f>
        <v>#VALUE!</v>
      </c>
      <c r="Q85" s="221" t="e">
        <f>StSoMarks!Q90/StSoMarks!Q8</f>
        <v>#VALUE!</v>
      </c>
    </row>
    <row r="86" spans="1:17" x14ac:dyDescent="0.25">
      <c r="A86">
        <f>StSoMarks!A91</f>
        <v>80</v>
      </c>
      <c r="B86" t="str">
        <f>StSoMarks!B91</f>
        <v>Pharmaceutical sciences</v>
      </c>
      <c r="C86" t="str">
        <f>StSoMarks!C91</f>
        <v/>
      </c>
      <c r="D86" t="str">
        <f>StSoMarks!D91</f>
        <v/>
      </c>
      <c r="E86" s="221" t="e">
        <f>StSoMarks!E91/StSoMarks!E8</f>
        <v>#VALUE!</v>
      </c>
      <c r="F86" s="221" t="e">
        <f>StSoMarks!F91/StSoMarks!F8</f>
        <v>#VALUE!</v>
      </c>
      <c r="G86" s="221" t="e">
        <f>StSoMarks!G91/StSoMarks!G8</f>
        <v>#VALUE!</v>
      </c>
      <c r="H86" s="221" t="e">
        <f>StSoMarks!H91/StSoMarks!H8</f>
        <v>#VALUE!</v>
      </c>
      <c r="I86" s="221" t="e">
        <f>StSoMarks!I91/StSoMarks!I8</f>
        <v>#VALUE!</v>
      </c>
      <c r="J86" s="221" t="e">
        <f>StSoMarks!J91/StSoMarks!J8</f>
        <v>#VALUE!</v>
      </c>
      <c r="K86" s="221" t="e">
        <f>StSoMarks!K91/StSoMarks!K8</f>
        <v>#VALUE!</v>
      </c>
      <c r="L86" s="221" t="e">
        <f>StSoMarks!L91/StSoMarks!L8</f>
        <v>#VALUE!</v>
      </c>
      <c r="M86" s="221" t="e">
        <f>StSoMarks!M91/StSoMarks!M8</f>
        <v>#VALUE!</v>
      </c>
      <c r="N86" s="221" t="e">
        <f>StSoMarks!N91/StSoMarks!N8</f>
        <v>#VALUE!</v>
      </c>
      <c r="O86" s="221" t="e">
        <f>StSoMarks!O91/StSoMarks!O8</f>
        <v>#VALUE!</v>
      </c>
      <c r="P86" s="221" t="e">
        <f>StSoMarks!P91/StSoMarks!P8</f>
        <v>#VALUE!</v>
      </c>
      <c r="Q86" s="221" t="e">
        <f>StSoMarks!Q91/StSoMarks!Q8</f>
        <v>#VALUE!</v>
      </c>
    </row>
    <row r="87" spans="1:17" x14ac:dyDescent="0.25">
      <c r="A87">
        <f>StSoMarks!A92</f>
        <v>81</v>
      </c>
      <c r="B87" t="str">
        <f>StSoMarks!B92</f>
        <v>Pharmaceutical sciences</v>
      </c>
      <c r="C87" t="str">
        <f>StSoMarks!C92</f>
        <v/>
      </c>
      <c r="D87" t="str">
        <f>StSoMarks!D92</f>
        <v/>
      </c>
      <c r="E87" s="221" t="e">
        <f>StSoMarks!E92/StSoMarks!E8</f>
        <v>#VALUE!</v>
      </c>
      <c r="F87" s="221" t="e">
        <f>StSoMarks!F92/StSoMarks!F8</f>
        <v>#VALUE!</v>
      </c>
      <c r="G87" s="221" t="e">
        <f>StSoMarks!G92/StSoMarks!G8</f>
        <v>#VALUE!</v>
      </c>
      <c r="H87" s="221" t="e">
        <f>StSoMarks!H92/StSoMarks!H8</f>
        <v>#VALUE!</v>
      </c>
      <c r="I87" s="221" t="e">
        <f>StSoMarks!I92/StSoMarks!I8</f>
        <v>#VALUE!</v>
      </c>
      <c r="J87" s="221" t="e">
        <f>StSoMarks!J92/StSoMarks!J8</f>
        <v>#VALUE!</v>
      </c>
      <c r="K87" s="221" t="e">
        <f>StSoMarks!K92/StSoMarks!K8</f>
        <v>#VALUE!</v>
      </c>
      <c r="L87" s="221" t="e">
        <f>StSoMarks!L92/StSoMarks!L8</f>
        <v>#VALUE!</v>
      </c>
      <c r="M87" s="221" t="e">
        <f>StSoMarks!M92/StSoMarks!M8</f>
        <v>#VALUE!</v>
      </c>
      <c r="N87" s="221" t="e">
        <f>StSoMarks!N92/StSoMarks!N8</f>
        <v>#VALUE!</v>
      </c>
      <c r="O87" s="221" t="e">
        <f>StSoMarks!O92/StSoMarks!O8</f>
        <v>#VALUE!</v>
      </c>
      <c r="P87" s="221" t="e">
        <f>StSoMarks!P92/StSoMarks!P8</f>
        <v>#VALUE!</v>
      </c>
      <c r="Q87" s="221" t="e">
        <f>StSoMarks!Q92/StSoMarks!Q8</f>
        <v>#VALUE!</v>
      </c>
    </row>
    <row r="88" spans="1:17" x14ac:dyDescent="0.25">
      <c r="A88">
        <f>StSoMarks!A93</f>
        <v>82</v>
      </c>
      <c r="B88" t="str">
        <f>StSoMarks!B93</f>
        <v>Pharmaceutical sciences</v>
      </c>
      <c r="C88" t="str">
        <f>StSoMarks!C93</f>
        <v/>
      </c>
      <c r="D88" t="str">
        <f>StSoMarks!D93</f>
        <v/>
      </c>
      <c r="E88" s="221" t="e">
        <f>StSoMarks!E93/StSoMarks!E8</f>
        <v>#VALUE!</v>
      </c>
      <c r="F88" s="221" t="e">
        <f>StSoMarks!F93/StSoMarks!F8</f>
        <v>#VALUE!</v>
      </c>
      <c r="G88" s="221" t="e">
        <f>StSoMarks!G93/StSoMarks!G8</f>
        <v>#VALUE!</v>
      </c>
      <c r="H88" s="221" t="e">
        <f>StSoMarks!H93/StSoMarks!H8</f>
        <v>#VALUE!</v>
      </c>
      <c r="I88" s="221" t="e">
        <f>StSoMarks!I93/StSoMarks!I8</f>
        <v>#VALUE!</v>
      </c>
      <c r="J88" s="221" t="e">
        <f>StSoMarks!J93/StSoMarks!J8</f>
        <v>#VALUE!</v>
      </c>
      <c r="K88" s="221" t="e">
        <f>StSoMarks!K93/StSoMarks!K8</f>
        <v>#VALUE!</v>
      </c>
      <c r="L88" s="221" t="e">
        <f>StSoMarks!L93/StSoMarks!L8</f>
        <v>#VALUE!</v>
      </c>
      <c r="M88" s="221" t="e">
        <f>StSoMarks!M93/StSoMarks!M8</f>
        <v>#VALUE!</v>
      </c>
      <c r="N88" s="221" t="e">
        <f>StSoMarks!N93/StSoMarks!N8</f>
        <v>#VALUE!</v>
      </c>
      <c r="O88" s="221" t="e">
        <f>StSoMarks!O93/StSoMarks!O8</f>
        <v>#VALUE!</v>
      </c>
      <c r="P88" s="221" t="e">
        <f>StSoMarks!P93/StSoMarks!P8</f>
        <v>#VALUE!</v>
      </c>
      <c r="Q88" s="221" t="e">
        <f>StSoMarks!Q93/StSoMarks!Q8</f>
        <v>#VALUE!</v>
      </c>
    </row>
    <row r="89" spans="1:17" x14ac:dyDescent="0.25">
      <c r="A89">
        <f>StSoMarks!A94</f>
        <v>83</v>
      </c>
      <c r="B89" t="str">
        <f>StSoMarks!B94</f>
        <v>Pharmaceutical sciences</v>
      </c>
      <c r="C89" t="str">
        <f>StSoMarks!C94</f>
        <v/>
      </c>
      <c r="D89" t="str">
        <f>StSoMarks!D94</f>
        <v/>
      </c>
      <c r="E89" s="221" t="e">
        <f>StSoMarks!E94/StSoMarks!E8</f>
        <v>#VALUE!</v>
      </c>
      <c r="F89" s="221" t="e">
        <f>StSoMarks!F94/StSoMarks!F8</f>
        <v>#VALUE!</v>
      </c>
      <c r="G89" s="221" t="e">
        <f>StSoMarks!G94/StSoMarks!G8</f>
        <v>#VALUE!</v>
      </c>
      <c r="H89" s="221" t="e">
        <f>StSoMarks!H94/StSoMarks!H8</f>
        <v>#VALUE!</v>
      </c>
      <c r="I89" s="221" t="e">
        <f>StSoMarks!I94/StSoMarks!I8</f>
        <v>#VALUE!</v>
      </c>
      <c r="J89" s="221" t="e">
        <f>StSoMarks!J94/StSoMarks!J8</f>
        <v>#VALUE!</v>
      </c>
      <c r="K89" s="221" t="e">
        <f>StSoMarks!K94/StSoMarks!K8</f>
        <v>#VALUE!</v>
      </c>
      <c r="L89" s="221" t="e">
        <f>StSoMarks!L94/StSoMarks!L8</f>
        <v>#VALUE!</v>
      </c>
      <c r="M89" s="221" t="e">
        <f>StSoMarks!M94/StSoMarks!M8</f>
        <v>#VALUE!</v>
      </c>
      <c r="N89" s="221" t="e">
        <f>StSoMarks!N94/StSoMarks!N8</f>
        <v>#VALUE!</v>
      </c>
      <c r="O89" s="221" t="e">
        <f>StSoMarks!O94/StSoMarks!O8</f>
        <v>#VALUE!</v>
      </c>
      <c r="P89" s="221" t="e">
        <f>StSoMarks!P94/StSoMarks!P8</f>
        <v>#VALUE!</v>
      </c>
      <c r="Q89" s="221" t="e">
        <f>StSoMarks!Q94/StSoMarks!Q8</f>
        <v>#VALUE!</v>
      </c>
    </row>
    <row r="90" spans="1:17" x14ac:dyDescent="0.25">
      <c r="A90">
        <f>StSoMarks!A95</f>
        <v>84</v>
      </c>
      <c r="B90" t="str">
        <f>StSoMarks!B95</f>
        <v>Pharmaceutical sciences</v>
      </c>
      <c r="C90" t="str">
        <f>StSoMarks!C95</f>
        <v/>
      </c>
      <c r="D90" t="str">
        <f>StSoMarks!D95</f>
        <v/>
      </c>
      <c r="E90" s="221" t="e">
        <f>StSoMarks!E95/StSoMarks!E8</f>
        <v>#VALUE!</v>
      </c>
      <c r="F90" s="221" t="e">
        <f>StSoMarks!F95/StSoMarks!F8</f>
        <v>#VALUE!</v>
      </c>
      <c r="G90" s="221" t="e">
        <f>StSoMarks!G95/StSoMarks!G8</f>
        <v>#VALUE!</v>
      </c>
      <c r="H90" s="221" t="e">
        <f>StSoMarks!H95/StSoMarks!H8</f>
        <v>#VALUE!</v>
      </c>
      <c r="I90" s="221" t="e">
        <f>StSoMarks!I95/StSoMarks!I8</f>
        <v>#VALUE!</v>
      </c>
      <c r="J90" s="221" t="e">
        <f>StSoMarks!J95/StSoMarks!J8</f>
        <v>#VALUE!</v>
      </c>
      <c r="K90" s="221" t="e">
        <f>StSoMarks!K95/StSoMarks!K8</f>
        <v>#VALUE!</v>
      </c>
      <c r="L90" s="221" t="e">
        <f>StSoMarks!L95/StSoMarks!L8</f>
        <v>#VALUE!</v>
      </c>
      <c r="M90" s="221" t="e">
        <f>StSoMarks!M95/StSoMarks!M8</f>
        <v>#VALUE!</v>
      </c>
      <c r="N90" s="221" t="e">
        <f>StSoMarks!N95/StSoMarks!N8</f>
        <v>#VALUE!</v>
      </c>
      <c r="O90" s="221" t="e">
        <f>StSoMarks!O95/StSoMarks!O8</f>
        <v>#VALUE!</v>
      </c>
      <c r="P90" s="221" t="e">
        <f>StSoMarks!P95/StSoMarks!P8</f>
        <v>#VALUE!</v>
      </c>
      <c r="Q90" s="221" t="e">
        <f>StSoMarks!Q95/StSoMarks!Q8</f>
        <v>#VALUE!</v>
      </c>
    </row>
    <row r="91" spans="1:17" x14ac:dyDescent="0.25">
      <c r="A91">
        <f>StSoMarks!A96</f>
        <v>85</v>
      </c>
      <c r="B91" t="str">
        <f>StSoMarks!B96</f>
        <v>Pharmaceutical sciences</v>
      </c>
      <c r="C91" t="str">
        <f>StSoMarks!C96</f>
        <v/>
      </c>
      <c r="D91" t="str">
        <f>StSoMarks!D96</f>
        <v/>
      </c>
      <c r="E91" s="221" t="e">
        <f>StSoMarks!E96/StSoMarks!E8</f>
        <v>#VALUE!</v>
      </c>
      <c r="F91" s="221" t="e">
        <f>StSoMarks!F96/StSoMarks!F8</f>
        <v>#VALUE!</v>
      </c>
      <c r="G91" s="221" t="e">
        <f>StSoMarks!G96/StSoMarks!G8</f>
        <v>#VALUE!</v>
      </c>
      <c r="H91" s="221" t="e">
        <f>StSoMarks!H96/StSoMarks!H8</f>
        <v>#VALUE!</v>
      </c>
      <c r="I91" s="221" t="e">
        <f>StSoMarks!I96/StSoMarks!I8</f>
        <v>#VALUE!</v>
      </c>
      <c r="J91" s="221" t="e">
        <f>StSoMarks!J96/StSoMarks!J8</f>
        <v>#VALUE!</v>
      </c>
      <c r="K91" s="221" t="e">
        <f>StSoMarks!K96/StSoMarks!K8</f>
        <v>#VALUE!</v>
      </c>
      <c r="L91" s="221" t="e">
        <f>StSoMarks!L96/StSoMarks!L8</f>
        <v>#VALUE!</v>
      </c>
      <c r="M91" s="221" t="e">
        <f>StSoMarks!M96/StSoMarks!M8</f>
        <v>#VALUE!</v>
      </c>
      <c r="N91" s="221" t="e">
        <f>StSoMarks!N96/StSoMarks!N8</f>
        <v>#VALUE!</v>
      </c>
      <c r="O91" s="221" t="e">
        <f>StSoMarks!O96/StSoMarks!O8</f>
        <v>#VALUE!</v>
      </c>
      <c r="P91" s="221" t="e">
        <f>StSoMarks!P96/StSoMarks!P8</f>
        <v>#VALUE!</v>
      </c>
      <c r="Q91" s="221" t="e">
        <f>StSoMarks!Q96/StSoMarks!Q8</f>
        <v>#VALUE!</v>
      </c>
    </row>
    <row r="92" spans="1:17" x14ac:dyDescent="0.25">
      <c r="A92">
        <f>StSoMarks!A97</f>
        <v>86</v>
      </c>
      <c r="B92" t="str">
        <f>StSoMarks!B97</f>
        <v>Pharmaceutical sciences</v>
      </c>
      <c r="C92" t="str">
        <f>StSoMarks!C97</f>
        <v/>
      </c>
      <c r="D92" t="str">
        <f>StSoMarks!D97</f>
        <v/>
      </c>
      <c r="E92" s="221" t="e">
        <f>StSoMarks!E97/StSoMarks!E8</f>
        <v>#VALUE!</v>
      </c>
      <c r="F92" s="221" t="e">
        <f>StSoMarks!F97/StSoMarks!F8</f>
        <v>#VALUE!</v>
      </c>
      <c r="G92" s="221" t="e">
        <f>StSoMarks!G97/StSoMarks!G8</f>
        <v>#VALUE!</v>
      </c>
      <c r="H92" s="221" t="e">
        <f>StSoMarks!H97/StSoMarks!H8</f>
        <v>#VALUE!</v>
      </c>
      <c r="I92" s="221" t="e">
        <f>StSoMarks!I97/StSoMarks!I8</f>
        <v>#VALUE!</v>
      </c>
      <c r="J92" s="221" t="e">
        <f>StSoMarks!J97/StSoMarks!J8</f>
        <v>#VALUE!</v>
      </c>
      <c r="K92" s="221" t="e">
        <f>StSoMarks!K97/StSoMarks!K8</f>
        <v>#VALUE!</v>
      </c>
      <c r="L92" s="221" t="e">
        <f>StSoMarks!L97/StSoMarks!L8</f>
        <v>#VALUE!</v>
      </c>
      <c r="M92" s="221" t="e">
        <f>StSoMarks!M97/StSoMarks!M8</f>
        <v>#VALUE!</v>
      </c>
      <c r="N92" s="221" t="e">
        <f>StSoMarks!N97/StSoMarks!N8</f>
        <v>#VALUE!</v>
      </c>
      <c r="O92" s="221" t="e">
        <f>StSoMarks!O97/StSoMarks!O8</f>
        <v>#VALUE!</v>
      </c>
      <c r="P92" s="221" t="e">
        <f>StSoMarks!P97/StSoMarks!P8</f>
        <v>#VALUE!</v>
      </c>
      <c r="Q92" s="221" t="e">
        <f>StSoMarks!Q97/StSoMarks!Q8</f>
        <v>#VALUE!</v>
      </c>
    </row>
    <row r="93" spans="1:17" x14ac:dyDescent="0.25">
      <c r="A93">
        <f>StSoMarks!A98</f>
        <v>87</v>
      </c>
      <c r="B93" t="str">
        <f>StSoMarks!B98</f>
        <v>Pharmaceutical sciences</v>
      </c>
      <c r="C93" t="str">
        <f>StSoMarks!C98</f>
        <v/>
      </c>
      <c r="D93" t="str">
        <f>StSoMarks!D98</f>
        <v/>
      </c>
      <c r="E93" s="221" t="e">
        <f>StSoMarks!E98/StSoMarks!E8</f>
        <v>#VALUE!</v>
      </c>
      <c r="F93" s="221" t="e">
        <f>StSoMarks!F98/StSoMarks!F8</f>
        <v>#VALUE!</v>
      </c>
      <c r="G93" s="221" t="e">
        <f>StSoMarks!G98/StSoMarks!G8</f>
        <v>#VALUE!</v>
      </c>
      <c r="H93" s="221" t="e">
        <f>StSoMarks!H98/StSoMarks!H8</f>
        <v>#VALUE!</v>
      </c>
      <c r="I93" s="221" t="e">
        <f>StSoMarks!I98/StSoMarks!I8</f>
        <v>#VALUE!</v>
      </c>
      <c r="J93" s="221" t="e">
        <f>StSoMarks!J98/StSoMarks!J8</f>
        <v>#VALUE!</v>
      </c>
      <c r="K93" s="221" t="e">
        <f>StSoMarks!K98/StSoMarks!K8</f>
        <v>#VALUE!</v>
      </c>
      <c r="L93" s="221" t="e">
        <f>StSoMarks!L98/StSoMarks!L8</f>
        <v>#VALUE!</v>
      </c>
      <c r="M93" s="221" t="e">
        <f>StSoMarks!M98/StSoMarks!M8</f>
        <v>#VALUE!</v>
      </c>
      <c r="N93" s="221" t="e">
        <f>StSoMarks!N98/StSoMarks!N8</f>
        <v>#VALUE!</v>
      </c>
      <c r="O93" s="221" t="e">
        <f>StSoMarks!O98/StSoMarks!O8</f>
        <v>#VALUE!</v>
      </c>
      <c r="P93" s="221" t="e">
        <f>StSoMarks!P98/StSoMarks!P8</f>
        <v>#VALUE!</v>
      </c>
      <c r="Q93" s="221" t="e">
        <f>StSoMarks!Q98/StSoMarks!Q8</f>
        <v>#VALUE!</v>
      </c>
    </row>
    <row r="94" spans="1:17" x14ac:dyDescent="0.25">
      <c r="A94">
        <f>StSoMarks!A99</f>
        <v>88</v>
      </c>
      <c r="B94" t="str">
        <f>StSoMarks!B99</f>
        <v>Pharmaceutical sciences</v>
      </c>
      <c r="C94" t="str">
        <f>StSoMarks!C99</f>
        <v/>
      </c>
      <c r="D94" t="str">
        <f>StSoMarks!D99</f>
        <v/>
      </c>
      <c r="E94" s="221" t="e">
        <f>StSoMarks!E99/StSoMarks!E8</f>
        <v>#VALUE!</v>
      </c>
      <c r="F94" s="221" t="e">
        <f>StSoMarks!F99/StSoMarks!F8</f>
        <v>#VALUE!</v>
      </c>
      <c r="G94" s="221" t="e">
        <f>StSoMarks!G99/StSoMarks!G8</f>
        <v>#VALUE!</v>
      </c>
      <c r="H94" s="221" t="e">
        <f>StSoMarks!H99/StSoMarks!H8</f>
        <v>#VALUE!</v>
      </c>
      <c r="I94" s="221" t="e">
        <f>StSoMarks!I99/StSoMarks!I8</f>
        <v>#VALUE!</v>
      </c>
      <c r="J94" s="221" t="e">
        <f>StSoMarks!J99/StSoMarks!J8</f>
        <v>#VALUE!</v>
      </c>
      <c r="K94" s="221" t="e">
        <f>StSoMarks!K99/StSoMarks!K8</f>
        <v>#VALUE!</v>
      </c>
      <c r="L94" s="221" t="e">
        <f>StSoMarks!L99/StSoMarks!L8</f>
        <v>#VALUE!</v>
      </c>
      <c r="M94" s="221" t="e">
        <f>StSoMarks!M99/StSoMarks!M8</f>
        <v>#VALUE!</v>
      </c>
      <c r="N94" s="221" t="e">
        <f>StSoMarks!N99/StSoMarks!N8</f>
        <v>#VALUE!</v>
      </c>
      <c r="O94" s="221" t="e">
        <f>StSoMarks!O99/StSoMarks!O8</f>
        <v>#VALUE!</v>
      </c>
      <c r="P94" s="221" t="e">
        <f>StSoMarks!P99/StSoMarks!P8</f>
        <v>#VALUE!</v>
      </c>
      <c r="Q94" s="221" t="e">
        <f>StSoMarks!Q99/StSoMarks!Q8</f>
        <v>#VALUE!</v>
      </c>
    </row>
    <row r="95" spans="1:17" x14ac:dyDescent="0.25">
      <c r="A95">
        <f>StSoMarks!A100</f>
        <v>89</v>
      </c>
      <c r="B95" t="str">
        <f>StSoMarks!B100</f>
        <v>Pharmaceutical sciences</v>
      </c>
      <c r="C95" t="str">
        <f>StSoMarks!C100</f>
        <v/>
      </c>
      <c r="D95" t="str">
        <f>StSoMarks!D100</f>
        <v/>
      </c>
      <c r="E95" s="221" t="e">
        <f>StSoMarks!E100/StSoMarks!E8</f>
        <v>#VALUE!</v>
      </c>
      <c r="F95" s="221" t="e">
        <f>StSoMarks!F100/StSoMarks!F8</f>
        <v>#VALUE!</v>
      </c>
      <c r="G95" s="221" t="e">
        <f>StSoMarks!G100/StSoMarks!G8</f>
        <v>#VALUE!</v>
      </c>
      <c r="H95" s="221" t="e">
        <f>StSoMarks!H100/StSoMarks!H8</f>
        <v>#VALUE!</v>
      </c>
      <c r="I95" s="221" t="e">
        <f>StSoMarks!I100/StSoMarks!I8</f>
        <v>#VALUE!</v>
      </c>
      <c r="J95" s="221" t="e">
        <f>StSoMarks!J100/StSoMarks!J8</f>
        <v>#VALUE!</v>
      </c>
      <c r="K95" s="221" t="e">
        <f>StSoMarks!K100/StSoMarks!K8</f>
        <v>#VALUE!</v>
      </c>
      <c r="L95" s="221" t="e">
        <f>StSoMarks!L100/StSoMarks!L8</f>
        <v>#VALUE!</v>
      </c>
      <c r="M95" s="221" t="e">
        <f>StSoMarks!M100/StSoMarks!M8</f>
        <v>#VALUE!</v>
      </c>
      <c r="N95" s="221" t="e">
        <f>StSoMarks!N100/StSoMarks!N8</f>
        <v>#VALUE!</v>
      </c>
      <c r="O95" s="221" t="e">
        <f>StSoMarks!O100/StSoMarks!O8</f>
        <v>#VALUE!</v>
      </c>
      <c r="P95" s="221" t="e">
        <f>StSoMarks!P100/StSoMarks!P8</f>
        <v>#VALUE!</v>
      </c>
      <c r="Q95" s="221" t="e">
        <f>StSoMarks!Q100/StSoMarks!Q8</f>
        <v>#VALUE!</v>
      </c>
    </row>
    <row r="96" spans="1:17" x14ac:dyDescent="0.25">
      <c r="A96">
        <f>StSoMarks!A101</f>
        <v>90</v>
      </c>
      <c r="B96" t="str">
        <f>StSoMarks!B101</f>
        <v>Pharmaceutical sciences</v>
      </c>
      <c r="C96" t="str">
        <f>StSoMarks!C101</f>
        <v/>
      </c>
      <c r="D96" t="str">
        <f>StSoMarks!D101</f>
        <v/>
      </c>
      <c r="E96" s="221" t="e">
        <f>StSoMarks!E101/StSoMarks!E8</f>
        <v>#VALUE!</v>
      </c>
      <c r="F96" s="221" t="e">
        <f>StSoMarks!F101/StSoMarks!F8</f>
        <v>#VALUE!</v>
      </c>
      <c r="G96" s="221" t="e">
        <f>StSoMarks!G101/StSoMarks!G8</f>
        <v>#VALUE!</v>
      </c>
      <c r="H96" s="221" t="e">
        <f>StSoMarks!H101/StSoMarks!H8</f>
        <v>#VALUE!</v>
      </c>
      <c r="I96" s="221" t="e">
        <f>StSoMarks!I101/StSoMarks!I8</f>
        <v>#VALUE!</v>
      </c>
      <c r="J96" s="221" t="e">
        <f>StSoMarks!J101/StSoMarks!J8</f>
        <v>#VALUE!</v>
      </c>
      <c r="K96" s="221" t="e">
        <f>StSoMarks!K101/StSoMarks!K8</f>
        <v>#VALUE!</v>
      </c>
      <c r="L96" s="221" t="e">
        <f>StSoMarks!L101/StSoMarks!L8</f>
        <v>#VALUE!</v>
      </c>
      <c r="M96" s="221" t="e">
        <f>StSoMarks!M101/StSoMarks!M8</f>
        <v>#VALUE!</v>
      </c>
      <c r="N96" s="221" t="e">
        <f>StSoMarks!N101/StSoMarks!N8</f>
        <v>#VALUE!</v>
      </c>
      <c r="O96" s="221" t="e">
        <f>StSoMarks!O101/StSoMarks!O8</f>
        <v>#VALUE!</v>
      </c>
      <c r="P96" s="221" t="e">
        <f>StSoMarks!P101/StSoMarks!P8</f>
        <v>#VALUE!</v>
      </c>
      <c r="Q96" s="221" t="e">
        <f>StSoMarks!Q101/StSoMarks!Q8</f>
        <v>#VALUE!</v>
      </c>
    </row>
    <row r="97" spans="1:17" x14ac:dyDescent="0.25">
      <c r="A97">
        <f>StSoMarks!A102</f>
        <v>91</v>
      </c>
      <c r="B97" t="str">
        <f>StSoMarks!B102</f>
        <v>Pharmaceutical sciences</v>
      </c>
      <c r="C97" t="str">
        <f>StSoMarks!C102</f>
        <v/>
      </c>
      <c r="D97" t="str">
        <f>StSoMarks!D102</f>
        <v/>
      </c>
      <c r="E97" s="221" t="e">
        <f>StSoMarks!E102/StSoMarks!E8</f>
        <v>#VALUE!</v>
      </c>
      <c r="F97" s="221" t="e">
        <f>StSoMarks!F102/StSoMarks!F8</f>
        <v>#VALUE!</v>
      </c>
      <c r="G97" s="221" t="e">
        <f>StSoMarks!G102/StSoMarks!G8</f>
        <v>#VALUE!</v>
      </c>
      <c r="H97" s="221" t="e">
        <f>StSoMarks!H102/StSoMarks!H8</f>
        <v>#VALUE!</v>
      </c>
      <c r="I97" s="221" t="e">
        <f>StSoMarks!I102/StSoMarks!I8</f>
        <v>#VALUE!</v>
      </c>
      <c r="J97" s="221" t="e">
        <f>StSoMarks!J102/StSoMarks!J8</f>
        <v>#VALUE!</v>
      </c>
      <c r="K97" s="221" t="e">
        <f>StSoMarks!K102/StSoMarks!K8</f>
        <v>#VALUE!</v>
      </c>
      <c r="L97" s="221" t="e">
        <f>StSoMarks!L102/StSoMarks!L8</f>
        <v>#VALUE!</v>
      </c>
      <c r="M97" s="221" t="e">
        <f>StSoMarks!M102/StSoMarks!M8</f>
        <v>#VALUE!</v>
      </c>
      <c r="N97" s="221" t="e">
        <f>StSoMarks!N102/StSoMarks!N8</f>
        <v>#VALUE!</v>
      </c>
      <c r="O97" s="221" t="e">
        <f>StSoMarks!O102/StSoMarks!O8</f>
        <v>#VALUE!</v>
      </c>
      <c r="P97" s="221" t="e">
        <f>StSoMarks!P102/StSoMarks!P8</f>
        <v>#VALUE!</v>
      </c>
      <c r="Q97" s="221" t="e">
        <f>StSoMarks!Q102/StSoMarks!Q8</f>
        <v>#VALUE!</v>
      </c>
    </row>
    <row r="98" spans="1:17" x14ac:dyDescent="0.25">
      <c r="A98">
        <f>StSoMarks!A103</f>
        <v>92</v>
      </c>
      <c r="B98" t="str">
        <f>StSoMarks!B103</f>
        <v>Pharmaceutical sciences</v>
      </c>
      <c r="C98" t="str">
        <f>StSoMarks!C103</f>
        <v/>
      </c>
      <c r="D98" t="str">
        <f>StSoMarks!D103</f>
        <v/>
      </c>
      <c r="E98" s="221" t="e">
        <f>StSoMarks!E103/StSoMarks!E8</f>
        <v>#VALUE!</v>
      </c>
      <c r="F98" s="221" t="e">
        <f>StSoMarks!F103/StSoMarks!F8</f>
        <v>#VALUE!</v>
      </c>
      <c r="G98" s="221" t="e">
        <f>StSoMarks!G103/StSoMarks!G8</f>
        <v>#VALUE!</v>
      </c>
      <c r="H98" s="221" t="e">
        <f>StSoMarks!H103/StSoMarks!H8</f>
        <v>#VALUE!</v>
      </c>
      <c r="I98" s="221" t="e">
        <f>StSoMarks!I103/StSoMarks!I8</f>
        <v>#VALUE!</v>
      </c>
      <c r="J98" s="221" t="e">
        <f>StSoMarks!J103/StSoMarks!J8</f>
        <v>#VALUE!</v>
      </c>
      <c r="K98" s="221" t="e">
        <f>StSoMarks!K103/StSoMarks!K8</f>
        <v>#VALUE!</v>
      </c>
      <c r="L98" s="221" t="e">
        <f>StSoMarks!L103/StSoMarks!L8</f>
        <v>#VALUE!</v>
      </c>
      <c r="M98" s="221" t="e">
        <f>StSoMarks!M103/StSoMarks!M8</f>
        <v>#VALUE!</v>
      </c>
      <c r="N98" s="221" t="e">
        <f>StSoMarks!N103/StSoMarks!N8</f>
        <v>#VALUE!</v>
      </c>
      <c r="O98" s="221" t="e">
        <f>StSoMarks!O103/StSoMarks!O8</f>
        <v>#VALUE!</v>
      </c>
      <c r="P98" s="221" t="e">
        <f>StSoMarks!P103/StSoMarks!P8</f>
        <v>#VALUE!</v>
      </c>
      <c r="Q98" s="221" t="e">
        <f>StSoMarks!Q103/StSoMarks!Q8</f>
        <v>#VALUE!</v>
      </c>
    </row>
    <row r="99" spans="1:17" x14ac:dyDescent="0.25">
      <c r="A99">
        <f>StSoMarks!A104</f>
        <v>93</v>
      </c>
      <c r="B99" t="str">
        <f>StSoMarks!B104</f>
        <v>Pharmaceutical sciences</v>
      </c>
      <c r="C99" t="str">
        <f>StSoMarks!C104</f>
        <v/>
      </c>
      <c r="D99" t="str">
        <f>StSoMarks!D104</f>
        <v/>
      </c>
      <c r="E99" s="221" t="e">
        <f>StSoMarks!E104/StSoMarks!E8</f>
        <v>#VALUE!</v>
      </c>
      <c r="F99" s="221" t="e">
        <f>StSoMarks!F104/StSoMarks!F8</f>
        <v>#VALUE!</v>
      </c>
      <c r="G99" s="221" t="e">
        <f>StSoMarks!G104/StSoMarks!G8</f>
        <v>#VALUE!</v>
      </c>
      <c r="H99" s="221" t="e">
        <f>StSoMarks!H104/StSoMarks!H8</f>
        <v>#VALUE!</v>
      </c>
      <c r="I99" s="221" t="e">
        <f>StSoMarks!I104/StSoMarks!I8</f>
        <v>#VALUE!</v>
      </c>
      <c r="J99" s="221" t="e">
        <f>StSoMarks!J104/StSoMarks!J8</f>
        <v>#VALUE!</v>
      </c>
      <c r="K99" s="221" t="e">
        <f>StSoMarks!K104/StSoMarks!K8</f>
        <v>#VALUE!</v>
      </c>
      <c r="L99" s="221" t="e">
        <f>StSoMarks!L104/StSoMarks!L8</f>
        <v>#VALUE!</v>
      </c>
      <c r="M99" s="221" t="e">
        <f>StSoMarks!M104/StSoMarks!M8</f>
        <v>#VALUE!</v>
      </c>
      <c r="N99" s="221" t="e">
        <f>StSoMarks!N104/StSoMarks!N8</f>
        <v>#VALUE!</v>
      </c>
      <c r="O99" s="221" t="e">
        <f>StSoMarks!O104/StSoMarks!O8</f>
        <v>#VALUE!</v>
      </c>
      <c r="P99" s="221" t="e">
        <f>StSoMarks!P104/StSoMarks!P8</f>
        <v>#VALUE!</v>
      </c>
      <c r="Q99" s="221" t="e">
        <f>StSoMarks!Q104/StSoMarks!Q8</f>
        <v>#VALUE!</v>
      </c>
    </row>
    <row r="100" spans="1:17" x14ac:dyDescent="0.25">
      <c r="A100">
        <f>StSoMarks!A105</f>
        <v>94</v>
      </c>
      <c r="B100" t="str">
        <f>StSoMarks!B105</f>
        <v>Pharmaceutical sciences</v>
      </c>
      <c r="C100" t="str">
        <f>StSoMarks!C105</f>
        <v/>
      </c>
      <c r="D100" t="str">
        <f>StSoMarks!D105</f>
        <v/>
      </c>
      <c r="E100" s="221" t="e">
        <f>StSoMarks!E105/StSoMarks!E8</f>
        <v>#VALUE!</v>
      </c>
      <c r="F100" s="221" t="e">
        <f>StSoMarks!F105/StSoMarks!F8</f>
        <v>#VALUE!</v>
      </c>
      <c r="G100" s="221" t="e">
        <f>StSoMarks!G105/StSoMarks!G8</f>
        <v>#VALUE!</v>
      </c>
      <c r="H100" s="221" t="e">
        <f>StSoMarks!H105/StSoMarks!H8</f>
        <v>#VALUE!</v>
      </c>
      <c r="I100" s="221" t="e">
        <f>StSoMarks!I105/StSoMarks!I8</f>
        <v>#VALUE!</v>
      </c>
      <c r="J100" s="221" t="e">
        <f>StSoMarks!J105/StSoMarks!J8</f>
        <v>#VALUE!</v>
      </c>
      <c r="K100" s="221" t="e">
        <f>StSoMarks!K105/StSoMarks!K8</f>
        <v>#VALUE!</v>
      </c>
      <c r="L100" s="221" t="e">
        <f>StSoMarks!L105/StSoMarks!L8</f>
        <v>#VALUE!</v>
      </c>
      <c r="M100" s="221" t="e">
        <f>StSoMarks!M105/StSoMarks!M8</f>
        <v>#VALUE!</v>
      </c>
      <c r="N100" s="221" t="e">
        <f>StSoMarks!N105/StSoMarks!N8</f>
        <v>#VALUE!</v>
      </c>
      <c r="O100" s="221" t="e">
        <f>StSoMarks!O105/StSoMarks!O8</f>
        <v>#VALUE!</v>
      </c>
      <c r="P100" s="221" t="e">
        <f>StSoMarks!P105/StSoMarks!P8</f>
        <v>#VALUE!</v>
      </c>
      <c r="Q100" s="221" t="e">
        <f>StSoMarks!Q105/StSoMarks!Q8</f>
        <v>#VALUE!</v>
      </c>
    </row>
    <row r="101" spans="1:17" x14ac:dyDescent="0.25">
      <c r="A101">
        <f>StSoMarks!A106</f>
        <v>95</v>
      </c>
      <c r="B101" t="str">
        <f>StSoMarks!B106</f>
        <v>Pharmaceutical sciences</v>
      </c>
      <c r="C101" t="str">
        <f>StSoMarks!C106</f>
        <v/>
      </c>
      <c r="D101" t="str">
        <f>StSoMarks!D106</f>
        <v/>
      </c>
      <c r="E101" s="221" t="e">
        <f>StSoMarks!E106/StSoMarks!E8</f>
        <v>#VALUE!</v>
      </c>
      <c r="F101" s="221" t="e">
        <f>StSoMarks!F106/StSoMarks!F8</f>
        <v>#VALUE!</v>
      </c>
      <c r="G101" s="221" t="e">
        <f>StSoMarks!G106/StSoMarks!G8</f>
        <v>#VALUE!</v>
      </c>
      <c r="H101" s="221" t="e">
        <f>StSoMarks!H106/StSoMarks!H8</f>
        <v>#VALUE!</v>
      </c>
      <c r="I101" s="221" t="e">
        <f>StSoMarks!I106/StSoMarks!I8</f>
        <v>#VALUE!</v>
      </c>
      <c r="J101" s="221" t="e">
        <f>StSoMarks!J106/StSoMarks!J8</f>
        <v>#VALUE!</v>
      </c>
      <c r="K101" s="221" t="e">
        <f>StSoMarks!K106/StSoMarks!K8</f>
        <v>#VALUE!</v>
      </c>
      <c r="L101" s="221" t="e">
        <f>StSoMarks!L106/StSoMarks!L8</f>
        <v>#VALUE!</v>
      </c>
      <c r="M101" s="221" t="e">
        <f>StSoMarks!M106/StSoMarks!M8</f>
        <v>#VALUE!</v>
      </c>
      <c r="N101" s="221" t="e">
        <f>StSoMarks!N106/StSoMarks!N8</f>
        <v>#VALUE!</v>
      </c>
      <c r="O101" s="221" t="e">
        <f>StSoMarks!O106/StSoMarks!O8</f>
        <v>#VALUE!</v>
      </c>
      <c r="P101" s="221" t="e">
        <f>StSoMarks!P106/StSoMarks!P8</f>
        <v>#VALUE!</v>
      </c>
      <c r="Q101" s="221" t="e">
        <f>StSoMarks!Q106/StSoMarks!Q8</f>
        <v>#VALUE!</v>
      </c>
    </row>
    <row r="102" spans="1:17" x14ac:dyDescent="0.25">
      <c r="A102">
        <f>StSoMarks!A107</f>
        <v>96</v>
      </c>
      <c r="B102" t="str">
        <f>StSoMarks!B107</f>
        <v>Pharmaceutical sciences</v>
      </c>
      <c r="C102" t="str">
        <f>StSoMarks!C107</f>
        <v/>
      </c>
      <c r="D102" t="str">
        <f>StSoMarks!D107</f>
        <v/>
      </c>
      <c r="E102" s="221" t="e">
        <f>StSoMarks!E107/StSoMarks!E8</f>
        <v>#VALUE!</v>
      </c>
      <c r="F102" s="221" t="e">
        <f>StSoMarks!F107/StSoMarks!F8</f>
        <v>#VALUE!</v>
      </c>
      <c r="G102" s="221" t="e">
        <f>StSoMarks!G107/StSoMarks!G8</f>
        <v>#VALUE!</v>
      </c>
      <c r="H102" s="221" t="e">
        <f>StSoMarks!H107/StSoMarks!H8</f>
        <v>#VALUE!</v>
      </c>
      <c r="I102" s="221" t="e">
        <f>StSoMarks!I107/StSoMarks!I8</f>
        <v>#VALUE!</v>
      </c>
      <c r="J102" s="221" t="e">
        <f>StSoMarks!J107/StSoMarks!J8</f>
        <v>#VALUE!</v>
      </c>
      <c r="K102" s="221" t="e">
        <f>StSoMarks!K107/StSoMarks!K8</f>
        <v>#VALUE!</v>
      </c>
      <c r="L102" s="221" t="e">
        <f>StSoMarks!L107/StSoMarks!L8</f>
        <v>#VALUE!</v>
      </c>
      <c r="M102" s="221" t="e">
        <f>StSoMarks!M107/StSoMarks!M8</f>
        <v>#VALUE!</v>
      </c>
      <c r="N102" s="221" t="e">
        <f>StSoMarks!N107/StSoMarks!N8</f>
        <v>#VALUE!</v>
      </c>
      <c r="O102" s="221" t="e">
        <f>StSoMarks!O107/StSoMarks!O8</f>
        <v>#VALUE!</v>
      </c>
      <c r="P102" s="221" t="e">
        <f>StSoMarks!P107/StSoMarks!P8</f>
        <v>#VALUE!</v>
      </c>
      <c r="Q102" s="221" t="e">
        <f>StSoMarks!Q107/StSoMarks!Q8</f>
        <v>#VALUE!</v>
      </c>
    </row>
    <row r="103" spans="1:17" x14ac:dyDescent="0.25">
      <c r="A103">
        <f>StSoMarks!A108</f>
        <v>97</v>
      </c>
      <c r="B103" t="str">
        <f>StSoMarks!B108</f>
        <v>Pharmaceutical sciences</v>
      </c>
      <c r="C103" t="str">
        <f>StSoMarks!C108</f>
        <v/>
      </c>
      <c r="D103" t="str">
        <f>StSoMarks!D108</f>
        <v/>
      </c>
      <c r="E103" s="221" t="e">
        <f>StSoMarks!E108/StSoMarks!E8</f>
        <v>#VALUE!</v>
      </c>
      <c r="F103" s="221" t="e">
        <f>StSoMarks!F108/StSoMarks!F8</f>
        <v>#VALUE!</v>
      </c>
      <c r="G103" s="221" t="e">
        <f>StSoMarks!G108/StSoMarks!G8</f>
        <v>#VALUE!</v>
      </c>
      <c r="H103" s="221" t="e">
        <f>StSoMarks!H108/StSoMarks!H8</f>
        <v>#VALUE!</v>
      </c>
      <c r="I103" s="221" t="e">
        <f>StSoMarks!I108/StSoMarks!I8</f>
        <v>#VALUE!</v>
      </c>
      <c r="J103" s="221" t="e">
        <f>StSoMarks!J108/StSoMarks!J8</f>
        <v>#VALUE!</v>
      </c>
      <c r="K103" s="221" t="e">
        <f>StSoMarks!K108/StSoMarks!K8</f>
        <v>#VALUE!</v>
      </c>
      <c r="L103" s="221" t="e">
        <f>StSoMarks!L108/StSoMarks!L8</f>
        <v>#VALUE!</v>
      </c>
      <c r="M103" s="221" t="e">
        <f>StSoMarks!M108/StSoMarks!M8</f>
        <v>#VALUE!</v>
      </c>
      <c r="N103" s="221" t="e">
        <f>StSoMarks!N108/StSoMarks!N8</f>
        <v>#VALUE!</v>
      </c>
      <c r="O103" s="221" t="e">
        <f>StSoMarks!O108/StSoMarks!O8</f>
        <v>#VALUE!</v>
      </c>
      <c r="P103" s="221" t="e">
        <f>StSoMarks!P108/StSoMarks!P8</f>
        <v>#VALUE!</v>
      </c>
      <c r="Q103" s="221" t="e">
        <f>StSoMarks!Q108/StSoMarks!Q8</f>
        <v>#VALUE!</v>
      </c>
    </row>
    <row r="104" spans="1:17" x14ac:dyDescent="0.25">
      <c r="A104">
        <f>StSoMarks!A109</f>
        <v>98</v>
      </c>
      <c r="B104" t="str">
        <f>StSoMarks!B109</f>
        <v>Pharmaceutical sciences</v>
      </c>
      <c r="C104" t="str">
        <f>StSoMarks!C109</f>
        <v/>
      </c>
      <c r="D104" t="str">
        <f>StSoMarks!D109</f>
        <v/>
      </c>
      <c r="E104" s="221" t="e">
        <f>StSoMarks!E109/StSoMarks!E8</f>
        <v>#VALUE!</v>
      </c>
      <c r="F104" s="221" t="e">
        <f>StSoMarks!F109/StSoMarks!F8</f>
        <v>#VALUE!</v>
      </c>
      <c r="G104" s="221" t="e">
        <f>StSoMarks!G109/StSoMarks!G8</f>
        <v>#VALUE!</v>
      </c>
      <c r="H104" s="221" t="e">
        <f>StSoMarks!H109/StSoMarks!H8</f>
        <v>#VALUE!</v>
      </c>
      <c r="I104" s="221" t="e">
        <f>StSoMarks!I109/StSoMarks!I8</f>
        <v>#VALUE!</v>
      </c>
      <c r="J104" s="221" t="e">
        <f>StSoMarks!J109/StSoMarks!J8</f>
        <v>#VALUE!</v>
      </c>
      <c r="K104" s="221" t="e">
        <f>StSoMarks!K109/StSoMarks!K8</f>
        <v>#VALUE!</v>
      </c>
      <c r="L104" s="221" t="e">
        <f>StSoMarks!L109/StSoMarks!L8</f>
        <v>#VALUE!</v>
      </c>
      <c r="M104" s="221" t="e">
        <f>StSoMarks!M109/StSoMarks!M8</f>
        <v>#VALUE!</v>
      </c>
      <c r="N104" s="221" t="e">
        <f>StSoMarks!N109/StSoMarks!N8</f>
        <v>#VALUE!</v>
      </c>
      <c r="O104" s="221" t="e">
        <f>StSoMarks!O109/StSoMarks!O8</f>
        <v>#VALUE!</v>
      </c>
      <c r="P104" s="221" t="e">
        <f>StSoMarks!P109/StSoMarks!P8</f>
        <v>#VALUE!</v>
      </c>
      <c r="Q104" s="221" t="e">
        <f>StSoMarks!Q109/StSoMarks!Q8</f>
        <v>#VALUE!</v>
      </c>
    </row>
    <row r="105" spans="1:17" x14ac:dyDescent="0.25">
      <c r="A105">
        <f>StSoMarks!A110</f>
        <v>99</v>
      </c>
      <c r="B105" t="str">
        <f>StSoMarks!B110</f>
        <v>Pharmaceutical sciences</v>
      </c>
      <c r="C105" t="str">
        <f>StSoMarks!C110</f>
        <v/>
      </c>
      <c r="D105" t="str">
        <f>StSoMarks!D110</f>
        <v/>
      </c>
      <c r="E105" s="221" t="e">
        <f>StSoMarks!E110/StSoMarks!E8</f>
        <v>#VALUE!</v>
      </c>
      <c r="F105" s="221" t="e">
        <f>StSoMarks!F110/StSoMarks!F8</f>
        <v>#VALUE!</v>
      </c>
      <c r="G105" s="221" t="e">
        <f>StSoMarks!G110/StSoMarks!G8</f>
        <v>#VALUE!</v>
      </c>
      <c r="H105" s="221" t="e">
        <f>StSoMarks!H110/StSoMarks!H8</f>
        <v>#VALUE!</v>
      </c>
      <c r="I105" s="221" t="e">
        <f>StSoMarks!I110/StSoMarks!I8</f>
        <v>#VALUE!</v>
      </c>
      <c r="J105" s="221" t="e">
        <f>StSoMarks!J110/StSoMarks!J8</f>
        <v>#VALUE!</v>
      </c>
      <c r="K105" s="221" t="e">
        <f>StSoMarks!K110/StSoMarks!K8</f>
        <v>#VALUE!</v>
      </c>
      <c r="L105" s="221" t="e">
        <f>StSoMarks!L110/StSoMarks!L8</f>
        <v>#VALUE!</v>
      </c>
      <c r="M105" s="221" t="e">
        <f>StSoMarks!M110/StSoMarks!M8</f>
        <v>#VALUE!</v>
      </c>
      <c r="N105" s="221" t="e">
        <f>StSoMarks!N110/StSoMarks!N8</f>
        <v>#VALUE!</v>
      </c>
      <c r="O105" s="221" t="e">
        <f>StSoMarks!O110/StSoMarks!O8</f>
        <v>#VALUE!</v>
      </c>
      <c r="P105" s="221" t="e">
        <f>StSoMarks!P110/StSoMarks!P8</f>
        <v>#VALUE!</v>
      </c>
      <c r="Q105" s="221" t="e">
        <f>StSoMarks!Q110/StSoMarks!Q8</f>
        <v>#VALUE!</v>
      </c>
    </row>
    <row r="106" spans="1:17" x14ac:dyDescent="0.25">
      <c r="A106">
        <f>StSoMarks!A111</f>
        <v>100</v>
      </c>
      <c r="B106" t="str">
        <f>StSoMarks!B111</f>
        <v>Pharmaceutical sciences</v>
      </c>
      <c r="C106" t="str">
        <f>StSoMarks!C111</f>
        <v/>
      </c>
      <c r="D106" t="str">
        <f>StSoMarks!D111</f>
        <v/>
      </c>
      <c r="E106" s="221" t="e">
        <f>StSoMarks!E111/StSoMarks!E8</f>
        <v>#VALUE!</v>
      </c>
      <c r="F106" s="221" t="e">
        <f>StSoMarks!F111/StSoMarks!F8</f>
        <v>#VALUE!</v>
      </c>
      <c r="G106" s="221" t="e">
        <f>StSoMarks!G111/StSoMarks!G8</f>
        <v>#VALUE!</v>
      </c>
      <c r="H106" s="221" t="e">
        <f>StSoMarks!H111/StSoMarks!H8</f>
        <v>#VALUE!</v>
      </c>
      <c r="I106" s="221" t="e">
        <f>StSoMarks!I111/StSoMarks!I8</f>
        <v>#VALUE!</v>
      </c>
      <c r="J106" s="221" t="e">
        <f>StSoMarks!J111/StSoMarks!J8</f>
        <v>#VALUE!</v>
      </c>
      <c r="K106" s="221" t="e">
        <f>StSoMarks!K111/StSoMarks!K8</f>
        <v>#VALUE!</v>
      </c>
      <c r="L106" s="221" t="e">
        <f>StSoMarks!L111/StSoMarks!L8</f>
        <v>#VALUE!</v>
      </c>
      <c r="M106" s="221" t="e">
        <f>StSoMarks!M111/StSoMarks!M8</f>
        <v>#VALUE!</v>
      </c>
      <c r="N106" s="221" t="e">
        <f>StSoMarks!N111/StSoMarks!N8</f>
        <v>#VALUE!</v>
      </c>
      <c r="O106" s="221" t="e">
        <f>StSoMarks!O111/StSoMarks!O8</f>
        <v>#VALUE!</v>
      </c>
      <c r="P106" s="221" t="e">
        <f>StSoMarks!P111/StSoMarks!P8</f>
        <v>#VALUE!</v>
      </c>
      <c r="Q106" s="221" t="e">
        <f>StSoMarks!Q111/StSoMarks!Q8</f>
        <v>#VALUE!</v>
      </c>
    </row>
    <row r="107" spans="1:17" x14ac:dyDescent="0.25">
      <c r="A107">
        <f>StSoMarks!A112</f>
        <v>101</v>
      </c>
      <c r="B107" t="str">
        <f>StSoMarks!B112</f>
        <v>Pharmaceutical sciences</v>
      </c>
      <c r="C107" t="str">
        <f>StSoMarks!C112</f>
        <v/>
      </c>
      <c r="D107" t="str">
        <f>StSoMarks!D112</f>
        <v/>
      </c>
      <c r="E107" s="221" t="e">
        <f>StSoMarks!E112/StSoMarks!E8</f>
        <v>#VALUE!</v>
      </c>
      <c r="F107" s="221" t="e">
        <f>StSoMarks!F112/StSoMarks!F8</f>
        <v>#VALUE!</v>
      </c>
      <c r="G107" s="221" t="e">
        <f>StSoMarks!G112/StSoMarks!G8</f>
        <v>#VALUE!</v>
      </c>
      <c r="H107" s="221" t="e">
        <f>StSoMarks!H112/StSoMarks!H8</f>
        <v>#VALUE!</v>
      </c>
      <c r="I107" s="221" t="e">
        <f>StSoMarks!I112/StSoMarks!I8</f>
        <v>#VALUE!</v>
      </c>
      <c r="J107" s="221" t="e">
        <f>StSoMarks!J112/StSoMarks!J8</f>
        <v>#VALUE!</v>
      </c>
      <c r="K107" s="221" t="e">
        <f>StSoMarks!K112/StSoMarks!K8</f>
        <v>#VALUE!</v>
      </c>
      <c r="L107" s="221" t="e">
        <f>StSoMarks!L112/StSoMarks!L8</f>
        <v>#VALUE!</v>
      </c>
      <c r="M107" s="221" t="e">
        <f>StSoMarks!M112/StSoMarks!M8</f>
        <v>#VALUE!</v>
      </c>
      <c r="N107" s="221" t="e">
        <f>StSoMarks!N112/StSoMarks!N8</f>
        <v>#VALUE!</v>
      </c>
      <c r="O107" s="221" t="e">
        <f>StSoMarks!O112/StSoMarks!O8</f>
        <v>#VALUE!</v>
      </c>
      <c r="P107" s="221" t="e">
        <f>StSoMarks!P112/StSoMarks!P8</f>
        <v>#VALUE!</v>
      </c>
      <c r="Q107" s="221" t="e">
        <f>StSoMarks!Q112/StSoMarks!Q8</f>
        <v>#VALUE!</v>
      </c>
    </row>
    <row r="108" spans="1:17" x14ac:dyDescent="0.25">
      <c r="A108">
        <f>StSoMarks!A113</f>
        <v>102</v>
      </c>
      <c r="B108" t="str">
        <f>StSoMarks!B113</f>
        <v>Pharmaceutical sciences</v>
      </c>
      <c r="C108" t="str">
        <f>StSoMarks!C113</f>
        <v/>
      </c>
      <c r="D108" t="str">
        <f>StSoMarks!D113</f>
        <v/>
      </c>
      <c r="E108" s="221" t="e">
        <f>StSoMarks!E113/StSoMarks!E8</f>
        <v>#VALUE!</v>
      </c>
      <c r="F108" s="221" t="e">
        <f>StSoMarks!F113/StSoMarks!F8</f>
        <v>#VALUE!</v>
      </c>
      <c r="G108" s="221" t="e">
        <f>StSoMarks!G113/StSoMarks!G8</f>
        <v>#VALUE!</v>
      </c>
      <c r="H108" s="221" t="e">
        <f>StSoMarks!H113/StSoMarks!H8</f>
        <v>#VALUE!</v>
      </c>
      <c r="I108" s="221" t="e">
        <f>StSoMarks!I113/StSoMarks!I8</f>
        <v>#VALUE!</v>
      </c>
      <c r="J108" s="221" t="e">
        <f>StSoMarks!J113/StSoMarks!J8</f>
        <v>#VALUE!</v>
      </c>
      <c r="K108" s="221" t="e">
        <f>StSoMarks!K113/StSoMarks!K8</f>
        <v>#VALUE!</v>
      </c>
      <c r="L108" s="221" t="e">
        <f>StSoMarks!L113/StSoMarks!L8</f>
        <v>#VALUE!</v>
      </c>
      <c r="M108" s="221" t="e">
        <f>StSoMarks!M113/StSoMarks!M8</f>
        <v>#VALUE!</v>
      </c>
      <c r="N108" s="221" t="e">
        <f>StSoMarks!N113/StSoMarks!N8</f>
        <v>#VALUE!</v>
      </c>
      <c r="O108" s="221" t="e">
        <f>StSoMarks!O113/StSoMarks!O8</f>
        <v>#VALUE!</v>
      </c>
      <c r="P108" s="221" t="e">
        <f>StSoMarks!P113/StSoMarks!P8</f>
        <v>#VALUE!</v>
      </c>
      <c r="Q108" s="221" t="e">
        <f>StSoMarks!Q113/StSoMarks!Q8</f>
        <v>#VALUE!</v>
      </c>
    </row>
    <row r="109" spans="1:17" x14ac:dyDescent="0.25">
      <c r="A109">
        <f>StSoMarks!A114</f>
        <v>103</v>
      </c>
      <c r="B109" t="str">
        <f>StSoMarks!B114</f>
        <v>Pharmaceutical sciences</v>
      </c>
      <c r="C109" t="str">
        <f>StSoMarks!C114</f>
        <v/>
      </c>
      <c r="D109" t="str">
        <f>StSoMarks!D114</f>
        <v/>
      </c>
      <c r="E109" s="221" t="e">
        <f>StSoMarks!E114/StSoMarks!E8</f>
        <v>#VALUE!</v>
      </c>
      <c r="F109" s="221" t="e">
        <f>StSoMarks!F114/StSoMarks!F8</f>
        <v>#VALUE!</v>
      </c>
      <c r="G109" s="221" t="e">
        <f>StSoMarks!G114/StSoMarks!G8</f>
        <v>#VALUE!</v>
      </c>
      <c r="H109" s="221" t="e">
        <f>StSoMarks!H114/StSoMarks!H8</f>
        <v>#VALUE!</v>
      </c>
      <c r="I109" s="221" t="e">
        <f>StSoMarks!I114/StSoMarks!I8</f>
        <v>#VALUE!</v>
      </c>
      <c r="J109" s="221" t="e">
        <f>StSoMarks!J114/StSoMarks!J8</f>
        <v>#VALUE!</v>
      </c>
      <c r="K109" s="221" t="e">
        <f>StSoMarks!K114/StSoMarks!K8</f>
        <v>#VALUE!</v>
      </c>
      <c r="L109" s="221" t="e">
        <f>StSoMarks!L114/StSoMarks!L8</f>
        <v>#VALUE!</v>
      </c>
      <c r="M109" s="221" t="e">
        <f>StSoMarks!M114/StSoMarks!M8</f>
        <v>#VALUE!</v>
      </c>
      <c r="N109" s="221" t="e">
        <f>StSoMarks!N114/StSoMarks!N8</f>
        <v>#VALUE!</v>
      </c>
      <c r="O109" s="221" t="e">
        <f>StSoMarks!O114/StSoMarks!O8</f>
        <v>#VALUE!</v>
      </c>
      <c r="P109" s="221" t="e">
        <f>StSoMarks!P114/StSoMarks!P8</f>
        <v>#VALUE!</v>
      </c>
      <c r="Q109" s="221" t="e">
        <f>StSoMarks!Q114/StSoMarks!Q8</f>
        <v>#VALUE!</v>
      </c>
    </row>
    <row r="110" spans="1:17" x14ac:dyDescent="0.25">
      <c r="A110">
        <f>StSoMarks!A115</f>
        <v>104</v>
      </c>
      <c r="B110" t="str">
        <f>StSoMarks!B115</f>
        <v>Pharmaceutical sciences</v>
      </c>
      <c r="C110" t="str">
        <f>StSoMarks!C115</f>
        <v/>
      </c>
      <c r="D110" t="str">
        <f>StSoMarks!D115</f>
        <v/>
      </c>
      <c r="E110" s="221" t="e">
        <f>StSoMarks!E115/StSoMarks!E8</f>
        <v>#VALUE!</v>
      </c>
      <c r="F110" s="221" t="e">
        <f>StSoMarks!F115/StSoMarks!F8</f>
        <v>#VALUE!</v>
      </c>
      <c r="G110" s="221" t="e">
        <f>StSoMarks!G115/StSoMarks!G8</f>
        <v>#VALUE!</v>
      </c>
      <c r="H110" s="221" t="e">
        <f>StSoMarks!H115/StSoMarks!H8</f>
        <v>#VALUE!</v>
      </c>
      <c r="I110" s="221" t="e">
        <f>StSoMarks!I115/StSoMarks!I8</f>
        <v>#VALUE!</v>
      </c>
      <c r="J110" s="221" t="e">
        <f>StSoMarks!J115/StSoMarks!J8</f>
        <v>#VALUE!</v>
      </c>
      <c r="K110" s="221" t="e">
        <f>StSoMarks!K115/StSoMarks!K8</f>
        <v>#VALUE!</v>
      </c>
      <c r="L110" s="221" t="e">
        <f>StSoMarks!L115/StSoMarks!L8</f>
        <v>#VALUE!</v>
      </c>
      <c r="M110" s="221" t="e">
        <f>StSoMarks!M115/StSoMarks!M8</f>
        <v>#VALUE!</v>
      </c>
      <c r="N110" s="221" t="e">
        <f>StSoMarks!N115/StSoMarks!N8</f>
        <v>#VALUE!</v>
      </c>
      <c r="O110" s="221" t="e">
        <f>StSoMarks!O115/StSoMarks!O8</f>
        <v>#VALUE!</v>
      </c>
      <c r="P110" s="221" t="e">
        <f>StSoMarks!P115/StSoMarks!P8</f>
        <v>#VALUE!</v>
      </c>
      <c r="Q110" s="221" t="e">
        <f>StSoMarks!Q115/StSoMarks!Q8</f>
        <v>#VALUE!</v>
      </c>
    </row>
    <row r="111" spans="1:17" x14ac:dyDescent="0.25">
      <c r="A111">
        <f>StSoMarks!A116</f>
        <v>105</v>
      </c>
      <c r="B111" t="str">
        <f>StSoMarks!B116</f>
        <v>Pharmaceutical sciences</v>
      </c>
      <c r="C111" t="str">
        <f>StSoMarks!C116</f>
        <v/>
      </c>
      <c r="D111" t="str">
        <f>StSoMarks!D116</f>
        <v/>
      </c>
      <c r="E111" s="221" t="e">
        <f>StSoMarks!E116/StSoMarks!E8</f>
        <v>#VALUE!</v>
      </c>
      <c r="F111" s="221" t="e">
        <f>StSoMarks!F116/StSoMarks!F8</f>
        <v>#VALUE!</v>
      </c>
      <c r="G111" s="221" t="e">
        <f>StSoMarks!G116/StSoMarks!G8</f>
        <v>#VALUE!</v>
      </c>
      <c r="H111" s="221" t="e">
        <f>StSoMarks!H116/StSoMarks!H8</f>
        <v>#VALUE!</v>
      </c>
      <c r="I111" s="221" t="e">
        <f>StSoMarks!I116/StSoMarks!I8</f>
        <v>#VALUE!</v>
      </c>
      <c r="J111" s="221" t="e">
        <f>StSoMarks!J116/StSoMarks!J8</f>
        <v>#VALUE!</v>
      </c>
      <c r="K111" s="221" t="e">
        <f>StSoMarks!K116/StSoMarks!K8</f>
        <v>#VALUE!</v>
      </c>
      <c r="L111" s="221" t="e">
        <f>StSoMarks!L116/StSoMarks!L8</f>
        <v>#VALUE!</v>
      </c>
      <c r="M111" s="221" t="e">
        <f>StSoMarks!M116/StSoMarks!M8</f>
        <v>#VALUE!</v>
      </c>
      <c r="N111" s="221" t="e">
        <f>StSoMarks!N116/StSoMarks!N8</f>
        <v>#VALUE!</v>
      </c>
      <c r="O111" s="221" t="e">
        <f>StSoMarks!O116/StSoMarks!O8</f>
        <v>#VALUE!</v>
      </c>
      <c r="P111" s="221" t="e">
        <f>StSoMarks!P116/StSoMarks!P8</f>
        <v>#VALUE!</v>
      </c>
      <c r="Q111" s="221" t="e">
        <f>StSoMarks!Q116/StSoMarks!Q8</f>
        <v>#VALUE!</v>
      </c>
    </row>
    <row r="112" spans="1:17" x14ac:dyDescent="0.25">
      <c r="A112">
        <f>StSoMarks!A117</f>
        <v>106</v>
      </c>
      <c r="B112" t="str">
        <f>StSoMarks!B117</f>
        <v>Pharmaceutical sciences</v>
      </c>
      <c r="C112" t="str">
        <f>StSoMarks!C117</f>
        <v/>
      </c>
      <c r="D112" t="str">
        <f>StSoMarks!D117</f>
        <v/>
      </c>
      <c r="E112" s="221" t="e">
        <f>StSoMarks!E117/StSoMarks!E8</f>
        <v>#VALUE!</v>
      </c>
      <c r="F112" s="221" t="e">
        <f>StSoMarks!F117/StSoMarks!F8</f>
        <v>#VALUE!</v>
      </c>
      <c r="G112" s="221" t="e">
        <f>StSoMarks!G117/StSoMarks!G8</f>
        <v>#VALUE!</v>
      </c>
      <c r="H112" s="221" t="e">
        <f>StSoMarks!H117/StSoMarks!H8</f>
        <v>#VALUE!</v>
      </c>
      <c r="I112" s="221" t="e">
        <f>StSoMarks!I117/StSoMarks!I8</f>
        <v>#VALUE!</v>
      </c>
      <c r="J112" s="221" t="e">
        <f>StSoMarks!J117/StSoMarks!J8</f>
        <v>#VALUE!</v>
      </c>
      <c r="K112" s="221" t="e">
        <f>StSoMarks!K117/StSoMarks!K8</f>
        <v>#VALUE!</v>
      </c>
      <c r="L112" s="221" t="e">
        <f>StSoMarks!L117/StSoMarks!L8</f>
        <v>#VALUE!</v>
      </c>
      <c r="M112" s="221" t="e">
        <f>StSoMarks!M117/StSoMarks!M8</f>
        <v>#VALUE!</v>
      </c>
      <c r="N112" s="221" t="e">
        <f>StSoMarks!N117/StSoMarks!N8</f>
        <v>#VALUE!</v>
      </c>
      <c r="O112" s="221" t="e">
        <f>StSoMarks!O117/StSoMarks!O8</f>
        <v>#VALUE!</v>
      </c>
      <c r="P112" s="221" t="e">
        <f>StSoMarks!P117/StSoMarks!P8</f>
        <v>#VALUE!</v>
      </c>
      <c r="Q112" s="221" t="e">
        <f>StSoMarks!Q117/StSoMarks!Q8</f>
        <v>#VALUE!</v>
      </c>
    </row>
    <row r="113" spans="1:17" x14ac:dyDescent="0.25">
      <c r="A113">
        <f>StSoMarks!A118</f>
        <v>107</v>
      </c>
      <c r="B113" t="str">
        <f>StSoMarks!B118</f>
        <v>Pharmaceutical sciences</v>
      </c>
      <c r="C113" t="str">
        <f>StSoMarks!C118</f>
        <v/>
      </c>
      <c r="D113" t="str">
        <f>StSoMarks!D118</f>
        <v/>
      </c>
      <c r="E113" s="221" t="e">
        <f>StSoMarks!E118/StSoMarks!E8</f>
        <v>#VALUE!</v>
      </c>
      <c r="F113" s="221" t="e">
        <f>StSoMarks!F118/StSoMarks!F8</f>
        <v>#VALUE!</v>
      </c>
      <c r="G113" s="221" t="e">
        <f>StSoMarks!G118/StSoMarks!G8</f>
        <v>#VALUE!</v>
      </c>
      <c r="H113" s="221" t="e">
        <f>StSoMarks!H118/StSoMarks!H8</f>
        <v>#VALUE!</v>
      </c>
      <c r="I113" s="221" t="e">
        <f>StSoMarks!I118/StSoMarks!I8</f>
        <v>#VALUE!</v>
      </c>
      <c r="J113" s="221" t="e">
        <f>StSoMarks!J118/StSoMarks!J8</f>
        <v>#VALUE!</v>
      </c>
      <c r="K113" s="221" t="e">
        <f>StSoMarks!K118/StSoMarks!K8</f>
        <v>#VALUE!</v>
      </c>
      <c r="L113" s="221" t="e">
        <f>StSoMarks!L118/StSoMarks!L8</f>
        <v>#VALUE!</v>
      </c>
      <c r="M113" s="221" t="e">
        <f>StSoMarks!M118/StSoMarks!M8</f>
        <v>#VALUE!</v>
      </c>
      <c r="N113" s="221" t="e">
        <f>StSoMarks!N118/StSoMarks!N8</f>
        <v>#VALUE!</v>
      </c>
      <c r="O113" s="221" t="e">
        <f>StSoMarks!O118/StSoMarks!O8</f>
        <v>#VALUE!</v>
      </c>
      <c r="P113" s="221" t="e">
        <f>StSoMarks!P118/StSoMarks!P8</f>
        <v>#VALUE!</v>
      </c>
      <c r="Q113" s="221" t="e">
        <f>StSoMarks!Q118/StSoMarks!Q8</f>
        <v>#VALUE!</v>
      </c>
    </row>
    <row r="114" spans="1:17" x14ac:dyDescent="0.25">
      <c r="A114">
        <f>StSoMarks!A119</f>
        <v>108</v>
      </c>
      <c r="B114" t="str">
        <f>StSoMarks!B119</f>
        <v>Pharmaceutical sciences</v>
      </c>
      <c r="C114" t="str">
        <f>StSoMarks!C119</f>
        <v/>
      </c>
      <c r="D114" t="str">
        <f>StSoMarks!D119</f>
        <v/>
      </c>
      <c r="E114" s="221" t="e">
        <f>StSoMarks!E119/StSoMarks!E8</f>
        <v>#VALUE!</v>
      </c>
      <c r="F114" s="221" t="e">
        <f>StSoMarks!F119/StSoMarks!F8</f>
        <v>#VALUE!</v>
      </c>
      <c r="G114" s="221" t="e">
        <f>StSoMarks!G119/StSoMarks!G8</f>
        <v>#VALUE!</v>
      </c>
      <c r="H114" s="221" t="e">
        <f>StSoMarks!H119/StSoMarks!H8</f>
        <v>#VALUE!</v>
      </c>
      <c r="I114" s="221" t="e">
        <f>StSoMarks!I119/StSoMarks!I8</f>
        <v>#VALUE!</v>
      </c>
      <c r="J114" s="221" t="e">
        <f>StSoMarks!J119/StSoMarks!J8</f>
        <v>#VALUE!</v>
      </c>
      <c r="K114" s="221" t="e">
        <f>StSoMarks!K119/StSoMarks!K8</f>
        <v>#VALUE!</v>
      </c>
      <c r="L114" s="221" t="e">
        <f>StSoMarks!L119/StSoMarks!L8</f>
        <v>#VALUE!</v>
      </c>
      <c r="M114" s="221" t="e">
        <f>StSoMarks!M119/StSoMarks!M8</f>
        <v>#VALUE!</v>
      </c>
      <c r="N114" s="221" t="e">
        <f>StSoMarks!N119/StSoMarks!N8</f>
        <v>#VALUE!</v>
      </c>
      <c r="O114" s="221" t="e">
        <f>StSoMarks!O119/StSoMarks!O8</f>
        <v>#VALUE!</v>
      </c>
      <c r="P114" s="221" t="e">
        <f>StSoMarks!P119/StSoMarks!P8</f>
        <v>#VALUE!</v>
      </c>
      <c r="Q114" s="221" t="e">
        <f>StSoMarks!Q119/StSoMarks!Q8</f>
        <v>#VALUE!</v>
      </c>
    </row>
    <row r="115" spans="1:17" x14ac:dyDescent="0.25">
      <c r="A115">
        <f>StSoMarks!A120</f>
        <v>109</v>
      </c>
      <c r="B115" t="str">
        <f>StSoMarks!B120</f>
        <v>Pharmaceutical sciences</v>
      </c>
      <c r="C115" t="str">
        <f>StSoMarks!C120</f>
        <v/>
      </c>
      <c r="D115" t="str">
        <f>StSoMarks!D120</f>
        <v/>
      </c>
      <c r="E115" s="221" t="e">
        <f>StSoMarks!E120/StSoMarks!E8</f>
        <v>#VALUE!</v>
      </c>
      <c r="F115" s="221" t="e">
        <f>StSoMarks!F120/StSoMarks!F8</f>
        <v>#VALUE!</v>
      </c>
      <c r="G115" s="221" t="e">
        <f>StSoMarks!G120/StSoMarks!G8</f>
        <v>#VALUE!</v>
      </c>
      <c r="H115" s="221" t="e">
        <f>StSoMarks!H120/StSoMarks!H8</f>
        <v>#VALUE!</v>
      </c>
      <c r="I115" s="221" t="e">
        <f>StSoMarks!I120/StSoMarks!I8</f>
        <v>#VALUE!</v>
      </c>
      <c r="J115" s="221" t="e">
        <f>StSoMarks!J120/StSoMarks!J8</f>
        <v>#VALUE!</v>
      </c>
      <c r="K115" s="221" t="e">
        <f>StSoMarks!K120/StSoMarks!K8</f>
        <v>#VALUE!</v>
      </c>
      <c r="L115" s="221" t="e">
        <f>StSoMarks!L120/StSoMarks!L8</f>
        <v>#VALUE!</v>
      </c>
      <c r="M115" s="221" t="e">
        <f>StSoMarks!M120/StSoMarks!M8</f>
        <v>#VALUE!</v>
      </c>
      <c r="N115" s="221" t="e">
        <f>StSoMarks!N120/StSoMarks!N8</f>
        <v>#VALUE!</v>
      </c>
      <c r="O115" s="221" t="e">
        <f>StSoMarks!O120/StSoMarks!O8</f>
        <v>#VALUE!</v>
      </c>
      <c r="P115" s="221" t="e">
        <f>StSoMarks!P120/StSoMarks!P8</f>
        <v>#VALUE!</v>
      </c>
      <c r="Q115" s="221" t="e">
        <f>StSoMarks!Q120/StSoMarks!Q8</f>
        <v>#VALUE!</v>
      </c>
    </row>
    <row r="116" spans="1:17" x14ac:dyDescent="0.25">
      <c r="A116">
        <f>StSoMarks!A121</f>
        <v>110</v>
      </c>
      <c r="B116" t="str">
        <f>StSoMarks!B121</f>
        <v>Pharmaceutical sciences</v>
      </c>
      <c r="C116" t="str">
        <f>StSoMarks!C121</f>
        <v/>
      </c>
      <c r="D116" t="str">
        <f>StSoMarks!D121</f>
        <v/>
      </c>
      <c r="E116" s="221" t="e">
        <f>StSoMarks!E121/StSoMarks!E8</f>
        <v>#VALUE!</v>
      </c>
      <c r="F116" s="221" t="e">
        <f>StSoMarks!F121/StSoMarks!F8</f>
        <v>#VALUE!</v>
      </c>
      <c r="G116" s="221" t="e">
        <f>StSoMarks!G121/StSoMarks!G8</f>
        <v>#VALUE!</v>
      </c>
      <c r="H116" s="221" t="e">
        <f>StSoMarks!H121/StSoMarks!H8</f>
        <v>#VALUE!</v>
      </c>
      <c r="I116" s="221" t="e">
        <f>StSoMarks!I121/StSoMarks!I8</f>
        <v>#VALUE!</v>
      </c>
      <c r="J116" s="221" t="e">
        <f>StSoMarks!J121/StSoMarks!J8</f>
        <v>#VALUE!</v>
      </c>
      <c r="K116" s="221" t="e">
        <f>StSoMarks!K121/StSoMarks!K8</f>
        <v>#VALUE!</v>
      </c>
      <c r="L116" s="221" t="e">
        <f>StSoMarks!L121/StSoMarks!L8</f>
        <v>#VALUE!</v>
      </c>
      <c r="M116" s="221" t="e">
        <f>StSoMarks!M121/StSoMarks!M8</f>
        <v>#VALUE!</v>
      </c>
      <c r="N116" s="221" t="e">
        <f>StSoMarks!N121/StSoMarks!N8</f>
        <v>#VALUE!</v>
      </c>
      <c r="O116" s="221" t="e">
        <f>StSoMarks!O121/StSoMarks!O8</f>
        <v>#VALUE!</v>
      </c>
      <c r="P116" s="221" t="e">
        <f>StSoMarks!P121/StSoMarks!P8</f>
        <v>#VALUE!</v>
      </c>
      <c r="Q116" s="221" t="e">
        <f>StSoMarks!Q121/StSoMarks!Q8</f>
        <v>#VALUE!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1:O12"/>
  <sheetViews>
    <sheetView view="pageBreakPreview" topLeftCell="B1" zoomScale="70" zoomScaleNormal="70" zoomScaleSheetLayoutView="70" workbookViewId="0">
      <selection activeCell="R30" sqref="R30"/>
    </sheetView>
  </sheetViews>
  <sheetFormatPr defaultColWidth="11.28515625" defaultRowHeight="15" x14ac:dyDescent="0.25"/>
  <cols>
    <col min="1" max="1" width="0" style="232" hidden="1" customWidth="1"/>
    <col min="2" max="2" width="43.28515625" style="232" bestFit="1" customWidth="1"/>
    <col min="3" max="3" width="15.42578125" style="232" bestFit="1" customWidth="1"/>
    <col min="4" max="13" width="11.28515625" style="232"/>
    <col min="14" max="14" width="11.28515625" style="232" customWidth="1"/>
    <col min="15" max="16384" width="11.28515625" style="232"/>
  </cols>
  <sheetData>
    <row r="1" spans="2:15" ht="23.25" x14ac:dyDescent="0.35">
      <c r="B1" s="230" t="s">
        <v>254</v>
      </c>
      <c r="C1" s="231" t="str">
        <f>Config!B1</f>
        <v>pharmacy</v>
      </c>
    </row>
    <row r="2" spans="2:15" ht="23.25" x14ac:dyDescent="0.35">
      <c r="B2" s="230" t="s">
        <v>255</v>
      </c>
      <c r="C2" s="231" t="str">
        <f>Config!B2</f>
        <v>Dr Md Tanwir Athar</v>
      </c>
    </row>
    <row r="3" spans="2:15" ht="23.25" x14ac:dyDescent="0.35">
      <c r="B3" s="230" t="s">
        <v>37</v>
      </c>
      <c r="C3" s="231">
        <f>Config!B3</f>
        <v>462</v>
      </c>
    </row>
    <row r="4" spans="2:15" ht="23.25" x14ac:dyDescent="0.35">
      <c r="B4" s="230" t="s">
        <v>257</v>
      </c>
      <c r="C4" s="231" t="str">
        <f>Config!B4</f>
        <v>Pharmacognosy-I</v>
      </c>
    </row>
    <row r="5" spans="2:15" ht="23.25" x14ac:dyDescent="0.35">
      <c r="B5" s="230" t="s">
        <v>256</v>
      </c>
      <c r="C5" s="231">
        <f>Config!D10</f>
        <v>0</v>
      </c>
    </row>
    <row r="6" spans="2:15" ht="15.75" thickBot="1" x14ac:dyDescent="0.3"/>
    <row r="7" spans="2:15" ht="23.25" x14ac:dyDescent="0.25">
      <c r="B7" s="233" t="s">
        <v>235</v>
      </c>
      <c r="C7" s="234" t="str">
        <f>Config!E42</f>
        <v>K.1.1</v>
      </c>
      <c r="D7" s="234" t="str">
        <f>Config!F42</f>
        <v>K.1.2</v>
      </c>
      <c r="E7" s="234" t="str">
        <f>Config!G42</f>
        <v>K.2.1</v>
      </c>
      <c r="F7" s="234" t="str">
        <f>Config!H42</f>
        <v>K2.2</v>
      </c>
      <c r="G7" s="234" t="str">
        <f>Config!I42</f>
        <v>S.3.1</v>
      </c>
      <c r="H7" s="234" t="str">
        <f>Config!J42</f>
        <v>S.7.1</v>
      </c>
      <c r="I7" s="234">
        <f>Config!K42</f>
        <v>0</v>
      </c>
      <c r="J7" s="234">
        <f>Config!L42</f>
        <v>0</v>
      </c>
      <c r="K7" s="234">
        <f>Config!M42</f>
        <v>0</v>
      </c>
      <c r="L7" s="234">
        <f>Config!N42</f>
        <v>0</v>
      </c>
      <c r="M7" s="234">
        <f>Config!O42</f>
        <v>0</v>
      </c>
      <c r="N7" s="234" t="str">
        <f>Config!P42</f>
        <v>v2</v>
      </c>
    </row>
    <row r="8" spans="2:15" ht="23.25" x14ac:dyDescent="0.25">
      <c r="B8" s="235" t="s">
        <v>237</v>
      </c>
      <c r="C8" s="236">
        <v>0.6</v>
      </c>
      <c r="D8" s="236">
        <v>0.6</v>
      </c>
      <c r="E8" s="236">
        <v>0.6</v>
      </c>
      <c r="F8" s="236">
        <v>0.6</v>
      </c>
      <c r="G8" s="236">
        <v>0.6</v>
      </c>
      <c r="H8" s="236">
        <v>0.6</v>
      </c>
      <c r="I8" s="236">
        <v>0.6</v>
      </c>
      <c r="J8" s="236">
        <v>0.6</v>
      </c>
      <c r="K8" s="236">
        <v>0.6</v>
      </c>
      <c r="L8" s="236">
        <v>0.6</v>
      </c>
      <c r="M8" s="236">
        <v>0.6</v>
      </c>
      <c r="N8" s="236">
        <v>0.6</v>
      </c>
    </row>
    <row r="9" spans="2:15" ht="31.5" x14ac:dyDescent="0.25">
      <c r="B9" s="235" t="s">
        <v>239</v>
      </c>
      <c r="C9" s="237">
        <f>COUNTIF(Sheet2!E7:E116,"&gt;="&amp;C8)</f>
        <v>7</v>
      </c>
      <c r="D9" s="237">
        <f>COUNTIF(Sheet2!F7:F116,"&gt;="&amp;D8)</f>
        <v>9</v>
      </c>
      <c r="E9" s="237">
        <f>COUNTIF(Sheet2!G7:G116,"&gt;="&amp;E8)</f>
        <v>8</v>
      </c>
      <c r="F9" s="237">
        <f>COUNTIF(Sheet2!H7:H116,"&gt;="&amp;F8)</f>
        <v>8</v>
      </c>
      <c r="G9" s="237">
        <f>COUNTIF(Sheet2!I7:I116,"&gt;="&amp;G8)</f>
        <v>9</v>
      </c>
      <c r="H9" s="237">
        <f>COUNTIF(Sheet2!J7:J116,"&gt;="&amp;H8)</f>
        <v>9</v>
      </c>
      <c r="I9" s="237">
        <f>COUNTIF(Sheet2!K7:K116,"&gt;="&amp;I8)</f>
        <v>0</v>
      </c>
      <c r="J9" s="237">
        <f>COUNTIF(Sheet2!L7:L116,"&gt;="&amp;J8)</f>
        <v>0</v>
      </c>
      <c r="K9" s="237">
        <f>COUNTIF(Sheet2!M7:M116,"&gt;="&amp;K8)</f>
        <v>0</v>
      </c>
      <c r="L9" s="237">
        <f>COUNTIF(Sheet2!N7:N116,"&gt;="&amp;L8)</f>
        <v>0</v>
      </c>
      <c r="M9" s="237">
        <f>COUNTIF(Sheet2!O7:O116,"&gt;="&amp;M8)</f>
        <v>0</v>
      </c>
      <c r="N9" s="237">
        <f>COUNTIF(Sheet2!P7:P116,"&gt;="&amp;N8)</f>
        <v>0</v>
      </c>
      <c r="O9" s="238">
        <f>SUM(C9:H9)</f>
        <v>50</v>
      </c>
    </row>
    <row r="10" spans="2:15" ht="31.5" x14ac:dyDescent="0.25">
      <c r="B10" s="235" t="s">
        <v>236</v>
      </c>
      <c r="C10" s="237">
        <f>SUM('Stat-Rep'!J27:M27)</f>
        <v>9</v>
      </c>
      <c r="D10" s="237">
        <f>SUM('Stat-Rep'!J27:M27)</f>
        <v>9</v>
      </c>
      <c r="E10" s="237">
        <f>SUM('Stat-Rep'!J27:M27)</f>
        <v>9</v>
      </c>
      <c r="F10" s="237">
        <f>SUM('Stat-Rep'!J27:M27)</f>
        <v>9</v>
      </c>
      <c r="G10" s="237">
        <f>SUM('Stat-Rep'!J27:M27)</f>
        <v>9</v>
      </c>
      <c r="H10" s="237">
        <f>SUM('Stat-Rep'!J27:M27)</f>
        <v>9</v>
      </c>
      <c r="I10" s="237">
        <f>SUM('Stat-Rep'!J27:M27)</f>
        <v>9</v>
      </c>
      <c r="J10" s="237">
        <f>SUM('Stat-Rep'!J27:M27)</f>
        <v>9</v>
      </c>
      <c r="K10" s="237">
        <f>SUM('Stat-Rep'!J27:M27)</f>
        <v>9</v>
      </c>
      <c r="L10" s="237">
        <f>SUM('Stat-Rep'!J27:M27)</f>
        <v>9</v>
      </c>
      <c r="M10" s="237">
        <f>SUM('Stat-Rep'!J27:M27)</f>
        <v>9</v>
      </c>
      <c r="N10" s="237">
        <f>SUM('Stat-Rep'!J27:M27)</f>
        <v>9</v>
      </c>
      <c r="O10" s="238">
        <f>SUM(C10:H10)</f>
        <v>54</v>
      </c>
    </row>
    <row r="11" spans="2:15" ht="93" customHeight="1" x14ac:dyDescent="0.25">
      <c r="B11" s="235" t="s">
        <v>238</v>
      </c>
      <c r="C11" s="239">
        <f>C9/C10</f>
        <v>0.77777777777777779</v>
      </c>
      <c r="D11" s="239">
        <f t="shared" ref="D11:O11" si="0">D9/D10</f>
        <v>1</v>
      </c>
      <c r="E11" s="239">
        <f t="shared" si="0"/>
        <v>0.88888888888888884</v>
      </c>
      <c r="F11" s="239">
        <f t="shared" si="0"/>
        <v>0.88888888888888884</v>
      </c>
      <c r="G11" s="239">
        <f t="shared" si="0"/>
        <v>1</v>
      </c>
      <c r="H11" s="239">
        <f t="shared" si="0"/>
        <v>1</v>
      </c>
      <c r="I11" s="239">
        <f t="shared" si="0"/>
        <v>0</v>
      </c>
      <c r="J11" s="239">
        <f t="shared" si="0"/>
        <v>0</v>
      </c>
      <c r="K11" s="239">
        <f t="shared" si="0"/>
        <v>0</v>
      </c>
      <c r="L11" s="239">
        <f t="shared" si="0"/>
        <v>0</v>
      </c>
      <c r="M11" s="239">
        <f t="shared" si="0"/>
        <v>0</v>
      </c>
      <c r="N11" s="239">
        <f t="shared" si="0"/>
        <v>0</v>
      </c>
      <c r="O11" s="240">
        <f t="shared" si="0"/>
        <v>0.92592592592592593</v>
      </c>
    </row>
    <row r="12" spans="2:15" ht="47.25" customHeight="1" thickBot="1" x14ac:dyDescent="0.3">
      <c r="B12" s="241" t="s">
        <v>240</v>
      </c>
      <c r="C12" s="242">
        <v>1</v>
      </c>
      <c r="D12" s="242">
        <v>1</v>
      </c>
      <c r="E12" s="242">
        <v>1</v>
      </c>
      <c r="F12" s="242">
        <v>1</v>
      </c>
      <c r="G12" s="242">
        <v>1</v>
      </c>
      <c r="H12" s="242">
        <v>1</v>
      </c>
      <c r="I12" s="242">
        <v>1</v>
      </c>
      <c r="J12" s="242">
        <v>1</v>
      </c>
      <c r="K12" s="242">
        <v>1</v>
      </c>
      <c r="L12" s="242">
        <v>1</v>
      </c>
      <c r="M12" s="242">
        <v>1</v>
      </c>
      <c r="N12" s="242">
        <v>1</v>
      </c>
    </row>
  </sheetData>
  <pageMargins left="0.7" right="0.7" top="0.75" bottom="0.75" header="0.3" footer="0.3"/>
  <pageSetup scale="64" orientation="landscape" r:id="rId1"/>
  <rowBreaks count="1" manualBreakCount="1">
    <brk id="14" max="14" man="1"/>
  </rowBreaks>
  <colBreaks count="1" manualBreakCount="1">
    <brk id="14" max="56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Config</vt:lpstr>
      <vt:lpstr>StList</vt:lpstr>
      <vt:lpstr>Mid1</vt:lpstr>
      <vt:lpstr>Mid2</vt:lpstr>
      <vt:lpstr>quiz 1</vt:lpstr>
      <vt:lpstr>quiz 2</vt:lpstr>
      <vt:lpstr>Assignment or Proposal</vt:lpstr>
      <vt:lpstr>Poster or Presentation</vt:lpstr>
      <vt:lpstr>practical exam or OSCE</vt:lpstr>
      <vt:lpstr>Final exam</vt:lpstr>
      <vt:lpstr>Improvements</vt:lpstr>
      <vt:lpstr>Eval</vt:lpstr>
      <vt:lpstr>StSoMarks</vt:lpstr>
      <vt:lpstr>DetMarks</vt:lpstr>
      <vt:lpstr>Stat-Rep</vt:lpstr>
      <vt:lpstr>Sheet2</vt:lpstr>
      <vt:lpstr>criteia of success</vt:lpstr>
      <vt:lpstr>Config!Print_Area</vt:lpstr>
      <vt:lpstr>'criteia of success'!Print_Area</vt:lpstr>
      <vt:lpstr>DetMarks!Print_Area</vt:lpstr>
      <vt:lpstr>StList!Print_Area</vt:lpstr>
      <vt:lpstr>'Assignment or Proposal'!Print_Titles</vt:lpstr>
      <vt:lpstr>Config!Print_Titles</vt:lpstr>
      <vt:lpstr>DetMarks!Print_Titles</vt:lpstr>
      <vt:lpstr>'Final exam'!Print_Titles</vt:lpstr>
      <vt:lpstr>'Mid1'!Print_Titles</vt:lpstr>
      <vt:lpstr>'Mid2'!Print_Titles</vt:lpstr>
      <vt:lpstr>'Poster or Presentation'!Print_Titles</vt:lpstr>
      <vt:lpstr>'practical exam or OSCE'!Print_Titles</vt:lpstr>
      <vt:lpstr>'quiz 1'!Print_Titles</vt:lpstr>
      <vt:lpstr>'quiz 2'!Print_Titles</vt:lpstr>
      <vt:lpstr>StList!Print_Titles</vt:lpstr>
      <vt:lpstr>StSoMarks!Print_Titles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User;Dr Md Tanwir Athar</dc:creator>
  <cp:lastModifiedBy>TANWIR ATHAR</cp:lastModifiedBy>
  <cp:lastPrinted>2022-10-13T06:25:41Z</cp:lastPrinted>
  <dcterms:created xsi:type="dcterms:W3CDTF">2016-05-09T16:35:36Z</dcterms:created>
  <dcterms:modified xsi:type="dcterms:W3CDTF">2026-09-26T19:20:19Z</dcterms:modified>
</cp:coreProperties>
</file>