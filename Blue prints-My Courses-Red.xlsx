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fbd7cd8da16b086/1-Project-A/Delegated-Task/Modassir-Tanwir/All course details/"/>
    </mc:Choice>
  </mc:AlternateContent>
  <xr:revisionPtr revIDLastSave="70" documentId="13_ncr:1_{7953E472-5B40-48F4-A286-28BB7845BEEA}" xr6:coauthVersionLast="47" xr6:coauthVersionMax="47" xr10:uidLastSave="{BA22247A-97DD-4217-8175-DD6DBB7DB2C8}"/>
  <bookViews>
    <workbookView xWindow="-120" yWindow="-120" windowWidth="29040" windowHeight="15720" tabRatio="936" activeTab="6" xr2:uid="{00000000-000D-0000-FFFF-FFFF00000000}"/>
  </bookViews>
  <sheets>
    <sheet name="PLOs" sheetId="1" r:id="rId1"/>
    <sheet name="Program Matrix" sheetId="3" r:id="rId2"/>
    <sheet name="Name and Course code" sheetId="7" state="hidden" r:id="rId3"/>
    <sheet name="PHC201" sheetId="74" r:id="rId4"/>
    <sheet name="PHC250" sheetId="51" r:id="rId5"/>
    <sheet name="PHG301" sheetId="75" r:id="rId6"/>
    <sheet name="PHG350" sheetId="58" r:id="rId7"/>
    <sheet name="PHG401" sheetId="76" r:id="rId8"/>
    <sheet name="PHG450" sheetId="59" r:id="rId9"/>
    <sheet name="PHG402" sheetId="77" r:id="rId10"/>
    <sheet name="PHG460" sheetId="60" r:id="rId11"/>
    <sheet name="PHL402" sheetId="78" r:id="rId12"/>
    <sheet name="PHL451" sheetId="17" r:id="rId13"/>
    <sheet name="PHL403" sheetId="79" r:id="rId14"/>
    <sheet name="PHL452" sheetId="18" r:id="rId15"/>
    <sheet name="CS140" sheetId="65" r:id="rId16"/>
    <sheet name="ENG100" sheetId="66" r:id="rId17"/>
    <sheet name="MATH140" sheetId="67" r:id="rId18"/>
    <sheet name="SCS140" sheetId="68" r:id="rId19"/>
    <sheet name="STAT124" sheetId="69" r:id="rId20"/>
    <sheet name="BIOL111" sheetId="70" r:id="rId21"/>
    <sheet name="PHY115" sheetId="71" r:id="rId22"/>
    <sheet name="CHEM113" sheetId="50" r:id="rId23"/>
    <sheet name="PHT102" sheetId="72" r:id="rId24"/>
    <sheet name="ENG145" sheetId="73" r:id="rId25"/>
    <sheet name="PHT250" sheetId="19" r:id="rId26"/>
    <sheet name="PHL250" sheetId="12" r:id="rId27"/>
    <sheet name="PHSL115" sheetId="11" r:id="rId28"/>
    <sheet name="ANAT114" sheetId="10" r:id="rId29"/>
    <sheet name="PHT252" sheetId="20" r:id="rId30"/>
    <sheet name="PHL253" sheetId="13" r:id="rId31"/>
    <sheet name="PHL254" sheetId="64" r:id="rId32"/>
    <sheet name="PHC251" sheetId="52" r:id="rId33"/>
    <sheet name="TR250" sheetId="29" r:id="rId34"/>
    <sheet name="PHC252" sheetId="53" r:id="rId35"/>
    <sheet name="PHT350" sheetId="21" r:id="rId36"/>
    <sheet name="PHT351" sheetId="22" r:id="rId37"/>
    <sheet name="PHL350" sheetId="14" r:id="rId38"/>
    <sheet name="PHC350" sheetId="54" r:id="rId39"/>
    <sheet name="PHCL350" sheetId="30" r:id="rId40"/>
    <sheet name="PHCL357" sheetId="32" r:id="rId41"/>
    <sheet name="PHCL351" sheetId="31" r:id="rId42"/>
    <sheet name="PHL351" sheetId="15" r:id="rId43"/>
    <sheet name="PHC351" sheetId="55" r:id="rId44"/>
    <sheet name="PHCL354" sheetId="33" r:id="rId45"/>
    <sheet name="PHCL355" sheetId="35" r:id="rId46"/>
    <sheet name="PHCL356" sheetId="34" r:id="rId47"/>
    <sheet name="PHT352" sheetId="23" r:id="rId48"/>
    <sheet name="TR351" sheetId="43" r:id="rId49"/>
    <sheet name="PHT450" sheetId="24" r:id="rId50"/>
    <sheet name="PHCL450" sheetId="36" r:id="rId51"/>
    <sheet name="PHCL455" sheetId="38" r:id="rId52"/>
    <sheet name="PHCL451" sheetId="37" r:id="rId53"/>
    <sheet name="PHL450" sheetId="16" r:id="rId54"/>
    <sheet name="PHC450" sheetId="56" r:id="rId55"/>
    <sheet name="PHCL453" sheetId="42" r:id="rId56"/>
    <sheet name="PHT451" sheetId="25" r:id="rId57"/>
    <sheet name="PHCL460" sheetId="39" r:id="rId58"/>
    <sheet name="PHCL456" sheetId="41" r:id="rId59"/>
    <sheet name="PHCL461" sheetId="40" r:id="rId60"/>
    <sheet name="TR 450" sheetId="44" r:id="rId61"/>
    <sheet name="PHCL462" sheetId="49" r:id="rId62"/>
    <sheet name="PHCL463" sheetId="48" r:id="rId63"/>
    <sheet name="PHL460" sheetId="5" r:id="rId64"/>
    <sheet name="PHT460" sheetId="26" r:id="rId65"/>
    <sheet name="PHG463" sheetId="61" r:id="rId66"/>
    <sheet name="PHCL465" sheetId="45" r:id="rId67"/>
    <sheet name="PHCL464" sheetId="47" r:id="rId68"/>
    <sheet name="PHT465" sheetId="27" r:id="rId69"/>
    <sheet name="PHG465" sheetId="62" r:id="rId70"/>
    <sheet name="PHT490" sheetId="28" r:id="rId71"/>
    <sheet name="PHC495" sheetId="57" r:id="rId72"/>
    <sheet name="PHCL466" sheetId="46" r:id="rId73"/>
    <sheet name="PHARM450" sheetId="63" r:id="rId7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6" i="79" l="1"/>
  <c r="L56" i="79"/>
  <c r="L55" i="79" s="1"/>
  <c r="K56" i="79"/>
  <c r="K55" i="79" s="1"/>
  <c r="J56" i="79"/>
  <c r="I56" i="79"/>
  <c r="H56" i="79"/>
  <c r="H55" i="79" s="1"/>
  <c r="G56" i="79"/>
  <c r="G55" i="79" s="1"/>
  <c r="F56" i="79"/>
  <c r="N56" i="79" s="1"/>
  <c r="E56" i="79"/>
  <c r="D56" i="79"/>
  <c r="M55" i="79"/>
  <c r="J55" i="79"/>
  <c r="I55" i="79"/>
  <c r="F55" i="79"/>
  <c r="E55" i="79"/>
  <c r="N54" i="79"/>
  <c r="N53" i="79"/>
  <c r="N52" i="79"/>
  <c r="N51" i="79"/>
  <c r="N50" i="79"/>
  <c r="N49" i="79"/>
  <c r="N48" i="79"/>
  <c r="N47" i="79"/>
  <c r="M46" i="79"/>
  <c r="L46" i="79"/>
  <c r="K46" i="79"/>
  <c r="J46" i="79"/>
  <c r="I46" i="79"/>
  <c r="H46" i="79"/>
  <c r="G46" i="79"/>
  <c r="F46" i="79"/>
  <c r="E46" i="79"/>
  <c r="O42" i="79"/>
  <c r="N41" i="79"/>
  <c r="J41" i="79"/>
  <c r="F41" i="79"/>
  <c r="N40" i="79"/>
  <c r="M40" i="79"/>
  <c r="M41" i="79" s="1"/>
  <c r="L40" i="79"/>
  <c r="L41" i="79" s="1"/>
  <c r="K40" i="79"/>
  <c r="J40" i="79"/>
  <c r="I40" i="79"/>
  <c r="I41" i="79" s="1"/>
  <c r="H40" i="79"/>
  <c r="H41" i="79" s="1"/>
  <c r="G40" i="79"/>
  <c r="F40" i="79"/>
  <c r="E40" i="79"/>
  <c r="O40" i="79" s="1"/>
  <c r="O39" i="79"/>
  <c r="O38" i="79"/>
  <c r="O37" i="79"/>
  <c r="O36" i="79"/>
  <c r="O35" i="79"/>
  <c r="O34" i="79"/>
  <c r="O33" i="79"/>
  <c r="O32" i="79"/>
  <c r="O31" i="79"/>
  <c r="O30" i="79"/>
  <c r="O29" i="79"/>
  <c r="O28" i="79"/>
  <c r="O27" i="79"/>
  <c r="O26" i="79"/>
  <c r="N25" i="79"/>
  <c r="M25" i="79"/>
  <c r="L25" i="79"/>
  <c r="K25" i="79"/>
  <c r="J25" i="79"/>
  <c r="I25" i="79"/>
  <c r="H25" i="79"/>
  <c r="G25" i="79"/>
  <c r="F25" i="79"/>
  <c r="V19" i="79"/>
  <c r="U19" i="79"/>
  <c r="V18" i="79"/>
  <c r="U18" i="79"/>
  <c r="V17" i="79"/>
  <c r="U17" i="79"/>
  <c r="V15" i="79"/>
  <c r="U15" i="79"/>
  <c r="V14" i="79"/>
  <c r="U14" i="79"/>
  <c r="V13" i="79"/>
  <c r="U13" i="79"/>
  <c r="V12" i="79"/>
  <c r="U12" i="79"/>
  <c r="V11" i="79"/>
  <c r="U11" i="79"/>
  <c r="M56" i="78"/>
  <c r="L56" i="78"/>
  <c r="L55" i="78" s="1"/>
  <c r="K56" i="78"/>
  <c r="K55" i="78" s="1"/>
  <c r="J56" i="78"/>
  <c r="I56" i="78"/>
  <c r="H56" i="78"/>
  <c r="H55" i="78" s="1"/>
  <c r="G56" i="78"/>
  <c r="G55" i="78" s="1"/>
  <c r="F56" i="78"/>
  <c r="E56" i="78"/>
  <c r="N56" i="78" s="1"/>
  <c r="D56" i="78"/>
  <c r="M55" i="78"/>
  <c r="J55" i="78"/>
  <c r="I55" i="78"/>
  <c r="F55" i="78"/>
  <c r="E55" i="78"/>
  <c r="N54" i="78"/>
  <c r="N53" i="78"/>
  <c r="N52" i="78"/>
  <c r="N51" i="78"/>
  <c r="N50" i="78"/>
  <c r="N49" i="78"/>
  <c r="N48" i="78"/>
  <c r="N47" i="78"/>
  <c r="M46" i="78"/>
  <c r="L46" i="78"/>
  <c r="K46" i="78"/>
  <c r="J46" i="78"/>
  <c r="I46" i="78"/>
  <c r="H46" i="78"/>
  <c r="G46" i="78"/>
  <c r="F46" i="78"/>
  <c r="E46" i="78"/>
  <c r="O42" i="78"/>
  <c r="N41" i="78"/>
  <c r="J41" i="78"/>
  <c r="F41" i="78"/>
  <c r="N40" i="78"/>
  <c r="M40" i="78"/>
  <c r="M41" i="78" s="1"/>
  <c r="L40" i="78"/>
  <c r="L41" i="78" s="1"/>
  <c r="K40" i="78"/>
  <c r="J40" i="78"/>
  <c r="I40" i="78"/>
  <c r="I41" i="78" s="1"/>
  <c r="H40" i="78"/>
  <c r="H41" i="78" s="1"/>
  <c r="G40" i="78"/>
  <c r="F40" i="78"/>
  <c r="E40" i="78"/>
  <c r="O40" i="78" s="1"/>
  <c r="O39" i="78"/>
  <c r="O38" i="78"/>
  <c r="O37" i="78"/>
  <c r="O36" i="78"/>
  <c r="O35" i="78"/>
  <c r="O34" i="78"/>
  <c r="O33" i="78"/>
  <c r="O32" i="78"/>
  <c r="O31" i="78"/>
  <c r="O30" i="78"/>
  <c r="O29" i="78"/>
  <c r="O28" i="78"/>
  <c r="O27" i="78"/>
  <c r="O26" i="78"/>
  <c r="N25" i="78"/>
  <c r="M25" i="78"/>
  <c r="L25" i="78"/>
  <c r="K25" i="78"/>
  <c r="J25" i="78"/>
  <c r="I25" i="78"/>
  <c r="H25" i="78"/>
  <c r="G25" i="78"/>
  <c r="F25" i="78"/>
  <c r="V19" i="78"/>
  <c r="U19" i="78"/>
  <c r="V18" i="78"/>
  <c r="U18" i="78"/>
  <c r="V17" i="78"/>
  <c r="U17" i="78"/>
  <c r="V15" i="78"/>
  <c r="U15" i="78"/>
  <c r="V14" i="78"/>
  <c r="U14" i="78"/>
  <c r="V13" i="78"/>
  <c r="U13" i="78"/>
  <c r="V12" i="78"/>
  <c r="U12" i="78"/>
  <c r="V11" i="78"/>
  <c r="U11" i="78"/>
  <c r="M56" i="77"/>
  <c r="L56" i="77"/>
  <c r="L55" i="77" s="1"/>
  <c r="K56" i="77"/>
  <c r="K55" i="77" s="1"/>
  <c r="J56" i="77"/>
  <c r="I56" i="77"/>
  <c r="H56" i="77"/>
  <c r="H55" i="77" s="1"/>
  <c r="G56" i="77"/>
  <c r="G55" i="77" s="1"/>
  <c r="F56" i="77"/>
  <c r="N56" i="77" s="1"/>
  <c r="E56" i="77"/>
  <c r="D56" i="77"/>
  <c r="M55" i="77"/>
  <c r="J55" i="77"/>
  <c r="I55" i="77"/>
  <c r="F55" i="77"/>
  <c r="E55" i="77"/>
  <c r="N54" i="77"/>
  <c r="N53" i="77"/>
  <c r="N52" i="77"/>
  <c r="N51" i="77"/>
  <c r="N50" i="77"/>
  <c r="N49" i="77"/>
  <c r="N48" i="77"/>
  <c r="N47" i="77"/>
  <c r="M46" i="77"/>
  <c r="L46" i="77"/>
  <c r="K46" i="77"/>
  <c r="J46" i="77"/>
  <c r="I46" i="77"/>
  <c r="H46" i="77"/>
  <c r="G46" i="77"/>
  <c r="F46" i="77"/>
  <c r="E46" i="77"/>
  <c r="O42" i="77"/>
  <c r="N41" i="77"/>
  <c r="J41" i="77"/>
  <c r="F41" i="77"/>
  <c r="N40" i="77"/>
  <c r="M40" i="77"/>
  <c r="M41" i="77" s="1"/>
  <c r="L40" i="77"/>
  <c r="L41" i="77" s="1"/>
  <c r="K40" i="77"/>
  <c r="J40" i="77"/>
  <c r="I40" i="77"/>
  <c r="I41" i="77" s="1"/>
  <c r="H40" i="77"/>
  <c r="H41" i="77" s="1"/>
  <c r="G40" i="77"/>
  <c r="F40" i="77"/>
  <c r="E40" i="77"/>
  <c r="O40" i="77" s="1"/>
  <c r="O39" i="77"/>
  <c r="O38" i="77"/>
  <c r="O37" i="77"/>
  <c r="O36" i="77"/>
  <c r="O35" i="77"/>
  <c r="O34" i="77"/>
  <c r="O33" i="77"/>
  <c r="O32" i="77"/>
  <c r="O31" i="77"/>
  <c r="O30" i="77"/>
  <c r="O29" i="77"/>
  <c r="O28" i="77"/>
  <c r="O27" i="77"/>
  <c r="O26" i="77"/>
  <c r="N25" i="77"/>
  <c r="M25" i="77"/>
  <c r="L25" i="77"/>
  <c r="K25" i="77"/>
  <c r="J25" i="77"/>
  <c r="I25" i="77"/>
  <c r="H25" i="77"/>
  <c r="G25" i="77"/>
  <c r="F25" i="77"/>
  <c r="V19" i="77"/>
  <c r="U19" i="77"/>
  <c r="V18" i="77"/>
  <c r="U18" i="77"/>
  <c r="V17" i="77"/>
  <c r="U17" i="77"/>
  <c r="V15" i="77"/>
  <c r="U15" i="77"/>
  <c r="V14" i="77"/>
  <c r="U14" i="77"/>
  <c r="V13" i="77"/>
  <c r="U13" i="77"/>
  <c r="V12" i="77"/>
  <c r="U12" i="77"/>
  <c r="V11" i="77"/>
  <c r="U11" i="77"/>
  <c r="M56" i="76"/>
  <c r="L56" i="76"/>
  <c r="L55" i="76" s="1"/>
  <c r="K56" i="76"/>
  <c r="K55" i="76" s="1"/>
  <c r="J56" i="76"/>
  <c r="I56" i="76"/>
  <c r="H56" i="76"/>
  <c r="H55" i="76" s="1"/>
  <c r="G56" i="76"/>
  <c r="G55" i="76" s="1"/>
  <c r="F56" i="76"/>
  <c r="E56" i="76"/>
  <c r="N56" i="76" s="1"/>
  <c r="D56" i="76"/>
  <c r="M55" i="76"/>
  <c r="J55" i="76"/>
  <c r="I55" i="76"/>
  <c r="F55" i="76"/>
  <c r="E55" i="76"/>
  <c r="N54" i="76"/>
  <c r="N53" i="76"/>
  <c r="N52" i="76"/>
  <c r="N51" i="76"/>
  <c r="N50" i="76"/>
  <c r="N49" i="76"/>
  <c r="N48" i="76"/>
  <c r="N47" i="76"/>
  <c r="M46" i="76"/>
  <c r="L46" i="76"/>
  <c r="K46" i="76"/>
  <c r="J46" i="76"/>
  <c r="I46" i="76"/>
  <c r="H46" i="76"/>
  <c r="G46" i="76"/>
  <c r="F46" i="76"/>
  <c r="E46" i="76"/>
  <c r="O42" i="76"/>
  <c r="N41" i="76"/>
  <c r="J41" i="76"/>
  <c r="F41" i="76"/>
  <c r="N40" i="76"/>
  <c r="M40" i="76"/>
  <c r="M41" i="76" s="1"/>
  <c r="L40" i="76"/>
  <c r="L41" i="76" s="1"/>
  <c r="K40" i="76"/>
  <c r="J40" i="76"/>
  <c r="I40" i="76"/>
  <c r="I41" i="76" s="1"/>
  <c r="H40" i="76"/>
  <c r="H41" i="76" s="1"/>
  <c r="G40" i="76"/>
  <c r="F40" i="76"/>
  <c r="E40" i="76"/>
  <c r="O40" i="76" s="1"/>
  <c r="O39" i="76"/>
  <c r="O38" i="76"/>
  <c r="O37" i="76"/>
  <c r="O36" i="76"/>
  <c r="O35" i="76"/>
  <c r="O34" i="76"/>
  <c r="O33" i="76"/>
  <c r="O32" i="76"/>
  <c r="O31" i="76"/>
  <c r="O30" i="76"/>
  <c r="O29" i="76"/>
  <c r="O28" i="76"/>
  <c r="O27" i="76"/>
  <c r="O26" i="76"/>
  <c r="N25" i="76"/>
  <c r="M25" i="76"/>
  <c r="L25" i="76"/>
  <c r="K25" i="76"/>
  <c r="J25" i="76"/>
  <c r="I25" i="76"/>
  <c r="H25" i="76"/>
  <c r="G25" i="76"/>
  <c r="F25" i="76"/>
  <c r="V19" i="76"/>
  <c r="U19" i="76"/>
  <c r="V18" i="76"/>
  <c r="U18" i="76"/>
  <c r="V17" i="76"/>
  <c r="U17" i="76"/>
  <c r="V15" i="76"/>
  <c r="U15" i="76"/>
  <c r="V14" i="76"/>
  <c r="U14" i="76"/>
  <c r="V13" i="76"/>
  <c r="U13" i="76"/>
  <c r="V12" i="76"/>
  <c r="U12" i="76"/>
  <c r="V11" i="76"/>
  <c r="U11" i="76"/>
  <c r="M56" i="75"/>
  <c r="L56" i="75"/>
  <c r="L55" i="75" s="1"/>
  <c r="K56" i="75"/>
  <c r="K55" i="75" s="1"/>
  <c r="J56" i="75"/>
  <c r="I56" i="75"/>
  <c r="H56" i="75"/>
  <c r="H55" i="75" s="1"/>
  <c r="G56" i="75"/>
  <c r="G55" i="75" s="1"/>
  <c r="F56" i="75"/>
  <c r="E56" i="75"/>
  <c r="N56" i="75" s="1"/>
  <c r="D56" i="75"/>
  <c r="M55" i="75"/>
  <c r="J55" i="75"/>
  <c r="I55" i="75"/>
  <c r="F55" i="75"/>
  <c r="E55" i="75"/>
  <c r="N54" i="75"/>
  <c r="N53" i="75"/>
  <c r="N52" i="75"/>
  <c r="N51" i="75"/>
  <c r="N50" i="75"/>
  <c r="N49" i="75"/>
  <c r="N48" i="75"/>
  <c r="N47" i="75"/>
  <c r="M46" i="75"/>
  <c r="L46" i="75"/>
  <c r="K46" i="75"/>
  <c r="J46" i="75"/>
  <c r="I46" i="75"/>
  <c r="H46" i="75"/>
  <c r="G46" i="75"/>
  <c r="F46" i="75"/>
  <c r="E46" i="75"/>
  <c r="O42" i="75"/>
  <c r="N41" i="75"/>
  <c r="J41" i="75"/>
  <c r="F41" i="75"/>
  <c r="N40" i="75"/>
  <c r="M40" i="75"/>
  <c r="M41" i="75" s="1"/>
  <c r="L40" i="75"/>
  <c r="L41" i="75" s="1"/>
  <c r="K40" i="75"/>
  <c r="J40" i="75"/>
  <c r="I40" i="75"/>
  <c r="I41" i="75" s="1"/>
  <c r="H40" i="75"/>
  <c r="H41" i="75" s="1"/>
  <c r="G40" i="75"/>
  <c r="F40" i="75"/>
  <c r="E40" i="75"/>
  <c r="O40" i="75" s="1"/>
  <c r="O39" i="75"/>
  <c r="O38" i="75"/>
  <c r="O37" i="75"/>
  <c r="O36" i="75"/>
  <c r="O35" i="75"/>
  <c r="O34" i="75"/>
  <c r="O33" i="75"/>
  <c r="O32" i="75"/>
  <c r="O31" i="75"/>
  <c r="O30" i="75"/>
  <c r="O29" i="75"/>
  <c r="O28" i="75"/>
  <c r="O27" i="75"/>
  <c r="O26" i="75"/>
  <c r="N25" i="75"/>
  <c r="M25" i="75"/>
  <c r="L25" i="75"/>
  <c r="K25" i="75"/>
  <c r="J25" i="75"/>
  <c r="I25" i="75"/>
  <c r="H25" i="75"/>
  <c r="G25" i="75"/>
  <c r="F25" i="75"/>
  <c r="V19" i="75"/>
  <c r="U19" i="75"/>
  <c r="V18" i="75"/>
  <c r="U18" i="75"/>
  <c r="V17" i="75"/>
  <c r="U17" i="75"/>
  <c r="V15" i="75"/>
  <c r="U15" i="75"/>
  <c r="V14" i="75"/>
  <c r="U14" i="75"/>
  <c r="V13" i="75"/>
  <c r="U13" i="75"/>
  <c r="V12" i="75"/>
  <c r="U12" i="75"/>
  <c r="V11" i="75"/>
  <c r="U11" i="75"/>
  <c r="N56" i="74"/>
  <c r="M56" i="74"/>
  <c r="L56" i="74"/>
  <c r="K56" i="74"/>
  <c r="K55" i="74" s="1"/>
  <c r="J56" i="74"/>
  <c r="J55" i="74" s="1"/>
  <c r="I56" i="74"/>
  <c r="H56" i="74"/>
  <c r="G56" i="74"/>
  <c r="G55" i="74" s="1"/>
  <c r="F56" i="74"/>
  <c r="F55" i="74" s="1"/>
  <c r="E56" i="74"/>
  <c r="D56" i="74"/>
  <c r="M55" i="74"/>
  <c r="L55" i="74"/>
  <c r="I55" i="74"/>
  <c r="H55" i="74"/>
  <c r="E55" i="74"/>
  <c r="N54" i="74"/>
  <c r="N53" i="74"/>
  <c r="N52" i="74"/>
  <c r="N51" i="74"/>
  <c r="N50" i="74"/>
  <c r="N49" i="74"/>
  <c r="N48" i="74"/>
  <c r="N47" i="74"/>
  <c r="M46" i="74"/>
  <c r="L46" i="74"/>
  <c r="K46" i="74"/>
  <c r="J46" i="74"/>
  <c r="I46" i="74"/>
  <c r="H46" i="74"/>
  <c r="G46" i="74"/>
  <c r="F46" i="74"/>
  <c r="E46" i="74"/>
  <c r="O42" i="74"/>
  <c r="N41" i="74"/>
  <c r="M41" i="74"/>
  <c r="J41" i="74"/>
  <c r="I41" i="74"/>
  <c r="F41" i="74"/>
  <c r="N40" i="74"/>
  <c r="M40" i="74"/>
  <c r="L40" i="74"/>
  <c r="L41" i="74" s="1"/>
  <c r="K40" i="74"/>
  <c r="K41" i="74" s="1"/>
  <c r="J40" i="74"/>
  <c r="I40" i="74"/>
  <c r="H40" i="74"/>
  <c r="H41" i="74" s="1"/>
  <c r="G40" i="74"/>
  <c r="G41" i="74" s="1"/>
  <c r="F40" i="74"/>
  <c r="E40" i="74"/>
  <c r="O39" i="74"/>
  <c r="O38" i="74"/>
  <c r="O37" i="74"/>
  <c r="O36" i="74"/>
  <c r="O35" i="74"/>
  <c r="O34" i="74"/>
  <c r="O33" i="74"/>
  <c r="O32" i="74"/>
  <c r="O31" i="74"/>
  <c r="O30" i="74"/>
  <c r="O29" i="74"/>
  <c r="O28" i="74"/>
  <c r="O27" i="74"/>
  <c r="O26" i="74"/>
  <c r="N25" i="74"/>
  <c r="M25" i="74"/>
  <c r="L25" i="74"/>
  <c r="K25" i="74"/>
  <c r="J25" i="74"/>
  <c r="I25" i="74"/>
  <c r="H25" i="74"/>
  <c r="G25" i="74"/>
  <c r="F25" i="74"/>
  <c r="V19" i="74"/>
  <c r="U19" i="74"/>
  <c r="V18" i="74"/>
  <c r="U18" i="74"/>
  <c r="V17" i="74"/>
  <c r="U17" i="74"/>
  <c r="V15" i="74"/>
  <c r="U15" i="74"/>
  <c r="V14" i="74"/>
  <c r="U14" i="74"/>
  <c r="V13" i="74"/>
  <c r="U13" i="74"/>
  <c r="V12" i="74"/>
  <c r="U12" i="74"/>
  <c r="V11" i="74"/>
  <c r="U11" i="74"/>
  <c r="G41" i="79" l="1"/>
  <c r="O41" i="79" s="1"/>
  <c r="K41" i="79"/>
  <c r="G41" i="78"/>
  <c r="O41" i="78" s="1"/>
  <c r="K41" i="78"/>
  <c r="O41" i="77"/>
  <c r="G41" i="77"/>
  <c r="K41" i="77"/>
  <c r="O41" i="76"/>
  <c r="G41" i="76"/>
  <c r="K41" i="76"/>
  <c r="G41" i="75"/>
  <c r="O41" i="75" s="1"/>
  <c r="K41" i="75"/>
  <c r="O41" i="74"/>
  <c r="O40" i="74"/>
  <c r="H34" i="3" l="1"/>
  <c r="H33" i="3"/>
  <c r="I23" i="3"/>
  <c r="M21" i="3" l="1"/>
  <c r="I29" i="3" l="1"/>
  <c r="E29" i="3" l="1"/>
  <c r="I19" i="3" l="1"/>
  <c r="D38" i="3" l="1"/>
  <c r="O73" i="3" l="1"/>
  <c r="O72" i="3"/>
  <c r="O69" i="3"/>
  <c r="O64" i="3"/>
  <c r="O62" i="3"/>
  <c r="N59" i="3"/>
  <c r="N58" i="3"/>
  <c r="N42" i="3"/>
  <c r="N26" i="3"/>
  <c r="N16" i="3"/>
  <c r="N15" i="3"/>
  <c r="M39" i="3"/>
  <c r="M30" i="3"/>
  <c r="L59" i="3"/>
  <c r="K69" i="3"/>
  <c r="K67" i="3"/>
  <c r="K65" i="3"/>
  <c r="K22" i="3"/>
  <c r="J72" i="3"/>
  <c r="J71" i="3"/>
  <c r="J61" i="3"/>
  <c r="J58" i="3"/>
  <c r="I61" i="3"/>
  <c r="I46" i="3"/>
  <c r="I44" i="3"/>
  <c r="I37" i="3"/>
  <c r="I33" i="3"/>
  <c r="H68" i="3"/>
  <c r="H64" i="3"/>
  <c r="G68" i="3"/>
  <c r="G65" i="3"/>
  <c r="G59" i="3"/>
  <c r="G58" i="3"/>
  <c r="G35" i="3"/>
  <c r="E70" i="3"/>
  <c r="E69" i="3"/>
  <c r="E67" i="3"/>
  <c r="E63" i="3"/>
  <c r="E32" i="3"/>
  <c r="E23" i="3"/>
  <c r="E22" i="3"/>
  <c r="E20" i="3"/>
  <c r="E14" i="3"/>
  <c r="D71" i="3"/>
  <c r="D68" i="3"/>
  <c r="D64" i="3"/>
  <c r="F80" i="3"/>
  <c r="F26" i="3" s="1"/>
  <c r="G80" i="3"/>
  <c r="G33" i="3" s="1"/>
  <c r="H80" i="3"/>
  <c r="H31" i="3" s="1"/>
  <c r="I80" i="3"/>
  <c r="I14" i="3" s="1"/>
  <c r="J80" i="3"/>
  <c r="J15" i="3" s="1"/>
  <c r="K80" i="3"/>
  <c r="K28" i="3" s="1"/>
  <c r="L80" i="3"/>
  <c r="L9" i="3" s="1"/>
  <c r="M80" i="3"/>
  <c r="N80" i="3"/>
  <c r="O80" i="3"/>
  <c r="O35" i="3" s="1"/>
  <c r="F81" i="3"/>
  <c r="G81" i="3"/>
  <c r="H81" i="3"/>
  <c r="I81" i="3"/>
  <c r="I53" i="3" s="1"/>
  <c r="J81" i="3"/>
  <c r="J45" i="3" s="1"/>
  <c r="K81" i="3"/>
  <c r="K64" i="3" s="1"/>
  <c r="L81" i="3"/>
  <c r="M81" i="3"/>
  <c r="M34" i="3" s="1"/>
  <c r="N81" i="3"/>
  <c r="N57" i="3" s="1"/>
  <c r="O81" i="3"/>
  <c r="O45" i="3" s="1"/>
  <c r="F82" i="3"/>
  <c r="F67" i="3" s="1"/>
  <c r="G82" i="3"/>
  <c r="G60" i="3" s="1"/>
  <c r="H82" i="3"/>
  <c r="H61" i="3" s="1"/>
  <c r="I82" i="3"/>
  <c r="I73" i="3" s="1"/>
  <c r="J82" i="3"/>
  <c r="J73" i="3" s="1"/>
  <c r="K82" i="3"/>
  <c r="K71" i="3" s="1"/>
  <c r="L82" i="3"/>
  <c r="L70" i="3" s="1"/>
  <c r="M82" i="3"/>
  <c r="M70" i="3" s="1"/>
  <c r="N82" i="3"/>
  <c r="N72" i="3" s="1"/>
  <c r="O82" i="3"/>
  <c r="O66" i="3" s="1"/>
  <c r="E80" i="3"/>
  <c r="E18" i="3" s="1"/>
  <c r="E81" i="3"/>
  <c r="E30" i="3" s="1"/>
  <c r="E82" i="3"/>
  <c r="E62" i="3" s="1"/>
  <c r="D80" i="3"/>
  <c r="D22" i="3" s="1"/>
  <c r="D82" i="3"/>
  <c r="D66" i="3" s="1"/>
  <c r="M7" i="3" l="1"/>
  <c r="M17" i="3"/>
  <c r="M13" i="3"/>
  <c r="O21" i="3"/>
  <c r="G53" i="3"/>
  <c r="G38" i="3"/>
  <c r="O50" i="3"/>
  <c r="M41" i="3"/>
  <c r="I47" i="3"/>
  <c r="I36" i="3"/>
  <c r="G55" i="3"/>
  <c r="D7" i="3"/>
  <c r="D8" i="3"/>
  <c r="D10" i="3"/>
  <c r="D11" i="3"/>
  <c r="D16" i="3"/>
  <c r="D15" i="3"/>
  <c r="D19" i="3"/>
  <c r="D21" i="3"/>
  <c r="D24" i="3"/>
  <c r="F49" i="3"/>
  <c r="F39" i="3"/>
  <c r="L42" i="3"/>
  <c r="L55" i="3"/>
  <c r="L50" i="3"/>
  <c r="L27" i="3"/>
  <c r="L41" i="3"/>
  <c r="I48" i="3"/>
  <c r="I30" i="3"/>
  <c r="I32" i="3"/>
  <c r="I50" i="3"/>
  <c r="I51" i="3"/>
  <c r="F42" i="3"/>
  <c r="F52" i="3"/>
  <c r="F54" i="3"/>
  <c r="J16" i="3"/>
  <c r="N73" i="3"/>
  <c r="E37" i="3"/>
  <c r="G56" i="3"/>
  <c r="H46" i="3"/>
  <c r="I63" i="3"/>
  <c r="K35" i="3"/>
  <c r="M14" i="3"/>
  <c r="O53" i="3"/>
  <c r="D73" i="3"/>
  <c r="E41" i="3"/>
  <c r="F57" i="3"/>
  <c r="G40" i="3"/>
  <c r="H47" i="3"/>
  <c r="H71" i="3"/>
  <c r="I66" i="3"/>
  <c r="K43" i="3"/>
  <c r="N60" i="3"/>
  <c r="O54" i="3"/>
  <c r="E12" i="3"/>
  <c r="E25" i="3"/>
  <c r="E43" i="3"/>
  <c r="F58" i="3"/>
  <c r="G42" i="3"/>
  <c r="H36" i="3"/>
  <c r="H52" i="3"/>
  <c r="H72" i="3"/>
  <c r="I67" i="3"/>
  <c r="K51" i="3"/>
  <c r="M22" i="3"/>
  <c r="M45" i="3"/>
  <c r="N34" i="3"/>
  <c r="N64" i="3"/>
  <c r="O55" i="3"/>
  <c r="D17" i="3"/>
  <c r="D61" i="3"/>
  <c r="E13" i="3"/>
  <c r="E27" i="3"/>
  <c r="E48" i="3"/>
  <c r="F60" i="3"/>
  <c r="G44" i="3"/>
  <c r="H38" i="3"/>
  <c r="H54" i="3"/>
  <c r="I17" i="3"/>
  <c r="I49" i="3"/>
  <c r="I69" i="3"/>
  <c r="J66" i="3"/>
  <c r="K59" i="3"/>
  <c r="L26" i="3"/>
  <c r="L58" i="3"/>
  <c r="M25" i="3"/>
  <c r="M54" i="3"/>
  <c r="N35" i="3"/>
  <c r="N65" i="3"/>
  <c r="O39" i="3"/>
  <c r="O58" i="3"/>
  <c r="E49" i="3"/>
  <c r="F62" i="3"/>
  <c r="G46" i="3"/>
  <c r="H39" i="3"/>
  <c r="I18" i="3"/>
  <c r="I70" i="3"/>
  <c r="K60" i="3"/>
  <c r="M65" i="3"/>
  <c r="O42" i="3"/>
  <c r="H45" i="3"/>
  <c r="E28" i="3"/>
  <c r="H56" i="3"/>
  <c r="I20" i="3"/>
  <c r="N66" i="3"/>
  <c r="D65" i="3"/>
  <c r="E17" i="3"/>
  <c r="E51" i="3"/>
  <c r="E74" i="3" s="1"/>
  <c r="F45" i="3"/>
  <c r="F63" i="3"/>
  <c r="G52" i="3"/>
  <c r="H40" i="3"/>
  <c r="H57" i="3"/>
  <c r="I72" i="3"/>
  <c r="K62" i="3"/>
  <c r="M31" i="3"/>
  <c r="N50" i="3"/>
  <c r="N71" i="3"/>
  <c r="O43" i="3"/>
  <c r="D9" i="3"/>
  <c r="H23" i="3"/>
  <c r="H44" i="3"/>
  <c r="I28" i="3"/>
  <c r="I40" i="3"/>
  <c r="M12" i="3"/>
  <c r="N10" i="3"/>
  <c r="N74" i="3" s="1"/>
  <c r="L11" i="3"/>
  <c r="K26" i="3"/>
  <c r="K74" i="3" s="1"/>
  <c r="L13" i="3"/>
  <c r="L14" i="3"/>
  <c r="I24" i="3"/>
  <c r="L25" i="3"/>
  <c r="G15" i="3"/>
  <c r="H21" i="3"/>
  <c r="J8" i="3"/>
  <c r="O26" i="3"/>
  <c r="F21" i="3"/>
  <c r="G26" i="3"/>
  <c r="I11" i="3"/>
  <c r="J10" i="3"/>
  <c r="L7" i="3"/>
  <c r="J47" i="3"/>
  <c r="J34" i="3"/>
  <c r="J57" i="3"/>
  <c r="J39" i="3"/>
  <c r="J42" i="3"/>
  <c r="J31" i="3"/>
  <c r="J54" i="3"/>
  <c r="J35" i="3"/>
  <c r="J36" i="3"/>
  <c r="D81" i="3"/>
  <c r="M56" i="73"/>
  <c r="L56" i="73"/>
  <c r="L55" i="73" s="1"/>
  <c r="K56" i="73"/>
  <c r="K55" i="73" s="1"/>
  <c r="J56" i="73"/>
  <c r="J55" i="73" s="1"/>
  <c r="I56" i="73"/>
  <c r="I55" i="73" s="1"/>
  <c r="H56" i="73"/>
  <c r="G56" i="73"/>
  <c r="G55" i="73" s="1"/>
  <c r="F56" i="73"/>
  <c r="E56" i="73"/>
  <c r="D56" i="73"/>
  <c r="M55" i="73"/>
  <c r="H55" i="73"/>
  <c r="E55" i="73"/>
  <c r="N54" i="73"/>
  <c r="N53" i="73"/>
  <c r="N52" i="73"/>
  <c r="N51" i="73"/>
  <c r="N50" i="73"/>
  <c r="N49" i="73"/>
  <c r="N48" i="73"/>
  <c r="N47" i="73"/>
  <c r="M46" i="73"/>
  <c r="L46" i="73"/>
  <c r="K46" i="73"/>
  <c r="J46" i="73"/>
  <c r="I46" i="73"/>
  <c r="H46" i="73"/>
  <c r="G46" i="73"/>
  <c r="F46" i="73"/>
  <c r="E46" i="73"/>
  <c r="O42" i="73"/>
  <c r="N40" i="73"/>
  <c r="M40" i="73"/>
  <c r="L40" i="73"/>
  <c r="K40" i="73"/>
  <c r="J40" i="73"/>
  <c r="I40" i="73"/>
  <c r="H40" i="73"/>
  <c r="G40" i="73"/>
  <c r="F40" i="73"/>
  <c r="E40" i="73"/>
  <c r="O39" i="73"/>
  <c r="O38" i="73"/>
  <c r="O37" i="73"/>
  <c r="O36" i="73"/>
  <c r="O35" i="73"/>
  <c r="O34" i="73"/>
  <c r="O33" i="73"/>
  <c r="O32" i="73"/>
  <c r="O31" i="73"/>
  <c r="O30" i="73"/>
  <c r="O29" i="73"/>
  <c r="O28" i="73"/>
  <c r="O27" i="73"/>
  <c r="O26" i="73"/>
  <c r="N25" i="73"/>
  <c r="M25" i="73"/>
  <c r="L25" i="73"/>
  <c r="K25" i="73"/>
  <c r="J25" i="73"/>
  <c r="I25" i="73"/>
  <c r="H25" i="73"/>
  <c r="G25" i="73"/>
  <c r="F25" i="73"/>
  <c r="V19" i="73"/>
  <c r="U19" i="73"/>
  <c r="V18" i="73"/>
  <c r="U18" i="73"/>
  <c r="V17" i="73"/>
  <c r="U17" i="73"/>
  <c r="V15" i="73"/>
  <c r="U15" i="73"/>
  <c r="V14" i="73"/>
  <c r="U14" i="73"/>
  <c r="V13" i="73"/>
  <c r="U13" i="73"/>
  <c r="V12" i="73"/>
  <c r="U12" i="73"/>
  <c r="V11" i="73"/>
  <c r="U11" i="73"/>
  <c r="M56" i="72"/>
  <c r="L56" i="72"/>
  <c r="K56" i="72"/>
  <c r="J56" i="72"/>
  <c r="J55" i="72" s="1"/>
  <c r="I56" i="72"/>
  <c r="I55" i="72" s="1"/>
  <c r="H56" i="72"/>
  <c r="G56" i="72"/>
  <c r="F56" i="72"/>
  <c r="E56" i="72"/>
  <c r="E55" i="72" s="1"/>
  <c r="D56" i="72"/>
  <c r="M55" i="72"/>
  <c r="L55" i="72"/>
  <c r="K55" i="72"/>
  <c r="H55" i="72"/>
  <c r="G55" i="72"/>
  <c r="N54" i="72"/>
  <c r="N53" i="72"/>
  <c r="N52" i="72"/>
  <c r="N51" i="72"/>
  <c r="N50" i="72"/>
  <c r="N49" i="72"/>
  <c r="N48" i="72"/>
  <c r="N47" i="72"/>
  <c r="M46" i="72"/>
  <c r="L46" i="72"/>
  <c r="K46" i="72"/>
  <c r="J46" i="72"/>
  <c r="I46" i="72"/>
  <c r="H46" i="72"/>
  <c r="G46" i="72"/>
  <c r="F46" i="72"/>
  <c r="E46" i="72"/>
  <c r="O42" i="72"/>
  <c r="N40" i="72"/>
  <c r="M40" i="72"/>
  <c r="L40" i="72"/>
  <c r="K40" i="72"/>
  <c r="J40" i="72"/>
  <c r="I40" i="72"/>
  <c r="I41" i="72" s="1"/>
  <c r="H40" i="72"/>
  <c r="G40" i="72"/>
  <c r="G41" i="72" s="1"/>
  <c r="F40" i="72"/>
  <c r="E40" i="72"/>
  <c r="O39" i="72"/>
  <c r="O38" i="72"/>
  <c r="O37" i="72"/>
  <c r="O36" i="72"/>
  <c r="O35" i="72"/>
  <c r="O34" i="72"/>
  <c r="O33" i="72"/>
  <c r="O32" i="72"/>
  <c r="O31" i="72"/>
  <c r="O30" i="72"/>
  <c r="O29" i="72"/>
  <c r="O28" i="72"/>
  <c r="O27" i="72"/>
  <c r="O26" i="72"/>
  <c r="N25" i="72"/>
  <c r="M25" i="72"/>
  <c r="L25" i="72"/>
  <c r="K25" i="72"/>
  <c r="J25" i="72"/>
  <c r="I25" i="72"/>
  <c r="H25" i="72"/>
  <c r="G25" i="72"/>
  <c r="F25" i="72"/>
  <c r="V19" i="72"/>
  <c r="U19" i="72"/>
  <c r="V18" i="72"/>
  <c r="U18" i="72"/>
  <c r="V17" i="72"/>
  <c r="U17" i="72"/>
  <c r="V15" i="72"/>
  <c r="U15" i="72"/>
  <c r="V14" i="72"/>
  <c r="U14" i="72"/>
  <c r="V13" i="72"/>
  <c r="U13" i="72"/>
  <c r="V12" i="72"/>
  <c r="U12" i="72"/>
  <c r="V11" i="72"/>
  <c r="U11" i="72"/>
  <c r="M56" i="71"/>
  <c r="L56" i="71"/>
  <c r="K56" i="71"/>
  <c r="J56" i="71"/>
  <c r="I56" i="71"/>
  <c r="H56" i="71"/>
  <c r="H55" i="71" s="1"/>
  <c r="G56" i="71"/>
  <c r="G55" i="71" s="1"/>
  <c r="F56" i="71"/>
  <c r="F55" i="71" s="1"/>
  <c r="E56" i="71"/>
  <c r="E55" i="71" s="1"/>
  <c r="D56" i="71"/>
  <c r="M55" i="71"/>
  <c r="L55" i="71"/>
  <c r="K55" i="71"/>
  <c r="J55" i="71"/>
  <c r="I55" i="71"/>
  <c r="N54" i="71"/>
  <c r="N53" i="71"/>
  <c r="N52" i="71"/>
  <c r="N51" i="71"/>
  <c r="N50" i="71"/>
  <c r="N49" i="71"/>
  <c r="N48" i="71"/>
  <c r="N47" i="71"/>
  <c r="M46" i="71"/>
  <c r="L46" i="71"/>
  <c r="K46" i="71"/>
  <c r="J46" i="71"/>
  <c r="I46" i="71"/>
  <c r="H46" i="71"/>
  <c r="G46" i="71"/>
  <c r="F46" i="71"/>
  <c r="E46" i="71"/>
  <c r="O42" i="71"/>
  <c r="N40" i="71"/>
  <c r="M40" i="71"/>
  <c r="L40" i="71"/>
  <c r="K40" i="71"/>
  <c r="J40" i="71"/>
  <c r="I40" i="71"/>
  <c r="H40" i="71"/>
  <c r="G40" i="71"/>
  <c r="F40" i="71"/>
  <c r="E40" i="71"/>
  <c r="N41" i="71" s="1"/>
  <c r="O39" i="71"/>
  <c r="O38" i="71"/>
  <c r="O37" i="71"/>
  <c r="O36" i="71"/>
  <c r="O35" i="71"/>
  <c r="O34" i="71"/>
  <c r="O33" i="71"/>
  <c r="O32" i="71"/>
  <c r="O31" i="71"/>
  <c r="O30" i="71"/>
  <c r="O29" i="71"/>
  <c r="O28" i="71"/>
  <c r="O27" i="71"/>
  <c r="O26" i="71"/>
  <c r="N25" i="71"/>
  <c r="M25" i="71"/>
  <c r="L25" i="71"/>
  <c r="K25" i="71"/>
  <c r="J25" i="71"/>
  <c r="I25" i="71"/>
  <c r="H25" i="71"/>
  <c r="G25" i="71"/>
  <c r="F25" i="71"/>
  <c r="V19" i="71"/>
  <c r="U19" i="71"/>
  <c r="V18" i="71"/>
  <c r="U18" i="71"/>
  <c r="V17" i="71"/>
  <c r="U17" i="71"/>
  <c r="V15" i="71"/>
  <c r="U15" i="71"/>
  <c r="V14" i="71"/>
  <c r="U14" i="71"/>
  <c r="V13" i="71"/>
  <c r="U13" i="71"/>
  <c r="V12" i="71"/>
  <c r="U12" i="71"/>
  <c r="V11" i="71"/>
  <c r="U11" i="71"/>
  <c r="M56" i="70"/>
  <c r="L56" i="70"/>
  <c r="K56" i="70"/>
  <c r="J56" i="70"/>
  <c r="I56" i="70"/>
  <c r="I55" i="70" s="1"/>
  <c r="H56" i="70"/>
  <c r="H55" i="70" s="1"/>
  <c r="G56" i="70"/>
  <c r="G55" i="70" s="1"/>
  <c r="F56" i="70"/>
  <c r="E56" i="70"/>
  <c r="D56" i="70"/>
  <c r="M55" i="70"/>
  <c r="L55" i="70"/>
  <c r="K55" i="70"/>
  <c r="J55" i="70"/>
  <c r="E55" i="70"/>
  <c r="N54" i="70"/>
  <c r="N53" i="70"/>
  <c r="N52" i="70"/>
  <c r="N51" i="70"/>
  <c r="N50" i="70"/>
  <c r="N49" i="70"/>
  <c r="N48" i="70"/>
  <c r="N47" i="70"/>
  <c r="M46" i="70"/>
  <c r="L46" i="70"/>
  <c r="K46" i="70"/>
  <c r="J46" i="70"/>
  <c r="I46" i="70"/>
  <c r="H46" i="70"/>
  <c r="G46" i="70"/>
  <c r="F46" i="70"/>
  <c r="E46" i="70"/>
  <c r="O42" i="70"/>
  <c r="N40" i="70"/>
  <c r="M40" i="70"/>
  <c r="L40" i="70"/>
  <c r="K40" i="70"/>
  <c r="J40" i="70"/>
  <c r="I40" i="70"/>
  <c r="H40" i="70"/>
  <c r="G40" i="70"/>
  <c r="O40" i="70" s="1"/>
  <c r="F40" i="70"/>
  <c r="E40" i="70"/>
  <c r="N41" i="70" s="1"/>
  <c r="O39" i="70"/>
  <c r="O38" i="70"/>
  <c r="O37" i="70"/>
  <c r="O36" i="70"/>
  <c r="O35" i="70"/>
  <c r="O34" i="70"/>
  <c r="O33" i="70"/>
  <c r="O32" i="70"/>
  <c r="O31" i="70"/>
  <c r="O30" i="70"/>
  <c r="O29" i="70"/>
  <c r="O28" i="70"/>
  <c r="O27" i="70"/>
  <c r="O26" i="70"/>
  <c r="N25" i="70"/>
  <c r="M25" i="70"/>
  <c r="L25" i="70"/>
  <c r="K25" i="70"/>
  <c r="J25" i="70"/>
  <c r="I25" i="70"/>
  <c r="H25" i="70"/>
  <c r="G25" i="70"/>
  <c r="F25" i="70"/>
  <c r="V19" i="70"/>
  <c r="U19" i="70"/>
  <c r="V18" i="70"/>
  <c r="U18" i="70"/>
  <c r="V17" i="70"/>
  <c r="U17" i="70"/>
  <c r="V15" i="70"/>
  <c r="U15" i="70"/>
  <c r="V14" i="70"/>
  <c r="U14" i="70"/>
  <c r="V13" i="70"/>
  <c r="U13" i="70"/>
  <c r="V12" i="70"/>
  <c r="U12" i="70"/>
  <c r="V11" i="70"/>
  <c r="U11" i="70"/>
  <c r="M56" i="69"/>
  <c r="L56" i="69"/>
  <c r="K56" i="69"/>
  <c r="K55" i="69" s="1"/>
  <c r="J56" i="69"/>
  <c r="J55" i="69" s="1"/>
  <c r="I56" i="69"/>
  <c r="I55" i="69" s="1"/>
  <c r="H56" i="69"/>
  <c r="H55" i="69" s="1"/>
  <c r="G56" i="69"/>
  <c r="G55" i="69" s="1"/>
  <c r="F56" i="69"/>
  <c r="F55" i="69" s="1"/>
  <c r="E56" i="69"/>
  <c r="D56" i="69"/>
  <c r="M55" i="69"/>
  <c r="L55" i="69"/>
  <c r="N54" i="69"/>
  <c r="N53" i="69"/>
  <c r="N52" i="69"/>
  <c r="N51" i="69"/>
  <c r="N50" i="69"/>
  <c r="N49" i="69"/>
  <c r="N48" i="69"/>
  <c r="N47" i="69"/>
  <c r="M46" i="69"/>
  <c r="L46" i="69"/>
  <c r="K46" i="69"/>
  <c r="J46" i="69"/>
  <c r="I46" i="69"/>
  <c r="H46" i="69"/>
  <c r="G46" i="69"/>
  <c r="F46" i="69"/>
  <c r="E46" i="69"/>
  <c r="O42" i="69"/>
  <c r="N41" i="69"/>
  <c r="F41" i="69"/>
  <c r="N40" i="69"/>
  <c r="M40" i="69"/>
  <c r="M41" i="69" s="1"/>
  <c r="L40" i="69"/>
  <c r="L41" i="69" s="1"/>
  <c r="K40" i="69"/>
  <c r="J40" i="69"/>
  <c r="I40" i="69"/>
  <c r="I41" i="69" s="1"/>
  <c r="H40" i="69"/>
  <c r="H41" i="69" s="1"/>
  <c r="G40" i="69"/>
  <c r="G41" i="69" s="1"/>
  <c r="F40" i="69"/>
  <c r="E40" i="69"/>
  <c r="J41" i="69" s="1"/>
  <c r="O39" i="69"/>
  <c r="O38" i="69"/>
  <c r="O37" i="69"/>
  <c r="O36" i="69"/>
  <c r="O35" i="69"/>
  <c r="O34" i="69"/>
  <c r="O33" i="69"/>
  <c r="O32" i="69"/>
  <c r="O31" i="69"/>
  <c r="O30" i="69"/>
  <c r="O29" i="69"/>
  <c r="O28" i="69"/>
  <c r="O27" i="69"/>
  <c r="O26" i="69"/>
  <c r="N25" i="69"/>
  <c r="M25" i="69"/>
  <c r="L25" i="69"/>
  <c r="K25" i="69"/>
  <c r="J25" i="69"/>
  <c r="I25" i="69"/>
  <c r="H25" i="69"/>
  <c r="G25" i="69"/>
  <c r="F25" i="69"/>
  <c r="V19" i="69"/>
  <c r="U19" i="69"/>
  <c r="V18" i="69"/>
  <c r="U18" i="69"/>
  <c r="V17" i="69"/>
  <c r="U17" i="69"/>
  <c r="V15" i="69"/>
  <c r="U15" i="69"/>
  <c r="V14" i="69"/>
  <c r="U14" i="69"/>
  <c r="V13" i="69"/>
  <c r="U13" i="69"/>
  <c r="V12" i="69"/>
  <c r="U12" i="69"/>
  <c r="V11" i="69"/>
  <c r="U11" i="69"/>
  <c r="M56" i="68"/>
  <c r="M55" i="68" s="1"/>
  <c r="L56" i="68"/>
  <c r="K56" i="68"/>
  <c r="K55" i="68" s="1"/>
  <c r="J56" i="68"/>
  <c r="J55" i="68" s="1"/>
  <c r="I56" i="68"/>
  <c r="I55" i="68" s="1"/>
  <c r="H56" i="68"/>
  <c r="H55" i="68" s="1"/>
  <c r="G56" i="68"/>
  <c r="F56" i="68"/>
  <c r="F55" i="68" s="1"/>
  <c r="E56" i="68"/>
  <c r="D56" i="68"/>
  <c r="L55" i="68"/>
  <c r="G55" i="68"/>
  <c r="N54" i="68"/>
  <c r="N53" i="68"/>
  <c r="N52" i="68"/>
  <c r="N51" i="68"/>
  <c r="N50" i="68"/>
  <c r="N49" i="68"/>
  <c r="N48" i="68"/>
  <c r="N47" i="68"/>
  <c r="M46" i="68"/>
  <c r="L46" i="68"/>
  <c r="K46" i="68"/>
  <c r="J46" i="68"/>
  <c r="I46" i="68"/>
  <c r="H46" i="68"/>
  <c r="G46" i="68"/>
  <c r="F46" i="68"/>
  <c r="E46" i="68"/>
  <c r="O42" i="68"/>
  <c r="M41" i="68"/>
  <c r="I41" i="68"/>
  <c r="N40" i="68"/>
  <c r="M40" i="68"/>
  <c r="L40" i="68"/>
  <c r="L41" i="68" s="1"/>
  <c r="K40" i="68"/>
  <c r="K41" i="68" s="1"/>
  <c r="J40" i="68"/>
  <c r="J41" i="68" s="1"/>
  <c r="I40" i="68"/>
  <c r="H40" i="68"/>
  <c r="H41" i="68" s="1"/>
  <c r="G40" i="68"/>
  <c r="G41" i="68" s="1"/>
  <c r="F40" i="68"/>
  <c r="E40" i="68"/>
  <c r="O39" i="68"/>
  <c r="O38" i="68"/>
  <c r="O37" i="68"/>
  <c r="O36" i="68"/>
  <c r="O35" i="68"/>
  <c r="O34" i="68"/>
  <c r="O33" i="68"/>
  <c r="O32" i="68"/>
  <c r="O31" i="68"/>
  <c r="O30" i="68"/>
  <c r="O29" i="68"/>
  <c r="O28" i="68"/>
  <c r="O27" i="68"/>
  <c r="O26" i="68"/>
  <c r="N25" i="68"/>
  <c r="M25" i="68"/>
  <c r="L25" i="68"/>
  <c r="K25" i="68"/>
  <c r="J25" i="68"/>
  <c r="I25" i="68"/>
  <c r="H25" i="68"/>
  <c r="G25" i="68"/>
  <c r="F25" i="68"/>
  <c r="V19" i="68"/>
  <c r="U19" i="68"/>
  <c r="V18" i="68"/>
  <c r="U18" i="68"/>
  <c r="V17" i="68"/>
  <c r="U17" i="68"/>
  <c r="V15" i="68"/>
  <c r="U15" i="68"/>
  <c r="V14" i="68"/>
  <c r="U14" i="68"/>
  <c r="V13" i="68"/>
  <c r="U13" i="68"/>
  <c r="V12" i="68"/>
  <c r="U12" i="68"/>
  <c r="V11" i="68"/>
  <c r="U11" i="68"/>
  <c r="M56" i="67"/>
  <c r="M55" i="67" s="1"/>
  <c r="L56" i="67"/>
  <c r="K56" i="67"/>
  <c r="J56" i="67"/>
  <c r="I56" i="67"/>
  <c r="H56" i="67"/>
  <c r="G56" i="67"/>
  <c r="G55" i="67" s="1"/>
  <c r="F56" i="67"/>
  <c r="F55" i="67" s="1"/>
  <c r="E56" i="67"/>
  <c r="D56" i="67"/>
  <c r="L55" i="67"/>
  <c r="K55" i="67"/>
  <c r="J55" i="67"/>
  <c r="I55" i="67"/>
  <c r="H55" i="67"/>
  <c r="N54" i="67"/>
  <c r="N53" i="67"/>
  <c r="N52" i="67"/>
  <c r="N51" i="67"/>
  <c r="N50" i="67"/>
  <c r="N49" i="67"/>
  <c r="N48" i="67"/>
  <c r="N47" i="67"/>
  <c r="M46" i="67"/>
  <c r="L46" i="67"/>
  <c r="K46" i="67"/>
  <c r="J46" i="67"/>
  <c r="I46" i="67"/>
  <c r="H46" i="67"/>
  <c r="G46" i="67"/>
  <c r="F46" i="67"/>
  <c r="E46" i="67"/>
  <c r="O42" i="67"/>
  <c r="N40" i="67"/>
  <c r="M40" i="67"/>
  <c r="L40" i="67"/>
  <c r="K40" i="67"/>
  <c r="J40" i="67"/>
  <c r="I40" i="67"/>
  <c r="H40" i="67"/>
  <c r="G40" i="67"/>
  <c r="F40" i="67"/>
  <c r="E40" i="67"/>
  <c r="I41" i="67" s="1"/>
  <c r="O39" i="67"/>
  <c r="O38" i="67"/>
  <c r="O37" i="67"/>
  <c r="O36" i="67"/>
  <c r="O35" i="67"/>
  <c r="O34" i="67"/>
  <c r="O33" i="67"/>
  <c r="O32" i="67"/>
  <c r="O31" i="67"/>
  <c r="O30" i="67"/>
  <c r="O29" i="67"/>
  <c r="O28" i="67"/>
  <c r="O27" i="67"/>
  <c r="O26" i="67"/>
  <c r="N25" i="67"/>
  <c r="M25" i="67"/>
  <c r="L25" i="67"/>
  <c r="K25" i="67"/>
  <c r="J25" i="67"/>
  <c r="I25" i="67"/>
  <c r="H25" i="67"/>
  <c r="G25" i="67"/>
  <c r="F25" i="67"/>
  <c r="V19" i="67"/>
  <c r="U19" i="67"/>
  <c r="V18" i="67"/>
  <c r="U18" i="67"/>
  <c r="V17" i="67"/>
  <c r="U17" i="67"/>
  <c r="V15" i="67"/>
  <c r="U15" i="67"/>
  <c r="V14" i="67"/>
  <c r="U14" i="67"/>
  <c r="V13" i="67"/>
  <c r="U13" i="67"/>
  <c r="V12" i="67"/>
  <c r="U12" i="67"/>
  <c r="V11" i="67"/>
  <c r="U11" i="67"/>
  <c r="M56" i="66"/>
  <c r="L56" i="66"/>
  <c r="K56" i="66"/>
  <c r="K55" i="66" s="1"/>
  <c r="J56" i="66"/>
  <c r="I56" i="66"/>
  <c r="I55" i="66" s="1"/>
  <c r="H56" i="66"/>
  <c r="H55" i="66" s="1"/>
  <c r="G56" i="66"/>
  <c r="G55" i="66" s="1"/>
  <c r="F56" i="66"/>
  <c r="E56" i="66"/>
  <c r="D56" i="66"/>
  <c r="M55" i="66"/>
  <c r="L55" i="66"/>
  <c r="J55" i="66"/>
  <c r="E55" i="66"/>
  <c r="N54" i="66"/>
  <c r="N53" i="66"/>
  <c r="N52" i="66"/>
  <c r="N51" i="66"/>
  <c r="N50" i="66"/>
  <c r="N49" i="66"/>
  <c r="N48" i="66"/>
  <c r="N47" i="66"/>
  <c r="M46" i="66"/>
  <c r="L46" i="66"/>
  <c r="K46" i="66"/>
  <c r="J46" i="66"/>
  <c r="I46" i="66"/>
  <c r="H46" i="66"/>
  <c r="G46" i="66"/>
  <c r="F46" i="66"/>
  <c r="E46" i="66"/>
  <c r="O42" i="66"/>
  <c r="N40" i="66"/>
  <c r="M40" i="66"/>
  <c r="L40" i="66"/>
  <c r="K40" i="66"/>
  <c r="J40" i="66"/>
  <c r="I40" i="66"/>
  <c r="H40" i="66"/>
  <c r="G40" i="66"/>
  <c r="F40" i="66"/>
  <c r="E40" i="66"/>
  <c r="N41" i="66" s="1"/>
  <c r="O39" i="66"/>
  <c r="O38" i="66"/>
  <c r="O37" i="66"/>
  <c r="O36" i="66"/>
  <c r="O35" i="66"/>
  <c r="O34" i="66"/>
  <c r="O33" i="66"/>
  <c r="O32" i="66"/>
  <c r="O31" i="66"/>
  <c r="O30" i="66"/>
  <c r="O29" i="66"/>
  <c r="O28" i="66"/>
  <c r="O27" i="66"/>
  <c r="O26" i="66"/>
  <c r="N25" i="66"/>
  <c r="M25" i="66"/>
  <c r="L25" i="66"/>
  <c r="K25" i="66"/>
  <c r="J25" i="66"/>
  <c r="I25" i="66"/>
  <c r="H25" i="66"/>
  <c r="G25" i="66"/>
  <c r="F25" i="66"/>
  <c r="V19" i="66"/>
  <c r="U19" i="66"/>
  <c r="V18" i="66"/>
  <c r="U18" i="66"/>
  <c r="V17" i="66"/>
  <c r="U17" i="66"/>
  <c r="V15" i="66"/>
  <c r="U15" i="66"/>
  <c r="V14" i="66"/>
  <c r="U14" i="66"/>
  <c r="V13" i="66"/>
  <c r="U13" i="66"/>
  <c r="V12" i="66"/>
  <c r="U12" i="66"/>
  <c r="V11" i="66"/>
  <c r="U11" i="66"/>
  <c r="M56" i="65"/>
  <c r="L56" i="65"/>
  <c r="K56" i="65"/>
  <c r="J56" i="65"/>
  <c r="J55" i="65" s="1"/>
  <c r="I56" i="65"/>
  <c r="I55" i="65" s="1"/>
  <c r="H56" i="65"/>
  <c r="G56" i="65"/>
  <c r="F56" i="65"/>
  <c r="E56" i="65"/>
  <c r="D56" i="65"/>
  <c r="M55" i="65"/>
  <c r="L55" i="65"/>
  <c r="K55" i="65"/>
  <c r="H55" i="65"/>
  <c r="G55" i="65"/>
  <c r="E55" i="65"/>
  <c r="N54" i="65"/>
  <c r="N53" i="65"/>
  <c r="N52" i="65"/>
  <c r="N51" i="65"/>
  <c r="N50" i="65"/>
  <c r="N49" i="65"/>
  <c r="N48" i="65"/>
  <c r="N47" i="65"/>
  <c r="M46" i="65"/>
  <c r="L46" i="65"/>
  <c r="K46" i="65"/>
  <c r="J46" i="65"/>
  <c r="I46" i="65"/>
  <c r="H46" i="65"/>
  <c r="G46" i="65"/>
  <c r="F46" i="65"/>
  <c r="E46" i="65"/>
  <c r="O42" i="65"/>
  <c r="N40" i="65"/>
  <c r="M40" i="65"/>
  <c r="L40" i="65"/>
  <c r="K40" i="65"/>
  <c r="J40" i="65"/>
  <c r="I40" i="65"/>
  <c r="H40" i="65"/>
  <c r="G40" i="65"/>
  <c r="F40" i="65"/>
  <c r="E40" i="65"/>
  <c r="O39" i="65"/>
  <c r="O38" i="65"/>
  <c r="O37" i="65"/>
  <c r="O36" i="65"/>
  <c r="O35" i="65"/>
  <c r="O34" i="65"/>
  <c r="O33" i="65"/>
  <c r="O32" i="65"/>
  <c r="O31" i="65"/>
  <c r="O30" i="65"/>
  <c r="O29" i="65"/>
  <c r="O28" i="65"/>
  <c r="O27" i="65"/>
  <c r="O26" i="65"/>
  <c r="N25" i="65"/>
  <c r="M25" i="65"/>
  <c r="L25" i="65"/>
  <c r="K25" i="65"/>
  <c r="J25" i="65"/>
  <c r="I25" i="65"/>
  <c r="H25" i="65"/>
  <c r="G25" i="65"/>
  <c r="F25" i="65"/>
  <c r="V19" i="65"/>
  <c r="U19" i="65"/>
  <c r="V18" i="65"/>
  <c r="U18" i="65"/>
  <c r="V17" i="65"/>
  <c r="U17" i="65"/>
  <c r="V15" i="65"/>
  <c r="U15" i="65"/>
  <c r="V14" i="65"/>
  <c r="U14" i="65"/>
  <c r="V13" i="65"/>
  <c r="U13" i="65"/>
  <c r="V12" i="65"/>
  <c r="U12" i="65"/>
  <c r="V11" i="65"/>
  <c r="U11" i="65"/>
  <c r="M56" i="64"/>
  <c r="L56" i="64"/>
  <c r="K56" i="64"/>
  <c r="J56" i="64"/>
  <c r="J55" i="64" s="1"/>
  <c r="I56" i="64"/>
  <c r="I55" i="64" s="1"/>
  <c r="H56" i="64"/>
  <c r="G56" i="64"/>
  <c r="F56" i="64"/>
  <c r="E56" i="64"/>
  <c r="E55" i="64" s="1"/>
  <c r="D56" i="64"/>
  <c r="M55" i="64"/>
  <c r="L55" i="64"/>
  <c r="K55" i="64"/>
  <c r="H55" i="64"/>
  <c r="G55" i="64"/>
  <c r="N54" i="64"/>
  <c r="N53" i="64"/>
  <c r="N52" i="64"/>
  <c r="N51" i="64"/>
  <c r="N50" i="64"/>
  <c r="N49" i="64"/>
  <c r="N48" i="64"/>
  <c r="N47" i="64"/>
  <c r="M46" i="64"/>
  <c r="L46" i="64"/>
  <c r="K46" i="64"/>
  <c r="J46" i="64"/>
  <c r="I46" i="64"/>
  <c r="H46" i="64"/>
  <c r="G46" i="64"/>
  <c r="F46" i="64"/>
  <c r="E46" i="64"/>
  <c r="O42" i="64"/>
  <c r="N40" i="64"/>
  <c r="M40" i="64"/>
  <c r="L40" i="64"/>
  <c r="K40" i="64"/>
  <c r="J40" i="64"/>
  <c r="I40" i="64"/>
  <c r="H40" i="64"/>
  <c r="G40" i="64"/>
  <c r="F40" i="64"/>
  <c r="E40" i="64"/>
  <c r="O39" i="64"/>
  <c r="O38" i="64"/>
  <c r="O37" i="64"/>
  <c r="O36" i="64"/>
  <c r="O35" i="64"/>
  <c r="O34" i="64"/>
  <c r="O33" i="64"/>
  <c r="O32" i="64"/>
  <c r="O31" i="64"/>
  <c r="O30" i="64"/>
  <c r="O29" i="64"/>
  <c r="O28" i="64"/>
  <c r="O27" i="64"/>
  <c r="O26" i="64"/>
  <c r="N25" i="64"/>
  <c r="M25" i="64"/>
  <c r="L25" i="64"/>
  <c r="K25" i="64"/>
  <c r="J25" i="64"/>
  <c r="I25" i="64"/>
  <c r="H25" i="64"/>
  <c r="G25" i="64"/>
  <c r="F25" i="64"/>
  <c r="V19" i="64"/>
  <c r="U19" i="64"/>
  <c r="V18" i="64"/>
  <c r="U18" i="64"/>
  <c r="V17" i="64"/>
  <c r="U17" i="64"/>
  <c r="V15" i="64"/>
  <c r="U15" i="64"/>
  <c r="V14" i="64"/>
  <c r="U14" i="64"/>
  <c r="V13" i="64"/>
  <c r="U13" i="64"/>
  <c r="V12" i="64"/>
  <c r="U12" i="64"/>
  <c r="V11" i="64"/>
  <c r="U11" i="64"/>
  <c r="U11" i="63"/>
  <c r="V11" i="63"/>
  <c r="U12" i="63"/>
  <c r="V12" i="63"/>
  <c r="U13" i="63"/>
  <c r="V13" i="63"/>
  <c r="U14" i="63"/>
  <c r="V14" i="63"/>
  <c r="U15" i="63"/>
  <c r="V15" i="63"/>
  <c r="U17" i="63"/>
  <c r="V17" i="63"/>
  <c r="U18" i="63"/>
  <c r="V18" i="63"/>
  <c r="U19" i="63"/>
  <c r="V19" i="63"/>
  <c r="F25" i="63"/>
  <c r="G25" i="63"/>
  <c r="H25" i="63"/>
  <c r="I25" i="63"/>
  <c r="J25" i="63"/>
  <c r="K25" i="63"/>
  <c r="L25" i="63"/>
  <c r="M25" i="63"/>
  <c r="N25" i="63"/>
  <c r="O26" i="63"/>
  <c r="O27" i="63"/>
  <c r="O28" i="63"/>
  <c r="O29" i="63"/>
  <c r="O30" i="63"/>
  <c r="O31" i="63"/>
  <c r="O32" i="63"/>
  <c r="O33" i="63"/>
  <c r="O34" i="63"/>
  <c r="O35" i="63"/>
  <c r="O36" i="63"/>
  <c r="O37" i="63"/>
  <c r="O38" i="63"/>
  <c r="O39" i="63"/>
  <c r="E40" i="63"/>
  <c r="O40" i="63" s="1"/>
  <c r="F40" i="63"/>
  <c r="G40" i="63"/>
  <c r="H40" i="63"/>
  <c r="I40" i="63"/>
  <c r="J40" i="63"/>
  <c r="K40" i="63"/>
  <c r="L40" i="63"/>
  <c r="L41" i="63" s="1"/>
  <c r="M40" i="63"/>
  <c r="M41" i="63" s="1"/>
  <c r="N40" i="63"/>
  <c r="K41" i="63"/>
  <c r="O42" i="63"/>
  <c r="E46" i="63"/>
  <c r="F46" i="63"/>
  <c r="G46" i="63"/>
  <c r="H46" i="63"/>
  <c r="I46" i="63"/>
  <c r="J46" i="63"/>
  <c r="K46" i="63"/>
  <c r="L46" i="63"/>
  <c r="M46" i="63"/>
  <c r="N47" i="63"/>
  <c r="N48" i="63"/>
  <c r="N49" i="63"/>
  <c r="N50" i="63"/>
  <c r="N51" i="63"/>
  <c r="N52" i="63"/>
  <c r="N53" i="63"/>
  <c r="N54" i="63"/>
  <c r="E55" i="63"/>
  <c r="F55" i="63"/>
  <c r="M55" i="63"/>
  <c r="D56" i="63"/>
  <c r="E56" i="63"/>
  <c r="F56" i="63"/>
  <c r="G56" i="63"/>
  <c r="G55" i="63" s="1"/>
  <c r="H56" i="63"/>
  <c r="H55" i="63" s="1"/>
  <c r="I56" i="63"/>
  <c r="I55" i="63" s="1"/>
  <c r="J56" i="63"/>
  <c r="J55" i="63" s="1"/>
  <c r="K56" i="63"/>
  <c r="K55" i="63" s="1"/>
  <c r="L56" i="63"/>
  <c r="L55" i="63" s="1"/>
  <c r="M56" i="63"/>
  <c r="U11" i="62"/>
  <c r="V11" i="62"/>
  <c r="U12" i="62"/>
  <c r="V12" i="62"/>
  <c r="U13" i="62"/>
  <c r="V13" i="62"/>
  <c r="U14" i="62"/>
  <c r="V14" i="62"/>
  <c r="U15" i="62"/>
  <c r="V15" i="62"/>
  <c r="U17" i="62"/>
  <c r="V17" i="62"/>
  <c r="U18" i="62"/>
  <c r="V18" i="62"/>
  <c r="U19" i="62"/>
  <c r="V19" i="62"/>
  <c r="F25" i="62"/>
  <c r="G25" i="62"/>
  <c r="H25" i="62"/>
  <c r="I25" i="62"/>
  <c r="J25" i="62"/>
  <c r="K25" i="62"/>
  <c r="L25" i="62"/>
  <c r="M25" i="62"/>
  <c r="N25" i="62"/>
  <c r="O26" i="62"/>
  <c r="O27" i="62"/>
  <c r="O28" i="62"/>
  <c r="O29" i="62"/>
  <c r="O30" i="62"/>
  <c r="O31" i="62"/>
  <c r="O32" i="62"/>
  <c r="O33" i="62"/>
  <c r="O34" i="62"/>
  <c r="O35" i="62"/>
  <c r="O36" i="62"/>
  <c r="O37" i="62"/>
  <c r="O38" i="62"/>
  <c r="O39" i="62"/>
  <c r="E40" i="62"/>
  <c r="O40" i="62" s="1"/>
  <c r="F40" i="62"/>
  <c r="G40" i="62"/>
  <c r="G41" i="62" s="1"/>
  <c r="H40" i="62"/>
  <c r="I40" i="62"/>
  <c r="J40" i="62"/>
  <c r="K40" i="62"/>
  <c r="L40" i="62"/>
  <c r="L41" i="62" s="1"/>
  <c r="M40" i="62"/>
  <c r="M41" i="62" s="1"/>
  <c r="N40" i="62"/>
  <c r="K41" i="62"/>
  <c r="O42" i="62"/>
  <c r="E46" i="62"/>
  <c r="F46" i="62"/>
  <c r="G46" i="62"/>
  <c r="H46" i="62"/>
  <c r="I46" i="62"/>
  <c r="J46" i="62"/>
  <c r="K46" i="62"/>
  <c r="L46" i="62"/>
  <c r="M46" i="62"/>
  <c r="N47" i="62"/>
  <c r="N48" i="62"/>
  <c r="N49" i="62"/>
  <c r="N50" i="62"/>
  <c r="N51" i="62"/>
  <c r="N52" i="62"/>
  <c r="N53" i="62"/>
  <c r="N54" i="62"/>
  <c r="E55" i="62"/>
  <c r="F55" i="62"/>
  <c r="M55" i="62"/>
  <c r="D56" i="62"/>
  <c r="E56" i="62"/>
  <c r="F56" i="62"/>
  <c r="G56" i="62"/>
  <c r="G55" i="62" s="1"/>
  <c r="H56" i="62"/>
  <c r="H55" i="62" s="1"/>
  <c r="I56" i="62"/>
  <c r="N56" i="62" s="1"/>
  <c r="J56" i="62"/>
  <c r="J55" i="62" s="1"/>
  <c r="K56" i="62"/>
  <c r="K55" i="62" s="1"/>
  <c r="L56" i="62"/>
  <c r="L55" i="62" s="1"/>
  <c r="M56" i="62"/>
  <c r="U11" i="61"/>
  <c r="V11" i="61"/>
  <c r="U12" i="61"/>
  <c r="V12" i="61"/>
  <c r="U13" i="61"/>
  <c r="V13" i="61"/>
  <c r="U14" i="61"/>
  <c r="V14" i="61"/>
  <c r="U15" i="61"/>
  <c r="V15" i="61"/>
  <c r="U17" i="61"/>
  <c r="V17" i="61"/>
  <c r="U18" i="61"/>
  <c r="V18" i="61"/>
  <c r="U19" i="61"/>
  <c r="V19" i="61"/>
  <c r="F25" i="61"/>
  <c r="G25" i="61"/>
  <c r="H25" i="61"/>
  <c r="I25" i="61"/>
  <c r="J25" i="61"/>
  <c r="K25" i="61"/>
  <c r="L25" i="61"/>
  <c r="M25" i="61"/>
  <c r="N25" i="61"/>
  <c r="O26" i="61"/>
  <c r="O27" i="61"/>
  <c r="O28" i="61"/>
  <c r="O29" i="61"/>
  <c r="O30" i="61"/>
  <c r="O31" i="61"/>
  <c r="O32" i="61"/>
  <c r="O33" i="61"/>
  <c r="O34" i="61"/>
  <c r="O35" i="61"/>
  <c r="O36" i="61"/>
  <c r="O37" i="61"/>
  <c r="O38" i="61"/>
  <c r="O39" i="61"/>
  <c r="E40" i="61"/>
  <c r="H41" i="61" s="1"/>
  <c r="F40" i="61"/>
  <c r="G40" i="61"/>
  <c r="H40" i="61"/>
  <c r="I40" i="61"/>
  <c r="J40" i="61"/>
  <c r="K40" i="61"/>
  <c r="L40" i="61"/>
  <c r="L41" i="61" s="1"/>
  <c r="M40" i="61"/>
  <c r="M41" i="61" s="1"/>
  <c r="N40" i="61"/>
  <c r="K41" i="61"/>
  <c r="O42" i="61"/>
  <c r="E46" i="61"/>
  <c r="F46" i="61"/>
  <c r="G46" i="61"/>
  <c r="H46" i="61"/>
  <c r="I46" i="61"/>
  <c r="J46" i="61"/>
  <c r="K46" i="61"/>
  <c r="L46" i="61"/>
  <c r="M46" i="61"/>
  <c r="N47" i="61"/>
  <c r="N48" i="61"/>
  <c r="N49" i="61"/>
  <c r="N50" i="61"/>
  <c r="N51" i="61"/>
  <c r="N52" i="61"/>
  <c r="N53" i="61"/>
  <c r="N54" i="61"/>
  <c r="E55" i="61"/>
  <c r="F55" i="61"/>
  <c r="M55" i="61"/>
  <c r="D56" i="61"/>
  <c r="E56" i="61"/>
  <c r="F56" i="61"/>
  <c r="G56" i="61"/>
  <c r="G55" i="61" s="1"/>
  <c r="H56" i="61"/>
  <c r="H55" i="61" s="1"/>
  <c r="I56" i="61"/>
  <c r="I55" i="61" s="1"/>
  <c r="J56" i="61"/>
  <c r="J55" i="61" s="1"/>
  <c r="K56" i="61"/>
  <c r="K55" i="61" s="1"/>
  <c r="L56" i="61"/>
  <c r="L55" i="61" s="1"/>
  <c r="M56" i="61"/>
  <c r="U11" i="60"/>
  <c r="V11" i="60"/>
  <c r="U12" i="60"/>
  <c r="V12" i="60"/>
  <c r="U13" i="60"/>
  <c r="V13" i="60"/>
  <c r="U14" i="60"/>
  <c r="V14" i="60"/>
  <c r="U15" i="60"/>
  <c r="V15" i="60"/>
  <c r="U17" i="60"/>
  <c r="V17" i="60"/>
  <c r="U18" i="60"/>
  <c r="V18" i="60"/>
  <c r="U19" i="60"/>
  <c r="V19" i="60"/>
  <c r="F25" i="60"/>
  <c r="G25" i="60"/>
  <c r="H25" i="60"/>
  <c r="I25" i="60"/>
  <c r="J25" i="60"/>
  <c r="K25" i="60"/>
  <c r="L25" i="60"/>
  <c r="M25" i="60"/>
  <c r="N25" i="60"/>
  <c r="O26" i="60"/>
  <c r="O27" i="60"/>
  <c r="O28" i="60"/>
  <c r="O29" i="60"/>
  <c r="O30" i="60"/>
  <c r="O31" i="60"/>
  <c r="O32" i="60"/>
  <c r="O33" i="60"/>
  <c r="O34" i="60"/>
  <c r="O35" i="60"/>
  <c r="O36" i="60"/>
  <c r="O37" i="60"/>
  <c r="O38" i="60"/>
  <c r="O39" i="60"/>
  <c r="E40" i="60"/>
  <c r="O40" i="60" s="1"/>
  <c r="F40" i="60"/>
  <c r="G40" i="60"/>
  <c r="H40" i="60"/>
  <c r="I40" i="60"/>
  <c r="J40" i="60"/>
  <c r="K40" i="60"/>
  <c r="L40" i="60"/>
  <c r="L41" i="60" s="1"/>
  <c r="M40" i="60"/>
  <c r="M41" i="60" s="1"/>
  <c r="N40" i="60"/>
  <c r="K41" i="60"/>
  <c r="O42" i="60"/>
  <c r="E46" i="60"/>
  <c r="F46" i="60"/>
  <c r="G46" i="60"/>
  <c r="H46" i="60"/>
  <c r="I46" i="60"/>
  <c r="J46" i="60"/>
  <c r="K46" i="60"/>
  <c r="L46" i="60"/>
  <c r="M46" i="60"/>
  <c r="N47" i="60"/>
  <c r="N48" i="60"/>
  <c r="N49" i="60"/>
  <c r="N50" i="60"/>
  <c r="N51" i="60"/>
  <c r="N52" i="60"/>
  <c r="N53" i="60"/>
  <c r="N54" i="60"/>
  <c r="E55" i="60"/>
  <c r="F55" i="60"/>
  <c r="G55" i="60"/>
  <c r="M55" i="60"/>
  <c r="D56" i="60"/>
  <c r="E56" i="60"/>
  <c r="N56" i="60" s="1"/>
  <c r="F56" i="60"/>
  <c r="G56" i="60"/>
  <c r="H56" i="60"/>
  <c r="H55" i="60" s="1"/>
  <c r="I56" i="60"/>
  <c r="I55" i="60" s="1"/>
  <c r="J56" i="60"/>
  <c r="J55" i="60" s="1"/>
  <c r="K56" i="60"/>
  <c r="K55" i="60" s="1"/>
  <c r="L56" i="60"/>
  <c r="L55" i="60" s="1"/>
  <c r="M56" i="60"/>
  <c r="U11" i="59"/>
  <c r="V11" i="59"/>
  <c r="U12" i="59"/>
  <c r="V12" i="59"/>
  <c r="U13" i="59"/>
  <c r="V13" i="59"/>
  <c r="U14" i="59"/>
  <c r="V14" i="59"/>
  <c r="U15" i="59"/>
  <c r="V15" i="59"/>
  <c r="U17" i="59"/>
  <c r="V17" i="59"/>
  <c r="U18" i="59"/>
  <c r="V18" i="59"/>
  <c r="U19" i="59"/>
  <c r="V19" i="59"/>
  <c r="F25" i="59"/>
  <c r="G25" i="59"/>
  <c r="H25" i="59"/>
  <c r="I25" i="59"/>
  <c r="J25" i="59"/>
  <c r="K25" i="59"/>
  <c r="L25" i="59"/>
  <c r="M25" i="59"/>
  <c r="N25" i="59"/>
  <c r="O26" i="59"/>
  <c r="O27" i="59"/>
  <c r="O28" i="59"/>
  <c r="O29" i="59"/>
  <c r="O30" i="59"/>
  <c r="O31" i="59"/>
  <c r="O32" i="59"/>
  <c r="O33" i="59"/>
  <c r="O34" i="59"/>
  <c r="O35" i="59"/>
  <c r="O36" i="59"/>
  <c r="O37" i="59"/>
  <c r="O38" i="59"/>
  <c r="O39" i="59"/>
  <c r="E40" i="59"/>
  <c r="O40" i="59" s="1"/>
  <c r="F40" i="59"/>
  <c r="F41" i="59" s="1"/>
  <c r="G40" i="59"/>
  <c r="H40" i="59"/>
  <c r="I40" i="59"/>
  <c r="J40" i="59"/>
  <c r="K40" i="59"/>
  <c r="L40" i="59"/>
  <c r="L41" i="59" s="1"/>
  <c r="M40" i="59"/>
  <c r="M41" i="59" s="1"/>
  <c r="N40" i="59"/>
  <c r="N41" i="59" s="1"/>
  <c r="K41" i="59"/>
  <c r="O42" i="59"/>
  <c r="E46" i="59"/>
  <c r="F46" i="59"/>
  <c r="G46" i="59"/>
  <c r="H46" i="59"/>
  <c r="I46" i="59"/>
  <c r="J46" i="59"/>
  <c r="K46" i="59"/>
  <c r="L46" i="59"/>
  <c r="M46" i="59"/>
  <c r="N47" i="59"/>
  <c r="N48" i="59"/>
  <c r="N49" i="59"/>
  <c r="N50" i="59"/>
  <c r="N51" i="59"/>
  <c r="N52" i="59"/>
  <c r="N53" i="59"/>
  <c r="N54" i="59"/>
  <c r="E55" i="59"/>
  <c r="F55" i="59"/>
  <c r="G55" i="59"/>
  <c r="M55" i="59"/>
  <c r="D56" i="59"/>
  <c r="E56" i="59"/>
  <c r="N56" i="59" s="1"/>
  <c r="F56" i="59"/>
  <c r="G56" i="59"/>
  <c r="H56" i="59"/>
  <c r="H55" i="59" s="1"/>
  <c r="I56" i="59"/>
  <c r="I55" i="59" s="1"/>
  <c r="J56" i="59"/>
  <c r="J55" i="59" s="1"/>
  <c r="K56" i="59"/>
  <c r="K55" i="59" s="1"/>
  <c r="L56" i="59"/>
  <c r="L55" i="59" s="1"/>
  <c r="M56" i="59"/>
  <c r="U11" i="58"/>
  <c r="V11" i="58"/>
  <c r="U12" i="58"/>
  <c r="V12" i="58"/>
  <c r="U13" i="58"/>
  <c r="V13" i="58"/>
  <c r="U14" i="58"/>
  <c r="V14" i="58"/>
  <c r="U15" i="58"/>
  <c r="V15" i="58"/>
  <c r="U17" i="58"/>
  <c r="V17" i="58"/>
  <c r="U18" i="58"/>
  <c r="V18" i="58"/>
  <c r="U19" i="58"/>
  <c r="V19" i="58"/>
  <c r="F25" i="58"/>
  <c r="G25" i="58"/>
  <c r="H25" i="58"/>
  <c r="I25" i="58"/>
  <c r="J25" i="58"/>
  <c r="K25" i="58"/>
  <c r="L25" i="58"/>
  <c r="M25" i="58"/>
  <c r="N25" i="58"/>
  <c r="O26" i="58"/>
  <c r="O27" i="58"/>
  <c r="O28" i="58"/>
  <c r="O29" i="58"/>
  <c r="O30" i="58"/>
  <c r="O31" i="58"/>
  <c r="O32" i="58"/>
  <c r="O33" i="58"/>
  <c r="O34" i="58"/>
  <c r="O35" i="58"/>
  <c r="O36" i="58"/>
  <c r="O37" i="58"/>
  <c r="O38" i="58"/>
  <c r="O39" i="58"/>
  <c r="E40" i="58"/>
  <c r="G41" i="58" s="1"/>
  <c r="F40" i="58"/>
  <c r="G40" i="58"/>
  <c r="H40" i="58"/>
  <c r="I40" i="58"/>
  <c r="J40" i="58"/>
  <c r="K40" i="58"/>
  <c r="L40" i="58"/>
  <c r="L41" i="58" s="1"/>
  <c r="M40" i="58"/>
  <c r="M41" i="58" s="1"/>
  <c r="N40" i="58"/>
  <c r="K41" i="58"/>
  <c r="O42" i="58"/>
  <c r="E46" i="58"/>
  <c r="F46" i="58"/>
  <c r="G46" i="58"/>
  <c r="H46" i="58"/>
  <c r="I46" i="58"/>
  <c r="J46" i="58"/>
  <c r="K46" i="58"/>
  <c r="L46" i="58"/>
  <c r="M46" i="58"/>
  <c r="N47" i="58"/>
  <c r="N48" i="58"/>
  <c r="N49" i="58"/>
  <c r="N50" i="58"/>
  <c r="N51" i="58"/>
  <c r="N52" i="58"/>
  <c r="N53" i="58"/>
  <c r="N54" i="58"/>
  <c r="M55" i="58"/>
  <c r="D56" i="58"/>
  <c r="E56" i="58"/>
  <c r="E55" i="58" s="1"/>
  <c r="F56" i="58"/>
  <c r="F55" i="58" s="1"/>
  <c r="G56" i="58"/>
  <c r="G55" i="58" s="1"/>
  <c r="H56" i="58"/>
  <c r="H55" i="58" s="1"/>
  <c r="I56" i="58"/>
  <c r="I55" i="58" s="1"/>
  <c r="J56" i="58"/>
  <c r="J55" i="58" s="1"/>
  <c r="K56" i="58"/>
  <c r="K55" i="58" s="1"/>
  <c r="L56" i="58"/>
  <c r="L55" i="58" s="1"/>
  <c r="M56" i="58"/>
  <c r="U11" i="57"/>
  <c r="V11" i="57"/>
  <c r="U12" i="57"/>
  <c r="V12" i="57"/>
  <c r="U13" i="57"/>
  <c r="V13" i="57"/>
  <c r="U14" i="57"/>
  <c r="V14" i="57"/>
  <c r="U15" i="57"/>
  <c r="V15" i="57"/>
  <c r="U17" i="57"/>
  <c r="V17" i="57"/>
  <c r="U18" i="57"/>
  <c r="V18" i="57"/>
  <c r="U19" i="57"/>
  <c r="V19" i="57"/>
  <c r="F25" i="57"/>
  <c r="G25" i="57"/>
  <c r="H25" i="57"/>
  <c r="I25" i="57"/>
  <c r="J25" i="57"/>
  <c r="K25" i="57"/>
  <c r="L25" i="57"/>
  <c r="M25" i="57"/>
  <c r="N25" i="57"/>
  <c r="O26" i="57"/>
  <c r="O27" i="57"/>
  <c r="O28" i="57"/>
  <c r="O29" i="57"/>
  <c r="O30" i="57"/>
  <c r="O31" i="57"/>
  <c r="O32" i="57"/>
  <c r="O33" i="57"/>
  <c r="O34" i="57"/>
  <c r="O35" i="57"/>
  <c r="O36" i="57"/>
  <c r="O37" i="57"/>
  <c r="O38" i="57"/>
  <c r="O39" i="57"/>
  <c r="E40" i="57"/>
  <c r="O40" i="57" s="1"/>
  <c r="F40" i="57"/>
  <c r="F41" i="57" s="1"/>
  <c r="G40" i="57"/>
  <c r="H40" i="57"/>
  <c r="I40" i="57"/>
  <c r="I41" i="57" s="1"/>
  <c r="J40" i="57"/>
  <c r="J41" i="57" s="1"/>
  <c r="K40" i="57"/>
  <c r="L40" i="57"/>
  <c r="M40" i="57"/>
  <c r="M41" i="57" s="1"/>
  <c r="N40" i="57"/>
  <c r="N41" i="57" s="1"/>
  <c r="H41" i="57"/>
  <c r="K41" i="57"/>
  <c r="L41" i="57"/>
  <c r="O42" i="57"/>
  <c r="E46" i="57"/>
  <c r="F46" i="57"/>
  <c r="G46" i="57"/>
  <c r="H46" i="57"/>
  <c r="I46" i="57"/>
  <c r="J46" i="57"/>
  <c r="K46" i="57"/>
  <c r="L46" i="57"/>
  <c r="M46" i="57"/>
  <c r="N47" i="57"/>
  <c r="N48" i="57"/>
  <c r="N49" i="57"/>
  <c r="N50" i="57"/>
  <c r="N51" i="57"/>
  <c r="N52" i="57"/>
  <c r="N53" i="57"/>
  <c r="N54" i="57"/>
  <c r="F55" i="57"/>
  <c r="G55" i="57"/>
  <c r="J55" i="57"/>
  <c r="K55" i="57"/>
  <c r="D56" i="57"/>
  <c r="E56" i="57"/>
  <c r="N56" i="57" s="1"/>
  <c r="F56" i="57"/>
  <c r="G56" i="57"/>
  <c r="H56" i="57"/>
  <c r="H55" i="57" s="1"/>
  <c r="I56" i="57"/>
  <c r="I55" i="57" s="1"/>
  <c r="J56" i="57"/>
  <c r="K56" i="57"/>
  <c r="L56" i="57"/>
  <c r="L55" i="57" s="1"/>
  <c r="M56" i="57"/>
  <c r="M55" i="57" s="1"/>
  <c r="U11" i="56"/>
  <c r="V11" i="56"/>
  <c r="U12" i="56"/>
  <c r="V12" i="56"/>
  <c r="U13" i="56"/>
  <c r="V13" i="56"/>
  <c r="U14" i="56"/>
  <c r="V14" i="56"/>
  <c r="U15" i="56"/>
  <c r="V15" i="56"/>
  <c r="U17" i="56"/>
  <c r="V17" i="56"/>
  <c r="U18" i="56"/>
  <c r="V18" i="56"/>
  <c r="U19" i="56"/>
  <c r="V19" i="56"/>
  <c r="F25" i="56"/>
  <c r="G25" i="56"/>
  <c r="H25" i="56"/>
  <c r="I25" i="56"/>
  <c r="J25" i="56"/>
  <c r="K25" i="56"/>
  <c r="L25" i="56"/>
  <c r="M25" i="56"/>
  <c r="N25" i="56"/>
  <c r="O26" i="56"/>
  <c r="O27" i="56"/>
  <c r="O28" i="56"/>
  <c r="O29" i="56"/>
  <c r="O30" i="56"/>
  <c r="O31" i="56"/>
  <c r="O32" i="56"/>
  <c r="O33" i="56"/>
  <c r="O34" i="56"/>
  <c r="O35" i="56"/>
  <c r="O36" i="56"/>
  <c r="O37" i="56"/>
  <c r="O38" i="56"/>
  <c r="O39" i="56"/>
  <c r="E40" i="56"/>
  <c r="N41" i="56" s="1"/>
  <c r="F40" i="56"/>
  <c r="G40" i="56"/>
  <c r="H40" i="56"/>
  <c r="I40" i="56"/>
  <c r="J40" i="56"/>
  <c r="K40" i="56"/>
  <c r="L40" i="56"/>
  <c r="L41" i="56" s="1"/>
  <c r="M40" i="56"/>
  <c r="M41" i="56" s="1"/>
  <c r="N40" i="56"/>
  <c r="K41" i="56"/>
  <c r="O42" i="56"/>
  <c r="E46" i="56"/>
  <c r="F46" i="56"/>
  <c r="G46" i="56"/>
  <c r="H46" i="56"/>
  <c r="I46" i="56"/>
  <c r="J46" i="56"/>
  <c r="K46" i="56"/>
  <c r="L46" i="56"/>
  <c r="M46" i="56"/>
  <c r="N47" i="56"/>
  <c r="N48" i="56"/>
  <c r="N49" i="56"/>
  <c r="N50" i="56"/>
  <c r="N51" i="56"/>
  <c r="N52" i="56"/>
  <c r="N53" i="56"/>
  <c r="N54" i="56"/>
  <c r="E55" i="56"/>
  <c r="F55" i="56"/>
  <c r="M55" i="56"/>
  <c r="D56" i="56"/>
  <c r="E56" i="56"/>
  <c r="F56" i="56"/>
  <c r="G56" i="56"/>
  <c r="G55" i="56" s="1"/>
  <c r="H56" i="56"/>
  <c r="H55" i="56" s="1"/>
  <c r="I56" i="56"/>
  <c r="I55" i="56" s="1"/>
  <c r="J56" i="56"/>
  <c r="J55" i="56" s="1"/>
  <c r="K56" i="56"/>
  <c r="K55" i="56" s="1"/>
  <c r="L56" i="56"/>
  <c r="L55" i="56" s="1"/>
  <c r="M56" i="56"/>
  <c r="U11" i="55"/>
  <c r="V11" i="55"/>
  <c r="U12" i="55"/>
  <c r="V12" i="55"/>
  <c r="U13" i="55"/>
  <c r="V13" i="55"/>
  <c r="U14" i="55"/>
  <c r="V14" i="55"/>
  <c r="U15" i="55"/>
  <c r="V15" i="55"/>
  <c r="U17" i="55"/>
  <c r="V17" i="55"/>
  <c r="U18" i="55"/>
  <c r="V18" i="55"/>
  <c r="U19" i="55"/>
  <c r="V19" i="55"/>
  <c r="F25" i="55"/>
  <c r="G25" i="55"/>
  <c r="H25" i="55"/>
  <c r="I25" i="55"/>
  <c r="J25" i="55"/>
  <c r="K25" i="55"/>
  <c r="L25" i="55"/>
  <c r="M25" i="55"/>
  <c r="N25" i="55"/>
  <c r="O26" i="55"/>
  <c r="O27" i="55"/>
  <c r="O28" i="55"/>
  <c r="O29" i="55"/>
  <c r="O30" i="55"/>
  <c r="O31" i="55"/>
  <c r="O32" i="55"/>
  <c r="O33" i="55"/>
  <c r="O34" i="55"/>
  <c r="O35" i="55"/>
  <c r="O36" i="55"/>
  <c r="O37" i="55"/>
  <c r="O38" i="55"/>
  <c r="O39" i="55"/>
  <c r="E40" i="55"/>
  <c r="H41" i="55" s="1"/>
  <c r="F40" i="55"/>
  <c r="G40" i="55"/>
  <c r="H40" i="55"/>
  <c r="I40" i="55"/>
  <c r="J40" i="55"/>
  <c r="K40" i="55"/>
  <c r="L40" i="55"/>
  <c r="L41" i="55" s="1"/>
  <c r="M40" i="55"/>
  <c r="M41" i="55" s="1"/>
  <c r="N40" i="55"/>
  <c r="K41" i="55"/>
  <c r="O42" i="55"/>
  <c r="E46" i="55"/>
  <c r="F46" i="55"/>
  <c r="G46" i="55"/>
  <c r="H46" i="55"/>
  <c r="I46" i="55"/>
  <c r="J46" i="55"/>
  <c r="K46" i="55"/>
  <c r="L46" i="55"/>
  <c r="M46" i="55"/>
  <c r="N47" i="55"/>
  <c r="N48" i="55"/>
  <c r="N49" i="55"/>
  <c r="N50" i="55"/>
  <c r="N51" i="55"/>
  <c r="N52" i="55"/>
  <c r="N53" i="55"/>
  <c r="N54" i="55"/>
  <c r="E55" i="55"/>
  <c r="F55" i="55"/>
  <c r="M55" i="55"/>
  <c r="D56" i="55"/>
  <c r="E56" i="55"/>
  <c r="F56" i="55"/>
  <c r="G56" i="55"/>
  <c r="G55" i="55" s="1"/>
  <c r="H56" i="55"/>
  <c r="H55" i="55" s="1"/>
  <c r="I56" i="55"/>
  <c r="I55" i="55" s="1"/>
  <c r="J56" i="55"/>
  <c r="J55" i="55" s="1"/>
  <c r="K56" i="55"/>
  <c r="K55" i="55" s="1"/>
  <c r="L56" i="55"/>
  <c r="L55" i="55" s="1"/>
  <c r="M56" i="55"/>
  <c r="U11" i="54"/>
  <c r="V11" i="54"/>
  <c r="U12" i="54"/>
  <c r="V12" i="54"/>
  <c r="U13" i="54"/>
  <c r="V13" i="54"/>
  <c r="U14" i="54"/>
  <c r="V14" i="54"/>
  <c r="U15" i="54"/>
  <c r="V15" i="54"/>
  <c r="U17" i="54"/>
  <c r="V17" i="54"/>
  <c r="U18" i="54"/>
  <c r="V18" i="54"/>
  <c r="U19" i="54"/>
  <c r="V19" i="54"/>
  <c r="F25" i="54"/>
  <c r="G25" i="54"/>
  <c r="H25" i="54"/>
  <c r="I25" i="54"/>
  <c r="J25" i="54"/>
  <c r="K25" i="54"/>
  <c r="L25" i="54"/>
  <c r="M25" i="54"/>
  <c r="N25" i="54"/>
  <c r="O26" i="54"/>
  <c r="O27" i="54"/>
  <c r="O28" i="54"/>
  <c r="O29" i="54"/>
  <c r="O30" i="54"/>
  <c r="O31" i="54"/>
  <c r="O32" i="54"/>
  <c r="O33" i="54"/>
  <c r="O34" i="54"/>
  <c r="O35" i="54"/>
  <c r="O36" i="54"/>
  <c r="O37" i="54"/>
  <c r="O38" i="54"/>
  <c r="O39" i="54"/>
  <c r="E40" i="54"/>
  <c r="J41" i="54" s="1"/>
  <c r="F40" i="54"/>
  <c r="F41" i="54" s="1"/>
  <c r="G40" i="54"/>
  <c r="H40" i="54"/>
  <c r="I40" i="54"/>
  <c r="J40" i="54"/>
  <c r="K40" i="54"/>
  <c r="L40" i="54"/>
  <c r="L41" i="54" s="1"/>
  <c r="M40" i="54"/>
  <c r="M41" i="54" s="1"/>
  <c r="N40" i="54"/>
  <c r="N41" i="54" s="1"/>
  <c r="K41" i="54"/>
  <c r="O42" i="54"/>
  <c r="E46" i="54"/>
  <c r="F46" i="54"/>
  <c r="G46" i="54"/>
  <c r="H46" i="54"/>
  <c r="I46" i="54"/>
  <c r="J46" i="54"/>
  <c r="K46" i="54"/>
  <c r="L46" i="54"/>
  <c r="M46" i="54"/>
  <c r="N47" i="54"/>
  <c r="N48" i="54"/>
  <c r="N49" i="54"/>
  <c r="N50" i="54"/>
  <c r="N51" i="54"/>
  <c r="N52" i="54"/>
  <c r="N53" i="54"/>
  <c r="N54" i="54"/>
  <c r="E55" i="54"/>
  <c r="F55" i="54"/>
  <c r="G55" i="54"/>
  <c r="M55" i="54"/>
  <c r="D56" i="54"/>
  <c r="E56" i="54"/>
  <c r="N56" i="54" s="1"/>
  <c r="F56" i="54"/>
  <c r="G56" i="54"/>
  <c r="H56" i="54"/>
  <c r="H55" i="54" s="1"/>
  <c r="I56" i="54"/>
  <c r="I55" i="54" s="1"/>
  <c r="J56" i="54"/>
  <c r="J55" i="54" s="1"/>
  <c r="K56" i="54"/>
  <c r="K55" i="54" s="1"/>
  <c r="L56" i="54"/>
  <c r="L55" i="54" s="1"/>
  <c r="M56" i="54"/>
  <c r="U11" i="53"/>
  <c r="V11" i="53"/>
  <c r="U12" i="53"/>
  <c r="V12" i="53"/>
  <c r="U13" i="53"/>
  <c r="V13" i="53"/>
  <c r="U14" i="53"/>
  <c r="V14" i="53"/>
  <c r="U15" i="53"/>
  <c r="V15" i="53"/>
  <c r="U17" i="53"/>
  <c r="V17" i="53"/>
  <c r="U18" i="53"/>
  <c r="V18" i="53"/>
  <c r="U19" i="53"/>
  <c r="V19" i="53"/>
  <c r="F25" i="53"/>
  <c r="G25" i="53"/>
  <c r="H25" i="53"/>
  <c r="I25" i="53"/>
  <c r="J25" i="53"/>
  <c r="K25" i="53"/>
  <c r="L25" i="53"/>
  <c r="M25" i="53"/>
  <c r="N25" i="53"/>
  <c r="O26" i="53"/>
  <c r="O27" i="53"/>
  <c r="O28" i="53"/>
  <c r="O29" i="53"/>
  <c r="O30" i="53"/>
  <c r="O31" i="53"/>
  <c r="O32" i="53"/>
  <c r="O33" i="53"/>
  <c r="O34" i="53"/>
  <c r="O35" i="53"/>
  <c r="O36" i="53"/>
  <c r="O37" i="53"/>
  <c r="O38" i="53"/>
  <c r="O39" i="53"/>
  <c r="E40" i="53"/>
  <c r="O40" i="53" s="1"/>
  <c r="F40" i="53"/>
  <c r="F41" i="53" s="1"/>
  <c r="G40" i="53"/>
  <c r="H40" i="53"/>
  <c r="I40" i="53"/>
  <c r="I41" i="53" s="1"/>
  <c r="J40" i="53"/>
  <c r="J41" i="53" s="1"/>
  <c r="K40" i="53"/>
  <c r="L40" i="53"/>
  <c r="M40" i="53"/>
  <c r="M41" i="53" s="1"/>
  <c r="N40" i="53"/>
  <c r="N41" i="53" s="1"/>
  <c r="H41" i="53"/>
  <c r="K41" i="53"/>
  <c r="L41" i="53"/>
  <c r="O42" i="53"/>
  <c r="E46" i="53"/>
  <c r="F46" i="53"/>
  <c r="G46" i="53"/>
  <c r="H46" i="53"/>
  <c r="I46" i="53"/>
  <c r="J46" i="53"/>
  <c r="K46" i="53"/>
  <c r="L46" i="53"/>
  <c r="M46" i="53"/>
  <c r="N47" i="53"/>
  <c r="N48" i="53"/>
  <c r="N49" i="53"/>
  <c r="N50" i="53"/>
  <c r="N51" i="53"/>
  <c r="N52" i="53"/>
  <c r="N53" i="53"/>
  <c r="N54" i="53"/>
  <c r="F55" i="53"/>
  <c r="G55" i="53"/>
  <c r="J55" i="53"/>
  <c r="K55" i="53"/>
  <c r="D56" i="53"/>
  <c r="E56" i="53"/>
  <c r="N56" i="53" s="1"/>
  <c r="F56" i="53"/>
  <c r="G56" i="53"/>
  <c r="H56" i="53"/>
  <c r="H55" i="53" s="1"/>
  <c r="I56" i="53"/>
  <c r="I55" i="53" s="1"/>
  <c r="J56" i="53"/>
  <c r="K56" i="53"/>
  <c r="L56" i="53"/>
  <c r="L55" i="53" s="1"/>
  <c r="M56" i="53"/>
  <c r="M55" i="53" s="1"/>
  <c r="U11" i="52"/>
  <c r="V11" i="52"/>
  <c r="U12" i="52"/>
  <c r="V12" i="52"/>
  <c r="U13" i="52"/>
  <c r="V13" i="52"/>
  <c r="U14" i="52"/>
  <c r="V14" i="52"/>
  <c r="U15" i="52"/>
  <c r="V15" i="52"/>
  <c r="U17" i="52"/>
  <c r="V17" i="52"/>
  <c r="U18" i="52"/>
  <c r="V18" i="52"/>
  <c r="U19" i="52"/>
  <c r="V19" i="52"/>
  <c r="F25" i="52"/>
  <c r="G25" i="52"/>
  <c r="H25" i="52"/>
  <c r="I25" i="52"/>
  <c r="J25" i="52"/>
  <c r="K25" i="52"/>
  <c r="L25" i="52"/>
  <c r="M25" i="52"/>
  <c r="N25" i="52"/>
  <c r="O26" i="52"/>
  <c r="O27" i="52"/>
  <c r="O28" i="52"/>
  <c r="O29" i="52"/>
  <c r="O30" i="52"/>
  <c r="O31" i="52"/>
  <c r="O32" i="52"/>
  <c r="O33" i="52"/>
  <c r="O34" i="52"/>
  <c r="O35" i="52"/>
  <c r="O36" i="52"/>
  <c r="O37" i="52"/>
  <c r="O38" i="52"/>
  <c r="O39" i="52"/>
  <c r="E40" i="52"/>
  <c r="N41" i="52" s="1"/>
  <c r="F40" i="52"/>
  <c r="G40" i="52"/>
  <c r="H40" i="52"/>
  <c r="I40" i="52"/>
  <c r="J40" i="52"/>
  <c r="K40" i="52"/>
  <c r="L40" i="52"/>
  <c r="L41" i="52" s="1"/>
  <c r="M40" i="52"/>
  <c r="M41" i="52" s="1"/>
  <c r="N40" i="52"/>
  <c r="O42" i="52"/>
  <c r="E46" i="52"/>
  <c r="F46" i="52"/>
  <c r="G46" i="52"/>
  <c r="H46" i="52"/>
  <c r="I46" i="52"/>
  <c r="J46" i="52"/>
  <c r="K46" i="52"/>
  <c r="L46" i="52"/>
  <c r="M46" i="52"/>
  <c r="N47" i="52"/>
  <c r="N48" i="52"/>
  <c r="N49" i="52"/>
  <c r="N50" i="52"/>
  <c r="N51" i="52"/>
  <c r="N52" i="52"/>
  <c r="N53" i="52"/>
  <c r="N54" i="52"/>
  <c r="E55" i="52"/>
  <c r="F55" i="52"/>
  <c r="M55" i="52"/>
  <c r="D56" i="52"/>
  <c r="E56" i="52"/>
  <c r="F56" i="52"/>
  <c r="G56" i="52"/>
  <c r="G55" i="52" s="1"/>
  <c r="H56" i="52"/>
  <c r="H55" i="52" s="1"/>
  <c r="I56" i="52"/>
  <c r="I55" i="52" s="1"/>
  <c r="J56" i="52"/>
  <c r="J55" i="52" s="1"/>
  <c r="K56" i="52"/>
  <c r="K55" i="52" s="1"/>
  <c r="L56" i="52"/>
  <c r="L55" i="52" s="1"/>
  <c r="M56" i="52"/>
  <c r="U11" i="51"/>
  <c r="V11" i="51"/>
  <c r="U12" i="51"/>
  <c r="V12" i="51"/>
  <c r="U13" i="51"/>
  <c r="V13" i="51"/>
  <c r="U14" i="51"/>
  <c r="V14" i="51"/>
  <c r="U15" i="51"/>
  <c r="V15" i="51"/>
  <c r="U17" i="51"/>
  <c r="V17" i="51"/>
  <c r="U18" i="51"/>
  <c r="V18" i="51"/>
  <c r="U19" i="51"/>
  <c r="V19" i="51"/>
  <c r="F25" i="51"/>
  <c r="G25" i="51"/>
  <c r="H25" i="51"/>
  <c r="I25" i="51"/>
  <c r="J25" i="51"/>
  <c r="K25" i="51"/>
  <c r="L25" i="51"/>
  <c r="M25" i="51"/>
  <c r="N25" i="51"/>
  <c r="O26" i="51"/>
  <c r="O27" i="51"/>
  <c r="O28" i="51"/>
  <c r="O29" i="51"/>
  <c r="O30" i="51"/>
  <c r="O31" i="51"/>
  <c r="O32" i="51"/>
  <c r="O33" i="51"/>
  <c r="O34" i="51"/>
  <c r="O35" i="51"/>
  <c r="O36" i="51"/>
  <c r="O37" i="51"/>
  <c r="O38" i="51"/>
  <c r="O39" i="51"/>
  <c r="E40" i="51"/>
  <c r="O40" i="51" s="1"/>
  <c r="F40" i="51"/>
  <c r="G40" i="51"/>
  <c r="G41" i="51" s="1"/>
  <c r="H40" i="51"/>
  <c r="I40" i="51"/>
  <c r="J40" i="51"/>
  <c r="K40" i="51"/>
  <c r="L40" i="51"/>
  <c r="L41" i="51" s="1"/>
  <c r="M40" i="51"/>
  <c r="M41" i="51" s="1"/>
  <c r="N40" i="51"/>
  <c r="K41" i="51"/>
  <c r="O42" i="51"/>
  <c r="E46" i="51"/>
  <c r="F46" i="51"/>
  <c r="G46" i="51"/>
  <c r="H46" i="51"/>
  <c r="I46" i="51"/>
  <c r="J46" i="51"/>
  <c r="K46" i="51"/>
  <c r="L46" i="51"/>
  <c r="M46" i="51"/>
  <c r="N47" i="51"/>
  <c r="N48" i="51"/>
  <c r="N49" i="51"/>
  <c r="N50" i="51"/>
  <c r="N51" i="51"/>
  <c r="N52" i="51"/>
  <c r="N53" i="51"/>
  <c r="N54" i="51"/>
  <c r="E55" i="51"/>
  <c r="F55" i="51"/>
  <c r="M55" i="51"/>
  <c r="D56" i="51"/>
  <c r="E56" i="51"/>
  <c r="F56" i="51"/>
  <c r="G56" i="51"/>
  <c r="G55" i="51" s="1"/>
  <c r="H56" i="51"/>
  <c r="H55" i="51" s="1"/>
  <c r="I56" i="51"/>
  <c r="I55" i="51" s="1"/>
  <c r="J56" i="51"/>
  <c r="J55" i="51" s="1"/>
  <c r="K56" i="51"/>
  <c r="K55" i="51" s="1"/>
  <c r="L56" i="51"/>
  <c r="L55" i="51" s="1"/>
  <c r="M56" i="51"/>
  <c r="U11" i="50"/>
  <c r="V11" i="50"/>
  <c r="U12" i="50"/>
  <c r="V12" i="50"/>
  <c r="U13" i="50"/>
  <c r="V13" i="50"/>
  <c r="U14" i="50"/>
  <c r="V14" i="50"/>
  <c r="U15" i="50"/>
  <c r="V15" i="50"/>
  <c r="U17" i="50"/>
  <c r="V17" i="50"/>
  <c r="U18" i="50"/>
  <c r="V18" i="50"/>
  <c r="U19" i="50"/>
  <c r="V19" i="50"/>
  <c r="F25" i="50"/>
  <c r="G25" i="50"/>
  <c r="H25" i="50"/>
  <c r="I25" i="50"/>
  <c r="J25" i="50"/>
  <c r="K25" i="50"/>
  <c r="L25" i="50"/>
  <c r="M25" i="50"/>
  <c r="N25" i="50"/>
  <c r="O26" i="50"/>
  <c r="O27" i="50"/>
  <c r="O28" i="50"/>
  <c r="O29" i="50"/>
  <c r="O30" i="50"/>
  <c r="O31" i="50"/>
  <c r="O32" i="50"/>
  <c r="O33" i="50"/>
  <c r="O34" i="50"/>
  <c r="O35" i="50"/>
  <c r="O36" i="50"/>
  <c r="O37" i="50"/>
  <c r="O38" i="50"/>
  <c r="O39" i="50"/>
  <c r="E40" i="50"/>
  <c r="F41" i="50" s="1"/>
  <c r="F40" i="50"/>
  <c r="G40" i="50"/>
  <c r="H40" i="50"/>
  <c r="I40" i="50"/>
  <c r="J40" i="50"/>
  <c r="K40" i="50"/>
  <c r="L40" i="50"/>
  <c r="L41" i="50" s="1"/>
  <c r="M40" i="50"/>
  <c r="M41" i="50" s="1"/>
  <c r="N40" i="50"/>
  <c r="K41" i="50"/>
  <c r="O42" i="50"/>
  <c r="E46" i="50"/>
  <c r="F46" i="50"/>
  <c r="G46" i="50"/>
  <c r="H46" i="50"/>
  <c r="I46" i="50"/>
  <c r="J46" i="50"/>
  <c r="K46" i="50"/>
  <c r="L46" i="50"/>
  <c r="M46" i="50"/>
  <c r="N47" i="50"/>
  <c r="N48" i="50"/>
  <c r="N49" i="50"/>
  <c r="N50" i="50"/>
  <c r="N51" i="50"/>
  <c r="N52" i="50"/>
  <c r="N53" i="50"/>
  <c r="N54" i="50"/>
  <c r="E55" i="50"/>
  <c r="F55" i="50"/>
  <c r="M55" i="50"/>
  <c r="D56" i="50"/>
  <c r="E56" i="50"/>
  <c r="F56" i="50"/>
  <c r="G56" i="50"/>
  <c r="G55" i="50" s="1"/>
  <c r="H56" i="50"/>
  <c r="H55" i="50" s="1"/>
  <c r="I56" i="50"/>
  <c r="I55" i="50" s="1"/>
  <c r="J56" i="50"/>
  <c r="J55" i="50" s="1"/>
  <c r="K56" i="50"/>
  <c r="K55" i="50" s="1"/>
  <c r="L56" i="50"/>
  <c r="L55" i="50" s="1"/>
  <c r="M56" i="50"/>
  <c r="H74" i="3" l="1"/>
  <c r="O74" i="3"/>
  <c r="H41" i="71"/>
  <c r="J41" i="71"/>
  <c r="G41" i="71"/>
  <c r="F41" i="71"/>
  <c r="G74" i="3"/>
  <c r="M74" i="3"/>
  <c r="N56" i="65"/>
  <c r="F41" i="65"/>
  <c r="G41" i="65"/>
  <c r="I41" i="66"/>
  <c r="F41" i="66"/>
  <c r="G41" i="66"/>
  <c r="N56" i="70"/>
  <c r="H41" i="70"/>
  <c r="I41" i="70"/>
  <c r="F41" i="70"/>
  <c r="L41" i="70"/>
  <c r="N56" i="69"/>
  <c r="E55" i="69"/>
  <c r="K41" i="69"/>
  <c r="O41" i="69" s="1"/>
  <c r="O40" i="69"/>
  <c r="F74" i="3"/>
  <c r="D53" i="3"/>
  <c r="D36" i="3"/>
  <c r="D52" i="3"/>
  <c r="D35" i="3"/>
  <c r="D34" i="3"/>
  <c r="D50" i="3"/>
  <c r="D55" i="3"/>
  <c r="D47" i="3"/>
  <c r="D33" i="3"/>
  <c r="D59" i="3"/>
  <c r="D46" i="3"/>
  <c r="D31" i="3"/>
  <c r="D57" i="3"/>
  <c r="D44" i="3"/>
  <c r="D30" i="3"/>
  <c r="D56" i="3"/>
  <c r="D40" i="3"/>
  <c r="D28" i="3"/>
  <c r="L74" i="3"/>
  <c r="I74" i="3"/>
  <c r="J74" i="3"/>
  <c r="G41" i="64"/>
  <c r="L41" i="64"/>
  <c r="O40" i="64"/>
  <c r="H41" i="72"/>
  <c r="N56" i="72"/>
  <c r="J41" i="72"/>
  <c r="K41" i="72"/>
  <c r="F41" i="72"/>
  <c r="L41" i="72"/>
  <c r="O40" i="72"/>
  <c r="M41" i="72"/>
  <c r="N41" i="72"/>
  <c r="N56" i="71"/>
  <c r="K41" i="71"/>
  <c r="L41" i="71"/>
  <c r="O40" i="71"/>
  <c r="M41" i="71"/>
  <c r="M41" i="70"/>
  <c r="J41" i="70"/>
  <c r="K41" i="70"/>
  <c r="N56" i="67"/>
  <c r="F41" i="67"/>
  <c r="N41" i="67"/>
  <c r="G41" i="67"/>
  <c r="O40" i="67"/>
  <c r="H41" i="67"/>
  <c r="L41" i="67"/>
  <c r="M41" i="67"/>
  <c r="J41" i="67"/>
  <c r="K41" i="67"/>
  <c r="O40" i="65"/>
  <c r="M41" i="65"/>
  <c r="N41" i="65"/>
  <c r="H41" i="65"/>
  <c r="N56" i="68"/>
  <c r="O40" i="68"/>
  <c r="N41" i="68"/>
  <c r="N56" i="73"/>
  <c r="O40" i="73"/>
  <c r="M41" i="73"/>
  <c r="F41" i="73"/>
  <c r="N41" i="73"/>
  <c r="G41" i="73"/>
  <c r="H41" i="73"/>
  <c r="K41" i="73"/>
  <c r="N56" i="66"/>
  <c r="H41" i="66"/>
  <c r="J41" i="66"/>
  <c r="K41" i="66"/>
  <c r="L41" i="66"/>
  <c r="O40" i="66"/>
  <c r="M41" i="66"/>
  <c r="I41" i="73"/>
  <c r="J41" i="73"/>
  <c r="F55" i="73"/>
  <c r="L41" i="73"/>
  <c r="F55" i="72"/>
  <c r="I41" i="71"/>
  <c r="G41" i="70"/>
  <c r="F55" i="70"/>
  <c r="F41" i="68"/>
  <c r="E55" i="68"/>
  <c r="E55" i="67"/>
  <c r="F55" i="66"/>
  <c r="I41" i="65"/>
  <c r="J41" i="65"/>
  <c r="F55" i="65"/>
  <c r="K41" i="65"/>
  <c r="L41" i="65"/>
  <c r="N56" i="64"/>
  <c r="J41" i="64"/>
  <c r="M41" i="64"/>
  <c r="F41" i="64"/>
  <c r="N41" i="64"/>
  <c r="H41" i="64"/>
  <c r="I41" i="64"/>
  <c r="F55" i="64"/>
  <c r="K41" i="64"/>
  <c r="J41" i="63"/>
  <c r="I41" i="63"/>
  <c r="N41" i="63"/>
  <c r="F41" i="63"/>
  <c r="H41" i="63"/>
  <c r="G41" i="63"/>
  <c r="N56" i="63"/>
  <c r="I41" i="62"/>
  <c r="H41" i="62"/>
  <c r="I55" i="62"/>
  <c r="N41" i="62"/>
  <c r="F41" i="62"/>
  <c r="J41" i="62"/>
  <c r="J41" i="61"/>
  <c r="G41" i="61"/>
  <c r="N41" i="61"/>
  <c r="F41" i="61"/>
  <c r="N56" i="61"/>
  <c r="O40" i="61"/>
  <c r="I41" i="61"/>
  <c r="I41" i="60"/>
  <c r="H41" i="60"/>
  <c r="G41" i="60"/>
  <c r="N41" i="60"/>
  <c r="F41" i="60"/>
  <c r="J41" i="60"/>
  <c r="H41" i="59"/>
  <c r="J41" i="59"/>
  <c r="I41" i="59"/>
  <c r="G41" i="59"/>
  <c r="I41" i="58"/>
  <c r="H41" i="58"/>
  <c r="N41" i="58"/>
  <c r="F41" i="58"/>
  <c r="N56" i="58"/>
  <c r="O40" i="58"/>
  <c r="J41" i="58"/>
  <c r="E55" i="57"/>
  <c r="G41" i="57"/>
  <c r="O41" i="57" s="1"/>
  <c r="J41" i="56"/>
  <c r="I41" i="56"/>
  <c r="H41" i="56"/>
  <c r="F41" i="56"/>
  <c r="N56" i="56"/>
  <c r="O40" i="56"/>
  <c r="G41" i="56"/>
  <c r="N41" i="55"/>
  <c r="F41" i="55"/>
  <c r="I41" i="55"/>
  <c r="G41" i="55"/>
  <c r="N56" i="55"/>
  <c r="O40" i="55"/>
  <c r="J41" i="55"/>
  <c r="I41" i="54"/>
  <c r="G41" i="54"/>
  <c r="H41" i="54"/>
  <c r="O40" i="54"/>
  <c r="E55" i="53"/>
  <c r="G41" i="53"/>
  <c r="O41" i="53" s="1"/>
  <c r="K41" i="52"/>
  <c r="J41" i="52"/>
  <c r="I41" i="52"/>
  <c r="H41" i="52"/>
  <c r="G41" i="52"/>
  <c r="F41" i="52"/>
  <c r="N56" i="52"/>
  <c r="O40" i="52"/>
  <c r="J41" i="51"/>
  <c r="I41" i="51"/>
  <c r="H41" i="51"/>
  <c r="N41" i="51"/>
  <c r="F41" i="51"/>
  <c r="N56" i="51"/>
  <c r="J41" i="50"/>
  <c r="I41" i="50"/>
  <c r="H41" i="50"/>
  <c r="G41" i="50"/>
  <c r="N41" i="50"/>
  <c r="N56" i="50"/>
  <c r="O40" i="50"/>
  <c r="O41" i="67" l="1"/>
  <c r="O41" i="71"/>
  <c r="D74" i="3"/>
  <c r="O41" i="65"/>
  <c r="O41" i="66"/>
  <c r="O41" i="73"/>
  <c r="O41" i="70"/>
  <c r="O41" i="72"/>
  <c r="O41" i="68"/>
  <c r="O41" i="54"/>
  <c r="O41" i="50"/>
  <c r="O41" i="59"/>
  <c r="O41" i="51"/>
  <c r="O41" i="64"/>
  <c r="O41" i="63"/>
  <c r="O41" i="62"/>
  <c r="O41" i="61"/>
  <c r="O41" i="60"/>
  <c r="O41" i="58"/>
  <c r="O41" i="56"/>
  <c r="O41" i="55"/>
  <c r="O41" i="52"/>
  <c r="U11" i="49"/>
  <c r="V11" i="49"/>
  <c r="U12" i="49"/>
  <c r="V12" i="49"/>
  <c r="U13" i="49"/>
  <c r="V13" i="49"/>
  <c r="U14" i="49"/>
  <c r="V14" i="49"/>
  <c r="U15" i="49"/>
  <c r="V15" i="49"/>
  <c r="V16" i="49"/>
  <c r="U17" i="49"/>
  <c r="V17" i="49"/>
  <c r="U18" i="49"/>
  <c r="V18" i="49"/>
  <c r="U19" i="49"/>
  <c r="V19" i="49"/>
  <c r="F25" i="49"/>
  <c r="G25" i="49"/>
  <c r="H25" i="49"/>
  <c r="I25" i="49"/>
  <c r="J25" i="49"/>
  <c r="K25" i="49"/>
  <c r="L25" i="49"/>
  <c r="M25" i="49"/>
  <c r="N25" i="49"/>
  <c r="O26" i="49"/>
  <c r="O27" i="49"/>
  <c r="O28" i="49"/>
  <c r="O29" i="49"/>
  <c r="O30" i="49"/>
  <c r="O31" i="49"/>
  <c r="O32" i="49"/>
  <c r="O33" i="49"/>
  <c r="O34" i="49"/>
  <c r="O35" i="49"/>
  <c r="O36" i="49"/>
  <c r="O37" i="49"/>
  <c r="O38" i="49"/>
  <c r="O39" i="49"/>
  <c r="E40" i="49"/>
  <c r="F40" i="49"/>
  <c r="F41" i="49" s="1"/>
  <c r="G40" i="49"/>
  <c r="G41" i="49" s="1"/>
  <c r="H40" i="49"/>
  <c r="I40" i="49"/>
  <c r="I41" i="49" s="1"/>
  <c r="J40" i="49"/>
  <c r="K40" i="49"/>
  <c r="K41" i="49" s="1"/>
  <c r="L40" i="49"/>
  <c r="L41" i="49" s="1"/>
  <c r="M40" i="49"/>
  <c r="N40" i="49"/>
  <c r="N41" i="49" s="1"/>
  <c r="J41" i="49"/>
  <c r="M41" i="49"/>
  <c r="O42" i="49"/>
  <c r="E46" i="49"/>
  <c r="F46" i="49"/>
  <c r="G46" i="49"/>
  <c r="H46" i="49"/>
  <c r="I46" i="49"/>
  <c r="J46" i="49"/>
  <c r="K46" i="49"/>
  <c r="L46" i="49"/>
  <c r="M46" i="49"/>
  <c r="N47" i="49"/>
  <c r="N48" i="49"/>
  <c r="N49" i="49"/>
  <c r="N50" i="49"/>
  <c r="N51" i="49"/>
  <c r="N52" i="49"/>
  <c r="N53" i="49"/>
  <c r="N54" i="49"/>
  <c r="L55" i="49"/>
  <c r="M55" i="49"/>
  <c r="D56" i="49"/>
  <c r="E56" i="49"/>
  <c r="E55" i="49" s="1"/>
  <c r="F56" i="49"/>
  <c r="F55" i="49" s="1"/>
  <c r="G56" i="49"/>
  <c r="G55" i="49" s="1"/>
  <c r="H56" i="49"/>
  <c r="H55" i="49" s="1"/>
  <c r="I56" i="49"/>
  <c r="I55" i="49" s="1"/>
  <c r="J56" i="49"/>
  <c r="J55" i="49" s="1"/>
  <c r="K56" i="49"/>
  <c r="K55" i="49" s="1"/>
  <c r="L56" i="49"/>
  <c r="M56" i="49"/>
  <c r="U11" i="48"/>
  <c r="V11" i="48"/>
  <c r="U12" i="48"/>
  <c r="V12" i="48"/>
  <c r="U13" i="48"/>
  <c r="V13" i="48"/>
  <c r="U14" i="48"/>
  <c r="V14" i="48"/>
  <c r="U15" i="48"/>
  <c r="V15" i="48"/>
  <c r="V16" i="48"/>
  <c r="U17" i="48"/>
  <c r="V17" i="48"/>
  <c r="U18" i="48"/>
  <c r="V18" i="48"/>
  <c r="U19" i="48"/>
  <c r="V19" i="48"/>
  <c r="F25" i="48"/>
  <c r="G25" i="48"/>
  <c r="H25" i="48"/>
  <c r="I25" i="48"/>
  <c r="J25" i="48"/>
  <c r="K25" i="48"/>
  <c r="L25" i="48"/>
  <c r="M25" i="48"/>
  <c r="N25" i="48"/>
  <c r="O26" i="48"/>
  <c r="O27" i="48"/>
  <c r="O28" i="48"/>
  <c r="O29" i="48"/>
  <c r="O30" i="48"/>
  <c r="O31" i="48"/>
  <c r="O32" i="48"/>
  <c r="O33" i="48"/>
  <c r="O34" i="48"/>
  <c r="O35" i="48"/>
  <c r="O36" i="48"/>
  <c r="O37" i="48"/>
  <c r="O38" i="48"/>
  <c r="O39" i="48"/>
  <c r="E40" i="48"/>
  <c r="H41" i="48" s="1"/>
  <c r="F40" i="48"/>
  <c r="G40" i="48"/>
  <c r="H40" i="48"/>
  <c r="I40" i="48"/>
  <c r="I41" i="48" s="1"/>
  <c r="J40" i="48"/>
  <c r="J41" i="48" s="1"/>
  <c r="K40" i="48"/>
  <c r="K41" i="48" s="1"/>
  <c r="L40" i="48"/>
  <c r="M40" i="48"/>
  <c r="N40" i="48"/>
  <c r="M41" i="48"/>
  <c r="N41" i="48"/>
  <c r="O42" i="48"/>
  <c r="E46" i="48"/>
  <c r="F46" i="48"/>
  <c r="G46" i="48"/>
  <c r="H46" i="48"/>
  <c r="I46" i="48"/>
  <c r="J46" i="48"/>
  <c r="K46" i="48"/>
  <c r="L46" i="48"/>
  <c r="M46" i="48"/>
  <c r="N47" i="48"/>
  <c r="N48" i="48"/>
  <c r="N49" i="48"/>
  <c r="N50" i="48"/>
  <c r="N51" i="48"/>
  <c r="N52" i="48"/>
  <c r="N53" i="48"/>
  <c r="N54" i="48"/>
  <c r="H55" i="48"/>
  <c r="M55" i="48"/>
  <c r="D56" i="48"/>
  <c r="E56" i="48"/>
  <c r="E55" i="48" s="1"/>
  <c r="F56" i="48"/>
  <c r="F55" i="48" s="1"/>
  <c r="G56" i="48"/>
  <c r="G55" i="48" s="1"/>
  <c r="H56" i="48"/>
  <c r="I56" i="48"/>
  <c r="I55" i="48" s="1"/>
  <c r="J56" i="48"/>
  <c r="J55" i="48" s="1"/>
  <c r="K56" i="48"/>
  <c r="K55" i="48" s="1"/>
  <c r="L56" i="48"/>
  <c r="L55" i="48" s="1"/>
  <c r="M56" i="48"/>
  <c r="U11" i="47"/>
  <c r="V11" i="47"/>
  <c r="U12" i="47"/>
  <c r="V12" i="47"/>
  <c r="U13" i="47"/>
  <c r="V13" i="47"/>
  <c r="U14" i="47"/>
  <c r="V14" i="47"/>
  <c r="U15" i="47"/>
  <c r="V15" i="47"/>
  <c r="V16" i="47"/>
  <c r="U17" i="47"/>
  <c r="V17" i="47"/>
  <c r="U18" i="47"/>
  <c r="V18" i="47"/>
  <c r="U19" i="47"/>
  <c r="V19" i="47"/>
  <c r="F25" i="47"/>
  <c r="G25" i="47"/>
  <c r="H25" i="47"/>
  <c r="I25" i="47"/>
  <c r="J25" i="47"/>
  <c r="K25" i="47"/>
  <c r="L25" i="47"/>
  <c r="M25" i="47"/>
  <c r="N25" i="47"/>
  <c r="O26" i="47"/>
  <c r="O27" i="47"/>
  <c r="O28" i="47"/>
  <c r="O29" i="47"/>
  <c r="O30" i="47"/>
  <c r="O31" i="47"/>
  <c r="O32" i="47"/>
  <c r="O33" i="47"/>
  <c r="O34" i="47"/>
  <c r="O35" i="47"/>
  <c r="O36" i="47"/>
  <c r="O37" i="47"/>
  <c r="O38" i="47"/>
  <c r="O39" i="47"/>
  <c r="E40" i="47"/>
  <c r="G41" i="47" s="1"/>
  <c r="F40" i="47"/>
  <c r="G40" i="47"/>
  <c r="H40" i="47"/>
  <c r="H41" i="47" s="1"/>
  <c r="I40" i="47"/>
  <c r="J40" i="47"/>
  <c r="J41" i="47" s="1"/>
  <c r="K40" i="47"/>
  <c r="K41" i="47" s="1"/>
  <c r="L40" i="47"/>
  <c r="L41" i="47" s="1"/>
  <c r="M40" i="47"/>
  <c r="N40" i="47"/>
  <c r="I41" i="47"/>
  <c r="M41" i="47"/>
  <c r="N41" i="47"/>
  <c r="O42" i="47"/>
  <c r="E46" i="47"/>
  <c r="F46" i="47"/>
  <c r="G46" i="47"/>
  <c r="H46" i="47"/>
  <c r="I46" i="47"/>
  <c r="J46" i="47"/>
  <c r="K46" i="47"/>
  <c r="L46" i="47"/>
  <c r="M46" i="47"/>
  <c r="N47" i="47"/>
  <c r="N48" i="47"/>
  <c r="N49" i="47"/>
  <c r="N50" i="47"/>
  <c r="N51" i="47"/>
  <c r="N52" i="47"/>
  <c r="N53" i="47"/>
  <c r="N54" i="47"/>
  <c r="D56" i="47"/>
  <c r="E56" i="47"/>
  <c r="F56" i="47"/>
  <c r="F55" i="47" s="1"/>
  <c r="G56" i="47"/>
  <c r="G55" i="47" s="1"/>
  <c r="H56" i="47"/>
  <c r="H55" i="47" s="1"/>
  <c r="I56" i="47"/>
  <c r="I55" i="47" s="1"/>
  <c r="J56" i="47"/>
  <c r="J55" i="47" s="1"/>
  <c r="K56" i="47"/>
  <c r="K55" i="47" s="1"/>
  <c r="L56" i="47"/>
  <c r="L55" i="47" s="1"/>
  <c r="M56" i="47"/>
  <c r="M55" i="47" s="1"/>
  <c r="U11" i="46"/>
  <c r="V11" i="46"/>
  <c r="U12" i="46"/>
  <c r="V12" i="46"/>
  <c r="U13" i="46"/>
  <c r="V13" i="46"/>
  <c r="U14" i="46"/>
  <c r="V14" i="46"/>
  <c r="U15" i="46"/>
  <c r="V15" i="46"/>
  <c r="V16" i="46"/>
  <c r="U17" i="46"/>
  <c r="V17" i="46"/>
  <c r="U18" i="46"/>
  <c r="V18" i="46"/>
  <c r="U19" i="46"/>
  <c r="V19" i="46"/>
  <c r="F25" i="46"/>
  <c r="G25" i="46"/>
  <c r="H25" i="46"/>
  <c r="I25" i="46"/>
  <c r="J25" i="46"/>
  <c r="K25" i="46"/>
  <c r="L25" i="46"/>
  <c r="M25" i="46"/>
  <c r="N25" i="46"/>
  <c r="O26" i="46"/>
  <c r="O27" i="46"/>
  <c r="O28" i="46"/>
  <c r="O29" i="46"/>
  <c r="O30" i="46"/>
  <c r="O31" i="46"/>
  <c r="O32" i="46"/>
  <c r="O33" i="46"/>
  <c r="O34" i="46"/>
  <c r="O35" i="46"/>
  <c r="O36" i="46"/>
  <c r="O37" i="46"/>
  <c r="O38" i="46"/>
  <c r="O39" i="46"/>
  <c r="E40" i="46"/>
  <c r="G41" i="46" s="1"/>
  <c r="F40" i="46"/>
  <c r="G40" i="46"/>
  <c r="H40" i="46"/>
  <c r="I40" i="46"/>
  <c r="J40" i="46"/>
  <c r="K40" i="46"/>
  <c r="L40" i="46"/>
  <c r="M40" i="46"/>
  <c r="M41" i="46" s="1"/>
  <c r="N40" i="46"/>
  <c r="O42" i="46"/>
  <c r="E46" i="46"/>
  <c r="F46" i="46"/>
  <c r="G46" i="46"/>
  <c r="H46" i="46"/>
  <c r="I46" i="46"/>
  <c r="J46" i="46"/>
  <c r="K46" i="46"/>
  <c r="L46" i="46"/>
  <c r="M46" i="46"/>
  <c r="N47" i="46"/>
  <c r="N48" i="46"/>
  <c r="N49" i="46"/>
  <c r="N50" i="46"/>
  <c r="N51" i="46"/>
  <c r="N52" i="46"/>
  <c r="N53" i="46"/>
  <c r="N54" i="46"/>
  <c r="E55" i="46"/>
  <c r="L55" i="46"/>
  <c r="D56" i="46"/>
  <c r="E56" i="46"/>
  <c r="F56" i="46"/>
  <c r="F55" i="46" s="1"/>
  <c r="G56" i="46"/>
  <c r="N56" i="46" s="1"/>
  <c r="H56" i="46"/>
  <c r="H55" i="46" s="1"/>
  <c r="I56" i="46"/>
  <c r="I55" i="46" s="1"/>
  <c r="J56" i="46"/>
  <c r="J55" i="46" s="1"/>
  <c r="K56" i="46"/>
  <c r="K55" i="46" s="1"/>
  <c r="L56" i="46"/>
  <c r="M56" i="46"/>
  <c r="M55" i="46" s="1"/>
  <c r="U11" i="45"/>
  <c r="V11" i="45"/>
  <c r="U12" i="45"/>
  <c r="V12" i="45"/>
  <c r="U13" i="45"/>
  <c r="V13" i="45"/>
  <c r="U14" i="45"/>
  <c r="V14" i="45"/>
  <c r="U15" i="45"/>
  <c r="V15" i="45"/>
  <c r="V16" i="45"/>
  <c r="U17" i="45"/>
  <c r="V17" i="45"/>
  <c r="U18" i="45"/>
  <c r="V18" i="45"/>
  <c r="U19" i="45"/>
  <c r="V19" i="45"/>
  <c r="F25" i="45"/>
  <c r="G25" i="45"/>
  <c r="H25" i="45"/>
  <c r="I25" i="45"/>
  <c r="J25" i="45"/>
  <c r="K25" i="45"/>
  <c r="L25" i="45"/>
  <c r="M25" i="45"/>
  <c r="N25" i="45"/>
  <c r="O26" i="45"/>
  <c r="O27" i="45"/>
  <c r="O28" i="45"/>
  <c r="O29" i="45"/>
  <c r="O30" i="45"/>
  <c r="O31" i="45"/>
  <c r="O32" i="45"/>
  <c r="O33" i="45"/>
  <c r="O34" i="45"/>
  <c r="O35" i="45"/>
  <c r="O36" i="45"/>
  <c r="O37" i="45"/>
  <c r="O38" i="45"/>
  <c r="O39" i="45"/>
  <c r="E40" i="45"/>
  <c r="H41" i="45" s="1"/>
  <c r="F40" i="45"/>
  <c r="F41" i="45" s="1"/>
  <c r="G40" i="45"/>
  <c r="G41" i="45" s="1"/>
  <c r="H40" i="45"/>
  <c r="I40" i="45"/>
  <c r="J40" i="45"/>
  <c r="K40" i="45"/>
  <c r="L40" i="45"/>
  <c r="M40" i="45"/>
  <c r="M41" i="45" s="1"/>
  <c r="N40" i="45"/>
  <c r="N41" i="45" s="1"/>
  <c r="O42" i="45"/>
  <c r="E46" i="45"/>
  <c r="F46" i="45"/>
  <c r="G46" i="45"/>
  <c r="H46" i="45"/>
  <c r="I46" i="45"/>
  <c r="J46" i="45"/>
  <c r="K46" i="45"/>
  <c r="L46" i="45"/>
  <c r="M46" i="45"/>
  <c r="N47" i="45"/>
  <c r="N48" i="45"/>
  <c r="N49" i="45"/>
  <c r="N50" i="45"/>
  <c r="N51" i="45"/>
  <c r="N52" i="45"/>
  <c r="N53" i="45"/>
  <c r="N54" i="45"/>
  <c r="E55" i="45"/>
  <c r="L55" i="45"/>
  <c r="M55" i="45"/>
  <c r="D56" i="45"/>
  <c r="E56" i="45"/>
  <c r="F56" i="45"/>
  <c r="F55" i="45" s="1"/>
  <c r="G56" i="45"/>
  <c r="H56" i="45"/>
  <c r="H55" i="45" s="1"/>
  <c r="I56" i="45"/>
  <c r="I55" i="45" s="1"/>
  <c r="J56" i="45"/>
  <c r="J55" i="45" s="1"/>
  <c r="K56" i="45"/>
  <c r="K55" i="45" s="1"/>
  <c r="L56" i="45"/>
  <c r="M56" i="45"/>
  <c r="U11" i="44"/>
  <c r="V11" i="44"/>
  <c r="U12" i="44"/>
  <c r="V12" i="44"/>
  <c r="U13" i="44"/>
  <c r="V13" i="44"/>
  <c r="U14" i="44"/>
  <c r="V14" i="44"/>
  <c r="U15" i="44"/>
  <c r="V15" i="44"/>
  <c r="V16" i="44"/>
  <c r="U17" i="44"/>
  <c r="V17" i="44"/>
  <c r="U18" i="44"/>
  <c r="V18" i="44"/>
  <c r="U19" i="44"/>
  <c r="V19" i="44"/>
  <c r="F25" i="44"/>
  <c r="G25" i="44"/>
  <c r="H25" i="44"/>
  <c r="I25" i="44"/>
  <c r="J25" i="44"/>
  <c r="K25" i="44"/>
  <c r="L25" i="44"/>
  <c r="M25" i="44"/>
  <c r="N25" i="44"/>
  <c r="O26" i="44"/>
  <c r="O27" i="44"/>
  <c r="O28" i="44"/>
  <c r="O29" i="44"/>
  <c r="O30" i="44"/>
  <c r="O31" i="44"/>
  <c r="O32" i="44"/>
  <c r="O33" i="44"/>
  <c r="O34" i="44"/>
  <c r="O35" i="44"/>
  <c r="O36" i="44"/>
  <c r="O37" i="44"/>
  <c r="O38" i="44"/>
  <c r="O39" i="44"/>
  <c r="E40" i="44"/>
  <c r="F40" i="44"/>
  <c r="G40" i="44"/>
  <c r="G41" i="44" s="1"/>
  <c r="H40" i="44"/>
  <c r="I40" i="44"/>
  <c r="J40" i="44"/>
  <c r="K40" i="44"/>
  <c r="K41" i="44" s="1"/>
  <c r="L40" i="44"/>
  <c r="L41" i="44" s="1"/>
  <c r="M40" i="44"/>
  <c r="N40" i="44"/>
  <c r="N41" i="44" s="1"/>
  <c r="F41" i="44"/>
  <c r="H41" i="44"/>
  <c r="I41" i="44"/>
  <c r="J41" i="44"/>
  <c r="M41" i="44"/>
  <c r="O42" i="44"/>
  <c r="E46" i="44"/>
  <c r="F46" i="44"/>
  <c r="G46" i="44"/>
  <c r="H46" i="44"/>
  <c r="I46" i="44"/>
  <c r="J46" i="44"/>
  <c r="K46" i="44"/>
  <c r="L46" i="44"/>
  <c r="M46" i="44"/>
  <c r="N47" i="44"/>
  <c r="N48" i="44"/>
  <c r="N49" i="44"/>
  <c r="N50" i="44"/>
  <c r="N51" i="44"/>
  <c r="N52" i="44"/>
  <c r="N53" i="44"/>
  <c r="N54" i="44"/>
  <c r="E55" i="44"/>
  <c r="M55" i="44"/>
  <c r="D56" i="44"/>
  <c r="E56" i="44"/>
  <c r="F56" i="44"/>
  <c r="F55" i="44" s="1"/>
  <c r="G56" i="44"/>
  <c r="G55" i="44" s="1"/>
  <c r="H56" i="44"/>
  <c r="H55" i="44" s="1"/>
  <c r="I56" i="44"/>
  <c r="I55" i="44" s="1"/>
  <c r="J56" i="44"/>
  <c r="J55" i="44" s="1"/>
  <c r="K56" i="44"/>
  <c r="K55" i="44" s="1"/>
  <c r="L56" i="44"/>
  <c r="L55" i="44" s="1"/>
  <c r="M56" i="44"/>
  <c r="U11" i="43"/>
  <c r="V11" i="43"/>
  <c r="U12" i="43"/>
  <c r="V12" i="43"/>
  <c r="U13" i="43"/>
  <c r="V13" i="43"/>
  <c r="U14" i="43"/>
  <c r="V14" i="43"/>
  <c r="U15" i="43"/>
  <c r="V15" i="43"/>
  <c r="V16" i="43"/>
  <c r="U17" i="43"/>
  <c r="V17" i="43"/>
  <c r="U18" i="43"/>
  <c r="V18" i="43"/>
  <c r="U19" i="43"/>
  <c r="V19" i="43"/>
  <c r="F25" i="43"/>
  <c r="G25" i="43"/>
  <c r="H25" i="43"/>
  <c r="I25" i="43"/>
  <c r="J25" i="43"/>
  <c r="K25" i="43"/>
  <c r="L25" i="43"/>
  <c r="M25" i="43"/>
  <c r="N25" i="43"/>
  <c r="O26" i="43"/>
  <c r="O27" i="43"/>
  <c r="O28" i="43"/>
  <c r="O29" i="43"/>
  <c r="O30" i="43"/>
  <c r="O31" i="43"/>
  <c r="O32" i="43"/>
  <c r="O33" i="43"/>
  <c r="O34" i="43"/>
  <c r="O35" i="43"/>
  <c r="O36" i="43"/>
  <c r="O37" i="43"/>
  <c r="O38" i="43"/>
  <c r="O39" i="43"/>
  <c r="E40" i="43"/>
  <c r="F40" i="43"/>
  <c r="G40" i="43"/>
  <c r="H40" i="43"/>
  <c r="H41" i="43" s="1"/>
  <c r="I40" i="43"/>
  <c r="I41" i="43" s="1"/>
  <c r="J40" i="43"/>
  <c r="J41" i="43" s="1"/>
  <c r="K40" i="43"/>
  <c r="K41" i="43" s="1"/>
  <c r="L40" i="43"/>
  <c r="M40" i="43"/>
  <c r="N40" i="43"/>
  <c r="G41" i="43"/>
  <c r="M41" i="43"/>
  <c r="N41" i="43"/>
  <c r="O42" i="43"/>
  <c r="E46" i="43"/>
  <c r="F46" i="43"/>
  <c r="G46" i="43"/>
  <c r="H46" i="43"/>
  <c r="I46" i="43"/>
  <c r="J46" i="43"/>
  <c r="K46" i="43"/>
  <c r="L46" i="43"/>
  <c r="M46" i="43"/>
  <c r="N47" i="43"/>
  <c r="N48" i="43"/>
  <c r="N49" i="43"/>
  <c r="N50" i="43"/>
  <c r="N51" i="43"/>
  <c r="N52" i="43"/>
  <c r="N53" i="43"/>
  <c r="N54" i="43"/>
  <c r="D56" i="43"/>
  <c r="E56" i="43"/>
  <c r="E55" i="43" s="1"/>
  <c r="F56" i="43"/>
  <c r="F55" i="43" s="1"/>
  <c r="G56" i="43"/>
  <c r="G55" i="43" s="1"/>
  <c r="H56" i="43"/>
  <c r="H55" i="43" s="1"/>
  <c r="I56" i="43"/>
  <c r="I55" i="43" s="1"/>
  <c r="J56" i="43"/>
  <c r="J55" i="43" s="1"/>
  <c r="K56" i="43"/>
  <c r="K55" i="43" s="1"/>
  <c r="L56" i="43"/>
  <c r="L55" i="43" s="1"/>
  <c r="M56" i="43"/>
  <c r="M55" i="43" s="1"/>
  <c r="U11" i="42"/>
  <c r="V11" i="42"/>
  <c r="U12" i="42"/>
  <c r="V12" i="42"/>
  <c r="U13" i="42"/>
  <c r="V13" i="42"/>
  <c r="U14" i="42"/>
  <c r="V14" i="42"/>
  <c r="U15" i="42"/>
  <c r="V15" i="42"/>
  <c r="V16" i="42"/>
  <c r="U17" i="42"/>
  <c r="V17" i="42"/>
  <c r="U18" i="42"/>
  <c r="V18" i="42"/>
  <c r="U19" i="42"/>
  <c r="V19" i="42"/>
  <c r="F25" i="42"/>
  <c r="G25" i="42"/>
  <c r="H25" i="42"/>
  <c r="I25" i="42"/>
  <c r="J25" i="42"/>
  <c r="K25" i="42"/>
  <c r="L25" i="42"/>
  <c r="M25" i="42"/>
  <c r="N25" i="42"/>
  <c r="O26" i="42"/>
  <c r="O27" i="42"/>
  <c r="O28" i="42"/>
  <c r="O29" i="42"/>
  <c r="O30" i="42"/>
  <c r="O31" i="42"/>
  <c r="O32" i="42"/>
  <c r="O33" i="42"/>
  <c r="O34" i="42"/>
  <c r="O35" i="42"/>
  <c r="O36" i="42"/>
  <c r="O37" i="42"/>
  <c r="O38" i="42"/>
  <c r="O39" i="42"/>
  <c r="E40" i="42"/>
  <c r="J41" i="42" s="1"/>
  <c r="F40" i="42"/>
  <c r="G40" i="42"/>
  <c r="G41" i="42" s="1"/>
  <c r="H40" i="42"/>
  <c r="I40" i="42"/>
  <c r="J40" i="42"/>
  <c r="K40" i="42"/>
  <c r="K41" i="42" s="1"/>
  <c r="L40" i="42"/>
  <c r="L41" i="42" s="1"/>
  <c r="M40" i="42"/>
  <c r="M41" i="42" s="1"/>
  <c r="N40" i="42"/>
  <c r="F41" i="42"/>
  <c r="N41" i="42"/>
  <c r="O42" i="42"/>
  <c r="E46" i="42"/>
  <c r="F46" i="42"/>
  <c r="G46" i="42"/>
  <c r="H46" i="42"/>
  <c r="I46" i="42"/>
  <c r="J46" i="42"/>
  <c r="K46" i="42"/>
  <c r="L46" i="42"/>
  <c r="M46" i="42"/>
  <c r="N47" i="42"/>
  <c r="N48" i="42"/>
  <c r="N49" i="42"/>
  <c r="N50" i="42"/>
  <c r="N51" i="42"/>
  <c r="N52" i="42"/>
  <c r="N53" i="42"/>
  <c r="N54" i="42"/>
  <c r="L55" i="42"/>
  <c r="M55" i="42"/>
  <c r="D56" i="42"/>
  <c r="E56" i="42"/>
  <c r="E55" i="42" s="1"/>
  <c r="F56" i="42"/>
  <c r="F55" i="42" s="1"/>
  <c r="G56" i="42"/>
  <c r="H56" i="42"/>
  <c r="H55" i="42" s="1"/>
  <c r="I56" i="42"/>
  <c r="I55" i="42" s="1"/>
  <c r="J56" i="42"/>
  <c r="J55" i="42" s="1"/>
  <c r="K56" i="42"/>
  <c r="K55" i="42" s="1"/>
  <c r="L56" i="42"/>
  <c r="M56" i="42"/>
  <c r="U11" i="41"/>
  <c r="V11" i="41"/>
  <c r="U12" i="41"/>
  <c r="V12" i="41"/>
  <c r="U13" i="41"/>
  <c r="V13" i="41"/>
  <c r="U14" i="41"/>
  <c r="V14" i="41"/>
  <c r="U15" i="41"/>
  <c r="V15" i="41"/>
  <c r="V16" i="41"/>
  <c r="U17" i="41"/>
  <c r="V17" i="41"/>
  <c r="U18" i="41"/>
  <c r="V18" i="41"/>
  <c r="U19" i="41"/>
  <c r="V19" i="41"/>
  <c r="F25" i="41"/>
  <c r="G25" i="41"/>
  <c r="H25" i="41"/>
  <c r="I25" i="41"/>
  <c r="J25" i="41"/>
  <c r="K25" i="41"/>
  <c r="L25" i="41"/>
  <c r="M25" i="41"/>
  <c r="N25" i="41"/>
  <c r="O26" i="41"/>
  <c r="O27" i="41"/>
  <c r="O28" i="41"/>
  <c r="O29" i="41"/>
  <c r="O30" i="41"/>
  <c r="O31" i="41"/>
  <c r="O32" i="41"/>
  <c r="O33" i="41"/>
  <c r="O34" i="41"/>
  <c r="O35" i="41"/>
  <c r="O36" i="41"/>
  <c r="O37" i="41"/>
  <c r="O38" i="41"/>
  <c r="O39" i="41"/>
  <c r="E40" i="41"/>
  <c r="F40" i="41"/>
  <c r="F41" i="41" s="1"/>
  <c r="G40" i="41"/>
  <c r="G41" i="41" s="1"/>
  <c r="H40" i="41"/>
  <c r="I40" i="41"/>
  <c r="I41" i="41" s="1"/>
  <c r="J40" i="41"/>
  <c r="K40" i="41"/>
  <c r="K41" i="41" s="1"/>
  <c r="L40" i="41"/>
  <c r="L41" i="41" s="1"/>
  <c r="M40" i="41"/>
  <c r="M41" i="41" s="1"/>
  <c r="N40" i="41"/>
  <c r="N41" i="41"/>
  <c r="O42" i="41"/>
  <c r="E46" i="41"/>
  <c r="F46" i="41"/>
  <c r="G46" i="41"/>
  <c r="H46" i="41"/>
  <c r="I46" i="41"/>
  <c r="J46" i="41"/>
  <c r="K46" i="41"/>
  <c r="L46" i="41"/>
  <c r="M46" i="41"/>
  <c r="N47" i="41"/>
  <c r="N48" i="41"/>
  <c r="N49" i="41"/>
  <c r="N50" i="41"/>
  <c r="N51" i="41"/>
  <c r="N52" i="41"/>
  <c r="N53" i="41"/>
  <c r="N54" i="41"/>
  <c r="D56" i="41"/>
  <c r="E56" i="41"/>
  <c r="E55" i="41" s="1"/>
  <c r="F56" i="41"/>
  <c r="F55" i="41" s="1"/>
  <c r="G56" i="41"/>
  <c r="G55" i="41" s="1"/>
  <c r="H56" i="41"/>
  <c r="H55" i="41" s="1"/>
  <c r="I56" i="41"/>
  <c r="I55" i="41" s="1"/>
  <c r="J56" i="41"/>
  <c r="J55" i="41" s="1"/>
  <c r="K56" i="41"/>
  <c r="K55" i="41" s="1"/>
  <c r="L56" i="41"/>
  <c r="L55" i="41" s="1"/>
  <c r="M56" i="41"/>
  <c r="M55" i="41" s="1"/>
  <c r="U11" i="40"/>
  <c r="V11" i="40"/>
  <c r="U12" i="40"/>
  <c r="V12" i="40"/>
  <c r="U13" i="40"/>
  <c r="V13" i="40"/>
  <c r="U14" i="40"/>
  <c r="V14" i="40"/>
  <c r="U15" i="40"/>
  <c r="V15" i="40"/>
  <c r="V16" i="40"/>
  <c r="U17" i="40"/>
  <c r="V17" i="40"/>
  <c r="U18" i="40"/>
  <c r="V18" i="40"/>
  <c r="U19" i="40"/>
  <c r="V19" i="40"/>
  <c r="F25" i="40"/>
  <c r="G25" i="40"/>
  <c r="H25" i="40"/>
  <c r="I25" i="40"/>
  <c r="J25" i="40"/>
  <c r="K25" i="40"/>
  <c r="L25" i="40"/>
  <c r="M25" i="40"/>
  <c r="N25" i="40"/>
  <c r="O26" i="40"/>
  <c r="O27" i="40"/>
  <c r="O28" i="40"/>
  <c r="O29" i="40"/>
  <c r="O30" i="40"/>
  <c r="O31" i="40"/>
  <c r="O32" i="40"/>
  <c r="O33" i="40"/>
  <c r="O34" i="40"/>
  <c r="O35" i="40"/>
  <c r="O36" i="40"/>
  <c r="O37" i="40"/>
  <c r="O38" i="40"/>
  <c r="O39" i="40"/>
  <c r="E40" i="40"/>
  <c r="H41" i="40" s="1"/>
  <c r="F40" i="40"/>
  <c r="G40" i="40"/>
  <c r="H40" i="40"/>
  <c r="I40" i="40"/>
  <c r="J40" i="40"/>
  <c r="K40" i="40"/>
  <c r="K41" i="40" s="1"/>
  <c r="L40" i="40"/>
  <c r="L41" i="40" s="1"/>
  <c r="M40" i="40"/>
  <c r="M41" i="40" s="1"/>
  <c r="N40" i="40"/>
  <c r="G41" i="40"/>
  <c r="N41" i="40"/>
  <c r="O42" i="40"/>
  <c r="E46" i="40"/>
  <c r="F46" i="40"/>
  <c r="G46" i="40"/>
  <c r="H46" i="40"/>
  <c r="I46" i="40"/>
  <c r="J46" i="40"/>
  <c r="K46" i="40"/>
  <c r="L46" i="40"/>
  <c r="M46" i="40"/>
  <c r="N47" i="40"/>
  <c r="N48" i="40"/>
  <c r="N49" i="40"/>
  <c r="N50" i="40"/>
  <c r="N51" i="40"/>
  <c r="N52" i="40"/>
  <c r="N53" i="40"/>
  <c r="N54" i="40"/>
  <c r="E55" i="40"/>
  <c r="L55" i="40"/>
  <c r="M55" i="40"/>
  <c r="D56" i="40"/>
  <c r="E56" i="40"/>
  <c r="F56" i="40"/>
  <c r="F55" i="40" s="1"/>
  <c r="G56" i="40"/>
  <c r="G55" i="40" s="1"/>
  <c r="H56" i="40"/>
  <c r="H55" i="40" s="1"/>
  <c r="I56" i="40"/>
  <c r="I55" i="40" s="1"/>
  <c r="J56" i="40"/>
  <c r="J55" i="40" s="1"/>
  <c r="K56" i="40"/>
  <c r="K55" i="40" s="1"/>
  <c r="L56" i="40"/>
  <c r="M56" i="40"/>
  <c r="U11" i="39"/>
  <c r="V11" i="39"/>
  <c r="U12" i="39"/>
  <c r="V12" i="39"/>
  <c r="U13" i="39"/>
  <c r="V13" i="39"/>
  <c r="U14" i="39"/>
  <c r="V14" i="39"/>
  <c r="U15" i="39"/>
  <c r="V15" i="39"/>
  <c r="V16" i="39"/>
  <c r="U17" i="39"/>
  <c r="V17" i="39"/>
  <c r="U18" i="39"/>
  <c r="V18" i="39"/>
  <c r="U19" i="39"/>
  <c r="V19" i="39"/>
  <c r="F25" i="39"/>
  <c r="G25" i="39"/>
  <c r="H25" i="39"/>
  <c r="I25" i="39"/>
  <c r="J25" i="39"/>
  <c r="K25" i="39"/>
  <c r="L25" i="39"/>
  <c r="M25" i="39"/>
  <c r="N25" i="39"/>
  <c r="O26" i="39"/>
  <c r="O27" i="39"/>
  <c r="O28" i="39"/>
  <c r="O29" i="39"/>
  <c r="O30" i="39"/>
  <c r="O31" i="39"/>
  <c r="O32" i="39"/>
  <c r="O33" i="39"/>
  <c r="O34" i="39"/>
  <c r="O35" i="39"/>
  <c r="O36" i="39"/>
  <c r="O37" i="39"/>
  <c r="O38" i="39"/>
  <c r="O39" i="39"/>
  <c r="E40" i="39"/>
  <c r="G41" i="39" s="1"/>
  <c r="F40" i="39"/>
  <c r="F41" i="39" s="1"/>
  <c r="G40" i="39"/>
  <c r="H40" i="39"/>
  <c r="I40" i="39"/>
  <c r="J40" i="39"/>
  <c r="K40" i="39"/>
  <c r="L40" i="39"/>
  <c r="M40" i="39"/>
  <c r="M41" i="39" s="1"/>
  <c r="N40" i="39"/>
  <c r="N41" i="39" s="1"/>
  <c r="O42" i="39"/>
  <c r="E46" i="39"/>
  <c r="F46" i="39"/>
  <c r="G46" i="39"/>
  <c r="H46" i="39"/>
  <c r="I46" i="39"/>
  <c r="J46" i="39"/>
  <c r="K46" i="39"/>
  <c r="L46" i="39"/>
  <c r="M46" i="39"/>
  <c r="N47" i="39"/>
  <c r="N48" i="39"/>
  <c r="N49" i="39"/>
  <c r="N50" i="39"/>
  <c r="N51" i="39"/>
  <c r="N52" i="39"/>
  <c r="N53" i="39"/>
  <c r="N54" i="39"/>
  <c r="E55" i="39"/>
  <c r="M55" i="39"/>
  <c r="D56" i="39"/>
  <c r="E56" i="39"/>
  <c r="F56" i="39"/>
  <c r="F55" i="39" s="1"/>
  <c r="G56" i="39"/>
  <c r="G55" i="39" s="1"/>
  <c r="H56" i="39"/>
  <c r="H55" i="39" s="1"/>
  <c r="I56" i="39"/>
  <c r="I55" i="39" s="1"/>
  <c r="J56" i="39"/>
  <c r="J55" i="39" s="1"/>
  <c r="K56" i="39"/>
  <c r="K55" i="39" s="1"/>
  <c r="L56" i="39"/>
  <c r="L55" i="39" s="1"/>
  <c r="M56" i="39"/>
  <c r="U11" i="38"/>
  <c r="V11" i="38"/>
  <c r="U12" i="38"/>
  <c r="V12" i="38"/>
  <c r="U13" i="38"/>
  <c r="V13" i="38"/>
  <c r="U14" i="38"/>
  <c r="V14" i="38"/>
  <c r="U15" i="38"/>
  <c r="V15" i="38"/>
  <c r="V16" i="38"/>
  <c r="U17" i="38"/>
  <c r="V17" i="38"/>
  <c r="U18" i="38"/>
  <c r="V18" i="38"/>
  <c r="U19" i="38"/>
  <c r="V19" i="38"/>
  <c r="F25" i="38"/>
  <c r="G25" i="38"/>
  <c r="H25" i="38"/>
  <c r="I25" i="38"/>
  <c r="J25" i="38"/>
  <c r="K25" i="38"/>
  <c r="L25" i="38"/>
  <c r="M25" i="38"/>
  <c r="N25" i="38"/>
  <c r="O26" i="38"/>
  <c r="O27" i="38"/>
  <c r="O28" i="38"/>
  <c r="O29" i="38"/>
  <c r="O30" i="38"/>
  <c r="O31" i="38"/>
  <c r="O32" i="38"/>
  <c r="O33" i="38"/>
  <c r="O34" i="38"/>
  <c r="O35" i="38"/>
  <c r="O36" i="38"/>
  <c r="O37" i="38"/>
  <c r="O38" i="38"/>
  <c r="O39" i="38"/>
  <c r="E40" i="38"/>
  <c r="F40" i="38"/>
  <c r="G40" i="38"/>
  <c r="H40" i="38"/>
  <c r="O40" i="38" s="1"/>
  <c r="I40" i="38"/>
  <c r="I41" i="38" s="1"/>
  <c r="J40" i="38"/>
  <c r="K40" i="38"/>
  <c r="K41" i="38" s="1"/>
  <c r="L40" i="38"/>
  <c r="M40" i="38"/>
  <c r="M41" i="38" s="1"/>
  <c r="N40" i="38"/>
  <c r="F41" i="38"/>
  <c r="G41" i="38"/>
  <c r="J41" i="38"/>
  <c r="N41" i="38"/>
  <c r="O42" i="38"/>
  <c r="E46" i="38"/>
  <c r="F46" i="38"/>
  <c r="G46" i="38"/>
  <c r="H46" i="38"/>
  <c r="I46" i="38"/>
  <c r="J46" i="38"/>
  <c r="K46" i="38"/>
  <c r="L46" i="38"/>
  <c r="M46" i="38"/>
  <c r="N47" i="38"/>
  <c r="N48" i="38"/>
  <c r="N49" i="38"/>
  <c r="N50" i="38"/>
  <c r="N51" i="38"/>
  <c r="N52" i="38"/>
  <c r="N53" i="38"/>
  <c r="N54" i="38"/>
  <c r="E55" i="38"/>
  <c r="M55" i="38"/>
  <c r="D56" i="38"/>
  <c r="E56" i="38"/>
  <c r="F56" i="38"/>
  <c r="F55" i="38" s="1"/>
  <c r="G56" i="38"/>
  <c r="G55" i="38" s="1"/>
  <c r="H56" i="38"/>
  <c r="H55" i="38" s="1"/>
  <c r="I56" i="38"/>
  <c r="I55" i="38" s="1"/>
  <c r="J56" i="38"/>
  <c r="J55" i="38" s="1"/>
  <c r="K56" i="38"/>
  <c r="K55" i="38" s="1"/>
  <c r="L56" i="38"/>
  <c r="L55" i="38" s="1"/>
  <c r="M56" i="38"/>
  <c r="U11" i="37"/>
  <c r="V11" i="37"/>
  <c r="U12" i="37"/>
  <c r="V12" i="37"/>
  <c r="U13" i="37"/>
  <c r="V13" i="37"/>
  <c r="U14" i="37"/>
  <c r="V14" i="37"/>
  <c r="U15" i="37"/>
  <c r="V15" i="37"/>
  <c r="V16" i="37"/>
  <c r="U17" i="37"/>
  <c r="V17" i="37"/>
  <c r="U18" i="37"/>
  <c r="V18" i="37"/>
  <c r="U19" i="37"/>
  <c r="V19" i="37"/>
  <c r="F25" i="37"/>
  <c r="G25" i="37"/>
  <c r="H25" i="37"/>
  <c r="I25" i="37"/>
  <c r="J25" i="37"/>
  <c r="K25" i="37"/>
  <c r="L25" i="37"/>
  <c r="M25" i="37"/>
  <c r="N25" i="37"/>
  <c r="O26" i="37"/>
  <c r="O27" i="37"/>
  <c r="O28" i="37"/>
  <c r="O29" i="37"/>
  <c r="O30" i="37"/>
  <c r="O31" i="37"/>
  <c r="O32" i="37"/>
  <c r="O33" i="37"/>
  <c r="O34" i="37"/>
  <c r="O35" i="37"/>
  <c r="O36" i="37"/>
  <c r="O37" i="37"/>
  <c r="O38" i="37"/>
  <c r="O39" i="37"/>
  <c r="E40" i="37"/>
  <c r="F40" i="37"/>
  <c r="G40" i="37"/>
  <c r="G41" i="37" s="1"/>
  <c r="H40" i="37"/>
  <c r="I40" i="37"/>
  <c r="J40" i="37"/>
  <c r="K40" i="37"/>
  <c r="K41" i="37" s="1"/>
  <c r="L40" i="37"/>
  <c r="M40" i="37"/>
  <c r="N40" i="37"/>
  <c r="N41" i="37" s="1"/>
  <c r="H41" i="37"/>
  <c r="I41" i="37"/>
  <c r="J41" i="37"/>
  <c r="M41" i="37"/>
  <c r="O42" i="37"/>
  <c r="E46" i="37"/>
  <c r="F46" i="37"/>
  <c r="G46" i="37"/>
  <c r="H46" i="37"/>
  <c r="I46" i="37"/>
  <c r="J46" i="37"/>
  <c r="K46" i="37"/>
  <c r="L46" i="37"/>
  <c r="M46" i="37"/>
  <c r="N47" i="37"/>
  <c r="N48" i="37"/>
  <c r="N49" i="37"/>
  <c r="N50" i="37"/>
  <c r="N51" i="37"/>
  <c r="N52" i="37"/>
  <c r="N53" i="37"/>
  <c r="N54" i="37"/>
  <c r="E55" i="37"/>
  <c r="L55" i="37"/>
  <c r="D56" i="37"/>
  <c r="E56" i="37"/>
  <c r="F56" i="37"/>
  <c r="F55" i="37" s="1"/>
  <c r="G56" i="37"/>
  <c r="G55" i="37" s="1"/>
  <c r="H56" i="37"/>
  <c r="H55" i="37" s="1"/>
  <c r="I56" i="37"/>
  <c r="I55" i="37" s="1"/>
  <c r="J56" i="37"/>
  <c r="J55" i="37" s="1"/>
  <c r="K56" i="37"/>
  <c r="K55" i="37" s="1"/>
  <c r="L56" i="37"/>
  <c r="M56" i="37"/>
  <c r="M55" i="37" s="1"/>
  <c r="U11" i="36"/>
  <c r="V11" i="36"/>
  <c r="U12" i="36"/>
  <c r="V12" i="36"/>
  <c r="U13" i="36"/>
  <c r="V13" i="36"/>
  <c r="U14" i="36"/>
  <c r="V14" i="36"/>
  <c r="U15" i="36"/>
  <c r="V15" i="36"/>
  <c r="V16" i="36"/>
  <c r="U17" i="36"/>
  <c r="V17" i="36"/>
  <c r="U18" i="36"/>
  <c r="V18" i="36"/>
  <c r="U19" i="36"/>
  <c r="V19" i="36"/>
  <c r="F25" i="36"/>
  <c r="G25" i="36"/>
  <c r="H25" i="36"/>
  <c r="I25" i="36"/>
  <c r="J25" i="36"/>
  <c r="K25" i="36"/>
  <c r="L25" i="36"/>
  <c r="M25" i="36"/>
  <c r="N25" i="36"/>
  <c r="O26" i="36"/>
  <c r="O27" i="36"/>
  <c r="O28" i="36"/>
  <c r="O29" i="36"/>
  <c r="O30" i="36"/>
  <c r="O31" i="36"/>
  <c r="O32" i="36"/>
  <c r="O33" i="36"/>
  <c r="O34" i="36"/>
  <c r="O35" i="36"/>
  <c r="O36" i="36"/>
  <c r="O37" i="36"/>
  <c r="O38" i="36"/>
  <c r="O39" i="36"/>
  <c r="E40" i="36"/>
  <c r="F40" i="36"/>
  <c r="G40" i="36"/>
  <c r="G41" i="36" s="1"/>
  <c r="H40" i="36"/>
  <c r="H41" i="36" s="1"/>
  <c r="I40" i="36"/>
  <c r="I41" i="36" s="1"/>
  <c r="J40" i="36"/>
  <c r="J41" i="36" s="1"/>
  <c r="K40" i="36"/>
  <c r="K41" i="36" s="1"/>
  <c r="L40" i="36"/>
  <c r="L41" i="36" s="1"/>
  <c r="M40" i="36"/>
  <c r="N40" i="36"/>
  <c r="M41" i="36"/>
  <c r="N41" i="36"/>
  <c r="O42" i="36"/>
  <c r="E46" i="36"/>
  <c r="F46" i="36"/>
  <c r="G46" i="36"/>
  <c r="H46" i="36"/>
  <c r="I46" i="36"/>
  <c r="J46" i="36"/>
  <c r="K46" i="36"/>
  <c r="L46" i="36"/>
  <c r="M46" i="36"/>
  <c r="N47" i="36"/>
  <c r="N48" i="36"/>
  <c r="N49" i="36"/>
  <c r="N50" i="36"/>
  <c r="N51" i="36"/>
  <c r="N52" i="36"/>
  <c r="N53" i="36"/>
  <c r="N54" i="36"/>
  <c r="E55" i="36"/>
  <c r="L55" i="36"/>
  <c r="D56" i="36"/>
  <c r="E56" i="36"/>
  <c r="F56" i="36"/>
  <c r="F55" i="36" s="1"/>
  <c r="G56" i="36"/>
  <c r="G55" i="36" s="1"/>
  <c r="H56" i="36"/>
  <c r="H55" i="36" s="1"/>
  <c r="I56" i="36"/>
  <c r="I55" i="36" s="1"/>
  <c r="J56" i="36"/>
  <c r="J55" i="36" s="1"/>
  <c r="K56" i="36"/>
  <c r="K55" i="36" s="1"/>
  <c r="L56" i="36"/>
  <c r="M56" i="36"/>
  <c r="M55" i="36" s="1"/>
  <c r="U11" i="35"/>
  <c r="V11" i="35"/>
  <c r="U12" i="35"/>
  <c r="V12" i="35"/>
  <c r="U13" i="35"/>
  <c r="V13" i="35"/>
  <c r="U14" i="35"/>
  <c r="V14" i="35"/>
  <c r="U15" i="35"/>
  <c r="V15" i="35"/>
  <c r="V16" i="35"/>
  <c r="U17" i="35"/>
  <c r="V17" i="35"/>
  <c r="U18" i="35"/>
  <c r="V18" i="35"/>
  <c r="U19" i="35"/>
  <c r="V19" i="35"/>
  <c r="F25" i="35"/>
  <c r="G25" i="35"/>
  <c r="H25" i="35"/>
  <c r="I25" i="35"/>
  <c r="J25" i="35"/>
  <c r="K25" i="35"/>
  <c r="L25" i="35"/>
  <c r="M25" i="35"/>
  <c r="N25" i="35"/>
  <c r="O26" i="35"/>
  <c r="O27" i="35"/>
  <c r="O28" i="35"/>
  <c r="O29" i="35"/>
  <c r="O30" i="35"/>
  <c r="O31" i="35"/>
  <c r="O32" i="35"/>
  <c r="O33" i="35"/>
  <c r="O34" i="35"/>
  <c r="O35" i="35"/>
  <c r="O36" i="35"/>
  <c r="O37" i="35"/>
  <c r="O38" i="35"/>
  <c r="O39" i="35"/>
  <c r="E40" i="35"/>
  <c r="G41" i="35" s="1"/>
  <c r="F40" i="35"/>
  <c r="F41" i="35" s="1"/>
  <c r="G40" i="35"/>
  <c r="H40" i="35"/>
  <c r="I40" i="35"/>
  <c r="J40" i="35"/>
  <c r="K40" i="35"/>
  <c r="L40" i="35"/>
  <c r="M40" i="35"/>
  <c r="M41" i="35" s="1"/>
  <c r="N40" i="35"/>
  <c r="N41" i="35" s="1"/>
  <c r="O42" i="35"/>
  <c r="E46" i="35"/>
  <c r="F46" i="35"/>
  <c r="G46" i="35"/>
  <c r="H46" i="35"/>
  <c r="I46" i="35"/>
  <c r="J46" i="35"/>
  <c r="K46" i="35"/>
  <c r="L46" i="35"/>
  <c r="M46" i="35"/>
  <c r="N47" i="35"/>
  <c r="N48" i="35"/>
  <c r="N49" i="35"/>
  <c r="N50" i="35"/>
  <c r="N51" i="35"/>
  <c r="N52" i="35"/>
  <c r="N53" i="35"/>
  <c r="N54" i="35"/>
  <c r="E55" i="35"/>
  <c r="L55" i="35"/>
  <c r="D56" i="35"/>
  <c r="E56" i="35"/>
  <c r="F56" i="35"/>
  <c r="F55" i="35" s="1"/>
  <c r="G56" i="35"/>
  <c r="G55" i="35" s="1"/>
  <c r="H56" i="35"/>
  <c r="H55" i="35" s="1"/>
  <c r="I56" i="35"/>
  <c r="I55" i="35" s="1"/>
  <c r="J56" i="35"/>
  <c r="J55" i="35" s="1"/>
  <c r="K56" i="35"/>
  <c r="K55" i="35" s="1"/>
  <c r="L56" i="35"/>
  <c r="M56" i="35"/>
  <c r="M55" i="35" s="1"/>
  <c r="U11" i="34"/>
  <c r="V11" i="34"/>
  <c r="U12" i="34"/>
  <c r="V12" i="34"/>
  <c r="U13" i="34"/>
  <c r="V13" i="34"/>
  <c r="U14" i="34"/>
  <c r="V14" i="34"/>
  <c r="U15" i="34"/>
  <c r="V15" i="34"/>
  <c r="V16" i="34"/>
  <c r="U17" i="34"/>
  <c r="V17" i="34"/>
  <c r="U18" i="34"/>
  <c r="V18" i="34"/>
  <c r="U19" i="34"/>
  <c r="V19" i="34"/>
  <c r="F25" i="34"/>
  <c r="G25" i="34"/>
  <c r="H25" i="34"/>
  <c r="I25" i="34"/>
  <c r="J25" i="34"/>
  <c r="K25" i="34"/>
  <c r="L25" i="34"/>
  <c r="M25" i="34"/>
  <c r="N25" i="34"/>
  <c r="O26" i="34"/>
  <c r="O27" i="34"/>
  <c r="O28" i="34"/>
  <c r="O29" i="34"/>
  <c r="O30" i="34"/>
  <c r="O31" i="34"/>
  <c r="O32" i="34"/>
  <c r="O33" i="34"/>
  <c r="O34" i="34"/>
  <c r="O35" i="34"/>
  <c r="O36" i="34"/>
  <c r="O37" i="34"/>
  <c r="O38" i="34"/>
  <c r="O39" i="34"/>
  <c r="E40" i="34"/>
  <c r="F40" i="34"/>
  <c r="G40" i="34"/>
  <c r="H40" i="34"/>
  <c r="I40" i="34"/>
  <c r="I41" i="34" s="1"/>
  <c r="J40" i="34"/>
  <c r="J41" i="34" s="1"/>
  <c r="K40" i="34"/>
  <c r="L40" i="34"/>
  <c r="L41" i="34" s="1"/>
  <c r="M40" i="34"/>
  <c r="M41" i="34" s="1"/>
  <c r="N40" i="34"/>
  <c r="G41" i="34"/>
  <c r="H41" i="34"/>
  <c r="N41" i="34"/>
  <c r="O42" i="34"/>
  <c r="E46" i="34"/>
  <c r="F46" i="34"/>
  <c r="G46" i="34"/>
  <c r="H46" i="34"/>
  <c r="I46" i="34"/>
  <c r="J46" i="34"/>
  <c r="K46" i="34"/>
  <c r="L46" i="34"/>
  <c r="M46" i="34"/>
  <c r="N47" i="34"/>
  <c r="N48" i="34"/>
  <c r="N49" i="34"/>
  <c r="N50" i="34"/>
  <c r="N51" i="34"/>
  <c r="N52" i="34"/>
  <c r="N53" i="34"/>
  <c r="N54" i="34"/>
  <c r="D56" i="34"/>
  <c r="E56" i="34"/>
  <c r="E55" i="34" s="1"/>
  <c r="F56" i="34"/>
  <c r="F55" i="34" s="1"/>
  <c r="G56" i="34"/>
  <c r="G55" i="34" s="1"/>
  <c r="H56" i="34"/>
  <c r="H55" i="34" s="1"/>
  <c r="I56" i="34"/>
  <c r="I55" i="34" s="1"/>
  <c r="J56" i="34"/>
  <c r="J55" i="34" s="1"/>
  <c r="K56" i="34"/>
  <c r="K55" i="34" s="1"/>
  <c r="L56" i="34"/>
  <c r="L55" i="34" s="1"/>
  <c r="M56" i="34"/>
  <c r="M55" i="34" s="1"/>
  <c r="U11" i="33"/>
  <c r="V11" i="33"/>
  <c r="U12" i="33"/>
  <c r="V12" i="33"/>
  <c r="U13" i="33"/>
  <c r="V13" i="33"/>
  <c r="U14" i="33"/>
  <c r="V14" i="33"/>
  <c r="U15" i="33"/>
  <c r="V15" i="33"/>
  <c r="V16" i="33"/>
  <c r="U17" i="33"/>
  <c r="V17" i="33"/>
  <c r="U18" i="33"/>
  <c r="V18" i="33"/>
  <c r="U19" i="33"/>
  <c r="V19" i="33"/>
  <c r="F25" i="33"/>
  <c r="G25" i="33"/>
  <c r="H25" i="33"/>
  <c r="I25" i="33"/>
  <c r="J25" i="33"/>
  <c r="K25" i="33"/>
  <c r="L25" i="33"/>
  <c r="M25" i="33"/>
  <c r="N25" i="33"/>
  <c r="O26" i="33"/>
  <c r="O27" i="33"/>
  <c r="O28" i="33"/>
  <c r="O29" i="33"/>
  <c r="O30" i="33"/>
  <c r="O31" i="33"/>
  <c r="O32" i="33"/>
  <c r="O33" i="33"/>
  <c r="O34" i="33"/>
  <c r="O35" i="33"/>
  <c r="O36" i="33"/>
  <c r="O37" i="33"/>
  <c r="O38" i="33"/>
  <c r="O39" i="33"/>
  <c r="E40" i="33"/>
  <c r="F40" i="33"/>
  <c r="G40" i="33"/>
  <c r="H40" i="33"/>
  <c r="I40" i="33"/>
  <c r="J40" i="33"/>
  <c r="K40" i="33"/>
  <c r="K41" i="33" s="1"/>
  <c r="L40" i="33"/>
  <c r="L41" i="33" s="1"/>
  <c r="M40" i="33"/>
  <c r="M41" i="33" s="1"/>
  <c r="N40" i="33"/>
  <c r="O42" i="33"/>
  <c r="E46" i="33"/>
  <c r="F46" i="33"/>
  <c r="G46" i="33"/>
  <c r="H46" i="33"/>
  <c r="I46" i="33"/>
  <c r="J46" i="33"/>
  <c r="K46" i="33"/>
  <c r="L46" i="33"/>
  <c r="M46" i="33"/>
  <c r="N47" i="33"/>
  <c r="N48" i="33"/>
  <c r="N49" i="33"/>
  <c r="N50" i="33"/>
  <c r="N51" i="33"/>
  <c r="N52" i="33"/>
  <c r="N53" i="33"/>
  <c r="N54" i="33"/>
  <c r="E55" i="33"/>
  <c r="F55" i="33"/>
  <c r="M55" i="33"/>
  <c r="D56" i="33"/>
  <c r="E56" i="33"/>
  <c r="F56" i="33"/>
  <c r="G56" i="33"/>
  <c r="G55" i="33" s="1"/>
  <c r="H56" i="33"/>
  <c r="H55" i="33" s="1"/>
  <c r="I56" i="33"/>
  <c r="I55" i="33" s="1"/>
  <c r="J56" i="33"/>
  <c r="J55" i="33" s="1"/>
  <c r="K56" i="33"/>
  <c r="K55" i="33" s="1"/>
  <c r="L56" i="33"/>
  <c r="L55" i="33" s="1"/>
  <c r="M56" i="33"/>
  <c r="U11" i="32"/>
  <c r="V11" i="32"/>
  <c r="U12" i="32"/>
  <c r="V12" i="32"/>
  <c r="U13" i="32"/>
  <c r="V13" i="32"/>
  <c r="U14" i="32"/>
  <c r="V14" i="32"/>
  <c r="U15" i="32"/>
  <c r="V15" i="32"/>
  <c r="V16" i="32"/>
  <c r="U17" i="32"/>
  <c r="V17" i="32"/>
  <c r="U18" i="32"/>
  <c r="V18" i="32"/>
  <c r="U19" i="32"/>
  <c r="V19" i="32"/>
  <c r="F25" i="32"/>
  <c r="G25" i="32"/>
  <c r="H25" i="32"/>
  <c r="I25" i="32"/>
  <c r="J25" i="32"/>
  <c r="K25" i="32"/>
  <c r="L25" i="32"/>
  <c r="M25" i="32"/>
  <c r="N25" i="32"/>
  <c r="O26" i="32"/>
  <c r="O27" i="32"/>
  <c r="O28" i="32"/>
  <c r="O29" i="32"/>
  <c r="O30" i="32"/>
  <c r="O31" i="32"/>
  <c r="O32" i="32"/>
  <c r="O33" i="32"/>
  <c r="O34" i="32"/>
  <c r="O35" i="32"/>
  <c r="O36" i="32"/>
  <c r="O37" i="32"/>
  <c r="O38" i="32"/>
  <c r="O39" i="32"/>
  <c r="E40" i="32"/>
  <c r="G41" i="32" s="1"/>
  <c r="F40" i="32"/>
  <c r="F41" i="32" s="1"/>
  <c r="G40" i="32"/>
  <c r="H40" i="32"/>
  <c r="I40" i="32"/>
  <c r="I41" i="32" s="1"/>
  <c r="J40" i="32"/>
  <c r="J41" i="32" s="1"/>
  <c r="K40" i="32"/>
  <c r="K41" i="32" s="1"/>
  <c r="L40" i="32"/>
  <c r="M40" i="32"/>
  <c r="N40" i="32"/>
  <c r="M41" i="32"/>
  <c r="N41" i="32"/>
  <c r="O42" i="32"/>
  <c r="E46" i="32"/>
  <c r="F46" i="32"/>
  <c r="G46" i="32"/>
  <c r="H46" i="32"/>
  <c r="I46" i="32"/>
  <c r="J46" i="32"/>
  <c r="K46" i="32"/>
  <c r="L46" i="32"/>
  <c r="M46" i="32"/>
  <c r="N47" i="32"/>
  <c r="N48" i="32"/>
  <c r="N49" i="32"/>
  <c r="N50" i="32"/>
  <c r="N51" i="32"/>
  <c r="N52" i="32"/>
  <c r="N53" i="32"/>
  <c r="N54" i="32"/>
  <c r="D56" i="32"/>
  <c r="E56" i="32"/>
  <c r="E55" i="32" s="1"/>
  <c r="F56" i="32"/>
  <c r="F55" i="32" s="1"/>
  <c r="G56" i="32"/>
  <c r="G55" i="32" s="1"/>
  <c r="H56" i="32"/>
  <c r="H55" i="32" s="1"/>
  <c r="I56" i="32"/>
  <c r="I55" i="32" s="1"/>
  <c r="J56" i="32"/>
  <c r="J55" i="32" s="1"/>
  <c r="K56" i="32"/>
  <c r="K55" i="32" s="1"/>
  <c r="L56" i="32"/>
  <c r="L55" i="32" s="1"/>
  <c r="M56" i="32"/>
  <c r="M55" i="32" s="1"/>
  <c r="U11" i="31"/>
  <c r="V11" i="31"/>
  <c r="U12" i="31"/>
  <c r="V12" i="31"/>
  <c r="U13" i="31"/>
  <c r="V13" i="31"/>
  <c r="U14" i="31"/>
  <c r="V14" i="31"/>
  <c r="U15" i="31"/>
  <c r="V15" i="31"/>
  <c r="V16" i="31"/>
  <c r="U17" i="31"/>
  <c r="V17" i="31"/>
  <c r="U18" i="31"/>
  <c r="V18" i="31"/>
  <c r="U19" i="31"/>
  <c r="V19" i="31"/>
  <c r="F25" i="31"/>
  <c r="G25" i="31"/>
  <c r="H25" i="31"/>
  <c r="I25" i="31"/>
  <c r="J25" i="31"/>
  <c r="K25" i="31"/>
  <c r="L25" i="31"/>
  <c r="M25" i="31"/>
  <c r="N25" i="31"/>
  <c r="O26" i="31"/>
  <c r="O27" i="31"/>
  <c r="O28" i="31"/>
  <c r="O29" i="31"/>
  <c r="O30" i="31"/>
  <c r="O31" i="31"/>
  <c r="O32" i="31"/>
  <c r="O33" i="31"/>
  <c r="O34" i="31"/>
  <c r="O35" i="31"/>
  <c r="O36" i="31"/>
  <c r="O37" i="31"/>
  <c r="O38" i="31"/>
  <c r="O39" i="31"/>
  <c r="E40" i="31"/>
  <c r="G41" i="31" s="1"/>
  <c r="F40" i="31"/>
  <c r="G40" i="31"/>
  <c r="H40" i="31"/>
  <c r="I40" i="31"/>
  <c r="J40" i="31"/>
  <c r="K40" i="31"/>
  <c r="L40" i="31"/>
  <c r="M40" i="31"/>
  <c r="M41" i="31" s="1"/>
  <c r="N40" i="31"/>
  <c r="N41" i="31" s="1"/>
  <c r="O42" i="31"/>
  <c r="E46" i="31"/>
  <c r="F46" i="31"/>
  <c r="G46" i="31"/>
  <c r="H46" i="31"/>
  <c r="I46" i="31"/>
  <c r="J46" i="31"/>
  <c r="K46" i="31"/>
  <c r="L46" i="31"/>
  <c r="M46" i="31"/>
  <c r="N47" i="31"/>
  <c r="N48" i="31"/>
  <c r="N49" i="31"/>
  <c r="N50" i="31"/>
  <c r="N51" i="31"/>
  <c r="N52" i="31"/>
  <c r="N53" i="31"/>
  <c r="N54" i="31"/>
  <c r="E55" i="31"/>
  <c r="L55" i="31"/>
  <c r="D56" i="31"/>
  <c r="E56" i="31"/>
  <c r="F56" i="31"/>
  <c r="F55" i="31" s="1"/>
  <c r="G56" i="31"/>
  <c r="G55" i="31" s="1"/>
  <c r="H56" i="31"/>
  <c r="H55" i="31" s="1"/>
  <c r="I56" i="31"/>
  <c r="I55" i="31" s="1"/>
  <c r="J56" i="31"/>
  <c r="J55" i="31" s="1"/>
  <c r="K56" i="31"/>
  <c r="K55" i="31" s="1"/>
  <c r="L56" i="31"/>
  <c r="M56" i="31"/>
  <c r="M55" i="31" s="1"/>
  <c r="U11" i="30"/>
  <c r="V11" i="30"/>
  <c r="U12" i="30"/>
  <c r="V12" i="30"/>
  <c r="U13" i="30"/>
  <c r="V13" i="30"/>
  <c r="U14" i="30"/>
  <c r="V14" i="30"/>
  <c r="U15" i="30"/>
  <c r="V15" i="30"/>
  <c r="V16" i="30"/>
  <c r="U17" i="30"/>
  <c r="V17" i="30"/>
  <c r="U18" i="30"/>
  <c r="V18" i="30"/>
  <c r="U19" i="30"/>
  <c r="V19" i="30"/>
  <c r="F25" i="30"/>
  <c r="G25" i="30"/>
  <c r="H25" i="30"/>
  <c r="I25" i="30"/>
  <c r="J25" i="30"/>
  <c r="K25" i="30"/>
  <c r="L25" i="30"/>
  <c r="M25" i="30"/>
  <c r="N25" i="30"/>
  <c r="O26" i="30"/>
  <c r="O27" i="30"/>
  <c r="O28" i="30"/>
  <c r="O29" i="30"/>
  <c r="O30" i="30"/>
  <c r="O31" i="30"/>
  <c r="O32" i="30"/>
  <c r="O33" i="30"/>
  <c r="O34" i="30"/>
  <c r="O35" i="30"/>
  <c r="O36" i="30"/>
  <c r="O37" i="30"/>
  <c r="O38" i="30"/>
  <c r="O39" i="30"/>
  <c r="E40" i="30"/>
  <c r="F40" i="30"/>
  <c r="F41" i="30" s="1"/>
  <c r="G40" i="30"/>
  <c r="G41" i="30" s="1"/>
  <c r="H40" i="30"/>
  <c r="H41" i="30" s="1"/>
  <c r="I40" i="30"/>
  <c r="I41" i="30" s="1"/>
  <c r="J40" i="30"/>
  <c r="J41" i="30" s="1"/>
  <c r="K40" i="30"/>
  <c r="K41" i="30" s="1"/>
  <c r="L40" i="30"/>
  <c r="L41" i="30" s="1"/>
  <c r="M40" i="30"/>
  <c r="N40" i="30"/>
  <c r="M41" i="30"/>
  <c r="N41" i="30"/>
  <c r="O42" i="30"/>
  <c r="E46" i="30"/>
  <c r="F46" i="30"/>
  <c r="G46" i="30"/>
  <c r="H46" i="30"/>
  <c r="I46" i="30"/>
  <c r="J46" i="30"/>
  <c r="K46" i="30"/>
  <c r="L46" i="30"/>
  <c r="M46" i="30"/>
  <c r="N47" i="30"/>
  <c r="N48" i="30"/>
  <c r="N49" i="30"/>
  <c r="N50" i="30"/>
  <c r="N51" i="30"/>
  <c r="N52" i="30"/>
  <c r="N53" i="30"/>
  <c r="N54" i="30"/>
  <c r="D56" i="30"/>
  <c r="E56" i="30"/>
  <c r="E55" i="30" s="1"/>
  <c r="F56" i="30"/>
  <c r="F55" i="30" s="1"/>
  <c r="G56" i="30"/>
  <c r="G55" i="30" s="1"/>
  <c r="H56" i="30"/>
  <c r="H55" i="30" s="1"/>
  <c r="I56" i="30"/>
  <c r="I55" i="30" s="1"/>
  <c r="J56" i="30"/>
  <c r="J55" i="30" s="1"/>
  <c r="K56" i="30"/>
  <c r="K55" i="30" s="1"/>
  <c r="L56" i="30"/>
  <c r="L55" i="30" s="1"/>
  <c r="M56" i="30"/>
  <c r="M55" i="30" s="1"/>
  <c r="U11" i="29"/>
  <c r="V11" i="29"/>
  <c r="U12" i="29"/>
  <c r="V12" i="29"/>
  <c r="U13" i="29"/>
  <c r="V13" i="29"/>
  <c r="U14" i="29"/>
  <c r="V14" i="29"/>
  <c r="U15" i="29"/>
  <c r="V15" i="29"/>
  <c r="V16" i="29"/>
  <c r="U17" i="29"/>
  <c r="V17" i="29"/>
  <c r="U18" i="29"/>
  <c r="V18" i="29"/>
  <c r="U19" i="29"/>
  <c r="V19" i="29"/>
  <c r="F25" i="29"/>
  <c r="G25" i="29"/>
  <c r="H25" i="29"/>
  <c r="I25" i="29"/>
  <c r="J25" i="29"/>
  <c r="K25" i="29"/>
  <c r="L25" i="29"/>
  <c r="M25" i="29"/>
  <c r="N25" i="29"/>
  <c r="O26" i="29"/>
  <c r="O27" i="29"/>
  <c r="O28" i="29"/>
  <c r="O29" i="29"/>
  <c r="O30" i="29"/>
  <c r="O31" i="29"/>
  <c r="O32" i="29"/>
  <c r="O33" i="29"/>
  <c r="O34" i="29"/>
  <c r="O35" i="29"/>
  <c r="O36" i="29"/>
  <c r="O37" i="29"/>
  <c r="O38" i="29"/>
  <c r="O39" i="29"/>
  <c r="E40" i="29"/>
  <c r="F40" i="29"/>
  <c r="F41" i="29" s="1"/>
  <c r="G40" i="29"/>
  <c r="H40" i="29"/>
  <c r="I40" i="29"/>
  <c r="J40" i="29"/>
  <c r="K40" i="29"/>
  <c r="L40" i="29"/>
  <c r="M40" i="29"/>
  <c r="M41" i="29" s="1"/>
  <c r="N40" i="29"/>
  <c r="N41" i="29" s="1"/>
  <c r="O42" i="29"/>
  <c r="E46" i="29"/>
  <c r="F46" i="29"/>
  <c r="G46" i="29"/>
  <c r="H46" i="29"/>
  <c r="I46" i="29"/>
  <c r="J46" i="29"/>
  <c r="K46" i="29"/>
  <c r="L46" i="29"/>
  <c r="M46" i="29"/>
  <c r="N47" i="29"/>
  <c r="N48" i="29"/>
  <c r="N49" i="29"/>
  <c r="N50" i="29"/>
  <c r="N51" i="29"/>
  <c r="N52" i="29"/>
  <c r="N53" i="29"/>
  <c r="N54" i="29"/>
  <c r="E55" i="29"/>
  <c r="L55" i="29"/>
  <c r="D56" i="29"/>
  <c r="E56" i="29"/>
  <c r="F56" i="29"/>
  <c r="F55" i="29" s="1"/>
  <c r="G56" i="29"/>
  <c r="G55" i="29" s="1"/>
  <c r="H56" i="29"/>
  <c r="H55" i="29" s="1"/>
  <c r="I56" i="29"/>
  <c r="I55" i="29" s="1"/>
  <c r="J56" i="29"/>
  <c r="J55" i="29" s="1"/>
  <c r="K56" i="29"/>
  <c r="K55" i="29" s="1"/>
  <c r="L56" i="29"/>
  <c r="M56" i="29"/>
  <c r="M55" i="29" s="1"/>
  <c r="L41" i="29" l="1"/>
  <c r="O41" i="29" s="1"/>
  <c r="L41" i="31"/>
  <c r="N56" i="42"/>
  <c r="K41" i="29"/>
  <c r="K41" i="31"/>
  <c r="H41" i="32"/>
  <c r="L41" i="35"/>
  <c r="N56" i="36"/>
  <c r="L41" i="39"/>
  <c r="F41" i="43"/>
  <c r="L41" i="45"/>
  <c r="K41" i="46"/>
  <c r="N56" i="45"/>
  <c r="L41" i="46"/>
  <c r="J41" i="29"/>
  <c r="J41" i="31"/>
  <c r="O41" i="31" s="1"/>
  <c r="F41" i="34"/>
  <c r="K41" i="35"/>
  <c r="F41" i="36"/>
  <c r="O41" i="36" s="1"/>
  <c r="K41" i="39"/>
  <c r="J41" i="40"/>
  <c r="I41" i="40"/>
  <c r="I41" i="42"/>
  <c r="K41" i="45"/>
  <c r="J41" i="46"/>
  <c r="G41" i="48"/>
  <c r="O41" i="48" s="1"/>
  <c r="N41" i="46"/>
  <c r="I41" i="29"/>
  <c r="L41" i="37"/>
  <c r="L41" i="38"/>
  <c r="H41" i="42"/>
  <c r="L41" i="43"/>
  <c r="N56" i="44"/>
  <c r="J41" i="45"/>
  <c r="I41" i="46"/>
  <c r="F41" i="48"/>
  <c r="N56" i="47"/>
  <c r="I41" i="31"/>
  <c r="I41" i="35"/>
  <c r="J41" i="39"/>
  <c r="O40" i="39"/>
  <c r="I41" i="45"/>
  <c r="O41" i="45" s="1"/>
  <c r="H41" i="46"/>
  <c r="E55" i="47"/>
  <c r="H41" i="29"/>
  <c r="H41" i="31"/>
  <c r="G41" i="29"/>
  <c r="L41" i="32"/>
  <c r="K41" i="34"/>
  <c r="J41" i="35"/>
  <c r="H41" i="35"/>
  <c r="O41" i="35" s="1"/>
  <c r="H41" i="39"/>
  <c r="L41" i="48"/>
  <c r="F41" i="31"/>
  <c r="H41" i="38"/>
  <c r="F41" i="46"/>
  <c r="O41" i="46" s="1"/>
  <c r="O40" i="48"/>
  <c r="I41" i="39"/>
  <c r="O40" i="32"/>
  <c r="O40" i="49"/>
  <c r="H41" i="49"/>
  <c r="O41" i="49" s="1"/>
  <c r="O40" i="47"/>
  <c r="F41" i="47"/>
  <c r="O41" i="47" s="1"/>
  <c r="O40" i="46"/>
  <c r="O40" i="44"/>
  <c r="J41" i="41"/>
  <c r="H41" i="41"/>
  <c r="O41" i="41" s="1"/>
  <c r="O40" i="41"/>
  <c r="O40" i="37"/>
  <c r="F41" i="37"/>
  <c r="O40" i="36"/>
  <c r="O40" i="35"/>
  <c r="F41" i="33"/>
  <c r="O40" i="31"/>
  <c r="O40" i="30"/>
  <c r="O40" i="29"/>
  <c r="O40" i="34"/>
  <c r="O40" i="40"/>
  <c r="F41" i="40"/>
  <c r="O41" i="40" s="1"/>
  <c r="O40" i="45"/>
  <c r="O40" i="43"/>
  <c r="O40" i="42"/>
  <c r="N56" i="49"/>
  <c r="N56" i="48"/>
  <c r="G55" i="46"/>
  <c r="G55" i="45"/>
  <c r="O41" i="44"/>
  <c r="O41" i="43"/>
  <c r="N56" i="43"/>
  <c r="O41" i="42"/>
  <c r="G55" i="42"/>
  <c r="N56" i="41"/>
  <c r="N56" i="40"/>
  <c r="O41" i="39"/>
  <c r="N56" i="39"/>
  <c r="O41" i="38"/>
  <c r="N56" i="38"/>
  <c r="N56" i="37"/>
  <c r="N56" i="35"/>
  <c r="O41" i="34"/>
  <c r="N56" i="34"/>
  <c r="I41" i="33"/>
  <c r="H41" i="33"/>
  <c r="G41" i="33"/>
  <c r="N41" i="33"/>
  <c r="N56" i="33"/>
  <c r="O40" i="33"/>
  <c r="J41" i="33"/>
  <c r="O41" i="32"/>
  <c r="N56" i="32"/>
  <c r="N56" i="31"/>
  <c r="O41" i="30"/>
  <c r="N56" i="30"/>
  <c r="N56" i="29"/>
  <c r="O41" i="37" l="1"/>
  <c r="O41" i="33"/>
  <c r="U11" i="28"/>
  <c r="V11" i="28"/>
  <c r="U12" i="28"/>
  <c r="V12" i="28"/>
  <c r="U13" i="28"/>
  <c r="V13" i="28"/>
  <c r="U14" i="28"/>
  <c r="V14" i="28"/>
  <c r="U15" i="28"/>
  <c r="V15" i="28"/>
  <c r="U17" i="28"/>
  <c r="V17" i="28"/>
  <c r="U18" i="28"/>
  <c r="V18" i="28"/>
  <c r="U19" i="28"/>
  <c r="V19" i="28"/>
  <c r="F25" i="28"/>
  <c r="G25" i="28"/>
  <c r="H25" i="28"/>
  <c r="I25" i="28"/>
  <c r="J25" i="28"/>
  <c r="K25" i="28"/>
  <c r="L25" i="28"/>
  <c r="M25" i="28"/>
  <c r="N25" i="28"/>
  <c r="O26" i="28"/>
  <c r="O27" i="28"/>
  <c r="O28" i="28"/>
  <c r="O29" i="28"/>
  <c r="O30" i="28"/>
  <c r="O31" i="28"/>
  <c r="O32" i="28"/>
  <c r="O33" i="28"/>
  <c r="O34" i="28"/>
  <c r="O35" i="28"/>
  <c r="O36" i="28"/>
  <c r="O37" i="28"/>
  <c r="O38" i="28"/>
  <c r="O39" i="28"/>
  <c r="E40" i="28"/>
  <c r="F41" i="28" s="1"/>
  <c r="F40" i="28"/>
  <c r="G40" i="28"/>
  <c r="H40" i="28"/>
  <c r="I40" i="28"/>
  <c r="J40" i="28"/>
  <c r="K40" i="28"/>
  <c r="K41" i="28" s="1"/>
  <c r="L40" i="28"/>
  <c r="L41" i="28" s="1"/>
  <c r="M40" i="28"/>
  <c r="M41" i="28" s="1"/>
  <c r="N40" i="28"/>
  <c r="O42" i="28"/>
  <c r="E46" i="28"/>
  <c r="F46" i="28"/>
  <c r="G46" i="28"/>
  <c r="H46" i="28"/>
  <c r="I46" i="28"/>
  <c r="J46" i="28"/>
  <c r="K46" i="28"/>
  <c r="L46" i="28"/>
  <c r="M46" i="28"/>
  <c r="N47" i="28"/>
  <c r="N48" i="28"/>
  <c r="N49" i="28"/>
  <c r="N50" i="28"/>
  <c r="N51" i="28"/>
  <c r="N52" i="28"/>
  <c r="N53" i="28"/>
  <c r="N54" i="28"/>
  <c r="F55" i="28"/>
  <c r="M55" i="28"/>
  <c r="D56" i="28"/>
  <c r="E56" i="28"/>
  <c r="E55" i="28" s="1"/>
  <c r="F56" i="28"/>
  <c r="G56" i="28"/>
  <c r="G55" i="28" s="1"/>
  <c r="H56" i="28"/>
  <c r="H55" i="28" s="1"/>
  <c r="I56" i="28"/>
  <c r="I55" i="28" s="1"/>
  <c r="J56" i="28"/>
  <c r="J55" i="28" s="1"/>
  <c r="K56" i="28"/>
  <c r="K55" i="28" s="1"/>
  <c r="L56" i="28"/>
  <c r="L55" i="28" s="1"/>
  <c r="M56" i="28"/>
  <c r="U11" i="27"/>
  <c r="V11" i="27"/>
  <c r="U12" i="27"/>
  <c r="V12" i="27"/>
  <c r="U13" i="27"/>
  <c r="V13" i="27"/>
  <c r="U14" i="27"/>
  <c r="V14" i="27"/>
  <c r="U15" i="27"/>
  <c r="V15" i="27"/>
  <c r="U17" i="27"/>
  <c r="V17" i="27"/>
  <c r="U18" i="27"/>
  <c r="V18" i="27"/>
  <c r="U19" i="27"/>
  <c r="V19" i="27"/>
  <c r="F25" i="27"/>
  <c r="G25" i="27"/>
  <c r="H25" i="27"/>
  <c r="I25" i="27"/>
  <c r="J25" i="27"/>
  <c r="K25" i="27"/>
  <c r="L25" i="27"/>
  <c r="M25" i="27"/>
  <c r="N25" i="27"/>
  <c r="O26" i="27"/>
  <c r="O27" i="27"/>
  <c r="O28" i="27"/>
  <c r="O29" i="27"/>
  <c r="O30" i="27"/>
  <c r="O31" i="27"/>
  <c r="O32" i="27"/>
  <c r="O33" i="27"/>
  <c r="O34" i="27"/>
  <c r="O35" i="27"/>
  <c r="O36" i="27"/>
  <c r="O37" i="27"/>
  <c r="O38" i="27"/>
  <c r="O39" i="27"/>
  <c r="E40" i="27"/>
  <c r="F40" i="27"/>
  <c r="G40" i="27"/>
  <c r="H40" i="27"/>
  <c r="I40" i="27"/>
  <c r="J40" i="27"/>
  <c r="J41" i="27" s="1"/>
  <c r="K40" i="27"/>
  <c r="K41" i="27" s="1"/>
  <c r="L40" i="27"/>
  <c r="M40" i="27"/>
  <c r="M41" i="27" s="1"/>
  <c r="N40" i="27"/>
  <c r="L41" i="27"/>
  <c r="O42" i="27"/>
  <c r="E46" i="27"/>
  <c r="F46" i="27"/>
  <c r="G46" i="27"/>
  <c r="H46" i="27"/>
  <c r="I46" i="27"/>
  <c r="J46" i="27"/>
  <c r="K46" i="27"/>
  <c r="L46" i="27"/>
  <c r="M46" i="27"/>
  <c r="N47" i="27"/>
  <c r="N48" i="27"/>
  <c r="N49" i="27"/>
  <c r="N50" i="27"/>
  <c r="N51" i="27"/>
  <c r="N52" i="27"/>
  <c r="N53" i="27"/>
  <c r="N54" i="27"/>
  <c r="F55" i="27"/>
  <c r="D56" i="27"/>
  <c r="E56" i="27"/>
  <c r="F56" i="27"/>
  <c r="G56" i="27"/>
  <c r="G55" i="27" s="1"/>
  <c r="H56" i="27"/>
  <c r="H55" i="27" s="1"/>
  <c r="I56" i="27"/>
  <c r="I55" i="27" s="1"/>
  <c r="J56" i="27"/>
  <c r="J55" i="27" s="1"/>
  <c r="K56" i="27"/>
  <c r="K55" i="27" s="1"/>
  <c r="L56" i="27"/>
  <c r="L55" i="27" s="1"/>
  <c r="M56" i="27"/>
  <c r="M55" i="27" s="1"/>
  <c r="U11" i="26"/>
  <c r="V11" i="26"/>
  <c r="U12" i="26"/>
  <c r="V12" i="26"/>
  <c r="U13" i="26"/>
  <c r="V13" i="26"/>
  <c r="U14" i="26"/>
  <c r="V14" i="26"/>
  <c r="U15" i="26"/>
  <c r="V15" i="26"/>
  <c r="U17" i="26"/>
  <c r="V17" i="26"/>
  <c r="U18" i="26"/>
  <c r="V18" i="26"/>
  <c r="U19" i="26"/>
  <c r="V19" i="26"/>
  <c r="F25" i="26"/>
  <c r="G25" i="26"/>
  <c r="H25" i="26"/>
  <c r="I25" i="26"/>
  <c r="J25" i="26"/>
  <c r="K25" i="26"/>
  <c r="L25" i="26"/>
  <c r="M25" i="26"/>
  <c r="N25" i="26"/>
  <c r="O26" i="26"/>
  <c r="O27" i="26"/>
  <c r="O28" i="26"/>
  <c r="O29" i="26"/>
  <c r="O30" i="26"/>
  <c r="O31" i="26"/>
  <c r="O32" i="26"/>
  <c r="O33" i="26"/>
  <c r="O34" i="26"/>
  <c r="O35" i="26"/>
  <c r="O36" i="26"/>
  <c r="O37" i="26"/>
  <c r="O38" i="26"/>
  <c r="O39" i="26"/>
  <c r="E40" i="26"/>
  <c r="I41" i="26" s="1"/>
  <c r="F40" i="26"/>
  <c r="G40" i="26"/>
  <c r="H40" i="26"/>
  <c r="I40" i="26"/>
  <c r="J40" i="26"/>
  <c r="K40" i="26"/>
  <c r="L40" i="26"/>
  <c r="M40" i="26"/>
  <c r="M41" i="26" s="1"/>
  <c r="N40" i="26"/>
  <c r="O42" i="26"/>
  <c r="E46" i="26"/>
  <c r="F46" i="26"/>
  <c r="G46" i="26"/>
  <c r="H46" i="26"/>
  <c r="I46" i="26"/>
  <c r="J46" i="26"/>
  <c r="K46" i="26"/>
  <c r="L46" i="26"/>
  <c r="M46" i="26"/>
  <c r="N47" i="26"/>
  <c r="N48" i="26"/>
  <c r="N49" i="26"/>
  <c r="N50" i="26"/>
  <c r="N51" i="26"/>
  <c r="N52" i="26"/>
  <c r="N53" i="26"/>
  <c r="N54" i="26"/>
  <c r="F55" i="26"/>
  <c r="D56" i="26"/>
  <c r="E56" i="26"/>
  <c r="E55" i="26" s="1"/>
  <c r="F56" i="26"/>
  <c r="G56" i="26"/>
  <c r="G55" i="26" s="1"/>
  <c r="H56" i="26"/>
  <c r="H55" i="26" s="1"/>
  <c r="I56" i="26"/>
  <c r="I55" i="26" s="1"/>
  <c r="J56" i="26"/>
  <c r="J55" i="26" s="1"/>
  <c r="K56" i="26"/>
  <c r="K55" i="26" s="1"/>
  <c r="L56" i="26"/>
  <c r="L55" i="26" s="1"/>
  <c r="M56" i="26"/>
  <c r="M55" i="26" s="1"/>
  <c r="U11" i="25"/>
  <c r="V11" i="25"/>
  <c r="U12" i="25"/>
  <c r="V12" i="25"/>
  <c r="U13" i="25"/>
  <c r="V13" i="25"/>
  <c r="U14" i="25"/>
  <c r="V14" i="25"/>
  <c r="U15" i="25"/>
  <c r="V15" i="25"/>
  <c r="U17" i="25"/>
  <c r="V17" i="25"/>
  <c r="U18" i="25"/>
  <c r="V18" i="25"/>
  <c r="U19" i="25"/>
  <c r="V19" i="25"/>
  <c r="F25" i="25"/>
  <c r="G25" i="25"/>
  <c r="H25" i="25"/>
  <c r="I25" i="25"/>
  <c r="J25" i="25"/>
  <c r="K25" i="25"/>
  <c r="L25" i="25"/>
  <c r="M25" i="25"/>
  <c r="N25" i="25"/>
  <c r="O26" i="25"/>
  <c r="O27" i="25"/>
  <c r="O28" i="25"/>
  <c r="O29" i="25"/>
  <c r="O30" i="25"/>
  <c r="O31" i="25"/>
  <c r="O32" i="25"/>
  <c r="O33" i="25"/>
  <c r="O34" i="25"/>
  <c r="O35" i="25"/>
  <c r="O36" i="25"/>
  <c r="O37" i="25"/>
  <c r="O38" i="25"/>
  <c r="O39" i="25"/>
  <c r="E40" i="25"/>
  <c r="F40" i="25"/>
  <c r="G40" i="25"/>
  <c r="H40" i="25"/>
  <c r="I40" i="25"/>
  <c r="J40" i="25"/>
  <c r="K40" i="25"/>
  <c r="L40" i="25"/>
  <c r="M40" i="25"/>
  <c r="M41" i="25" s="1"/>
  <c r="N40" i="25"/>
  <c r="O42" i="25"/>
  <c r="E46" i="25"/>
  <c r="F46" i="25"/>
  <c r="G46" i="25"/>
  <c r="H46" i="25"/>
  <c r="I46" i="25"/>
  <c r="J46" i="25"/>
  <c r="K46" i="25"/>
  <c r="L46" i="25"/>
  <c r="M46" i="25"/>
  <c r="N47" i="25"/>
  <c r="N48" i="25"/>
  <c r="N49" i="25"/>
  <c r="N50" i="25"/>
  <c r="N51" i="25"/>
  <c r="N52" i="25"/>
  <c r="N53" i="25"/>
  <c r="N54" i="25"/>
  <c r="F55" i="25"/>
  <c r="D56" i="25"/>
  <c r="E56" i="25"/>
  <c r="E55" i="25" s="1"/>
  <c r="F56" i="25"/>
  <c r="G56" i="25"/>
  <c r="G55" i="25" s="1"/>
  <c r="H56" i="25"/>
  <c r="H55" i="25" s="1"/>
  <c r="I56" i="25"/>
  <c r="I55" i="25" s="1"/>
  <c r="J56" i="25"/>
  <c r="J55" i="25" s="1"/>
  <c r="K56" i="25"/>
  <c r="K55" i="25" s="1"/>
  <c r="L56" i="25"/>
  <c r="L55" i="25" s="1"/>
  <c r="M56" i="25"/>
  <c r="M55" i="25" s="1"/>
  <c r="U11" i="24"/>
  <c r="V11" i="24"/>
  <c r="U12" i="24"/>
  <c r="V12" i="24"/>
  <c r="U13" i="24"/>
  <c r="V13" i="24"/>
  <c r="U14" i="24"/>
  <c r="V14" i="24"/>
  <c r="U15" i="24"/>
  <c r="V15" i="24"/>
  <c r="U17" i="24"/>
  <c r="V17" i="24"/>
  <c r="U18" i="24"/>
  <c r="V18" i="24"/>
  <c r="U19" i="24"/>
  <c r="V19" i="24"/>
  <c r="F25" i="24"/>
  <c r="G25" i="24"/>
  <c r="H25" i="24"/>
  <c r="I25" i="24"/>
  <c r="J25" i="24"/>
  <c r="K25" i="24"/>
  <c r="L25" i="24"/>
  <c r="M25" i="24"/>
  <c r="N25" i="24"/>
  <c r="O26" i="24"/>
  <c r="O27" i="24"/>
  <c r="O28" i="24"/>
  <c r="O29" i="24"/>
  <c r="O30" i="24"/>
  <c r="O31" i="24"/>
  <c r="O32" i="24"/>
  <c r="O33" i="24"/>
  <c r="O34" i="24"/>
  <c r="O35" i="24"/>
  <c r="O36" i="24"/>
  <c r="O37" i="24"/>
  <c r="O38" i="24"/>
  <c r="O39" i="24"/>
  <c r="E40" i="24"/>
  <c r="F41" i="24" s="1"/>
  <c r="F40" i="24"/>
  <c r="G40" i="24"/>
  <c r="H40" i="24"/>
  <c r="I40" i="24"/>
  <c r="J40" i="24"/>
  <c r="K40" i="24"/>
  <c r="L40" i="24"/>
  <c r="M40" i="24"/>
  <c r="M41" i="24" s="1"/>
  <c r="N40" i="24"/>
  <c r="O42" i="24"/>
  <c r="E46" i="24"/>
  <c r="F46" i="24"/>
  <c r="G46" i="24"/>
  <c r="H46" i="24"/>
  <c r="I46" i="24"/>
  <c r="J46" i="24"/>
  <c r="K46" i="24"/>
  <c r="L46" i="24"/>
  <c r="M46" i="24"/>
  <c r="N47" i="24"/>
  <c r="N48" i="24"/>
  <c r="N49" i="24"/>
  <c r="N50" i="24"/>
  <c r="N51" i="24"/>
  <c r="N52" i="24"/>
  <c r="N53" i="24"/>
  <c r="N54" i="24"/>
  <c r="E55" i="24"/>
  <c r="M55" i="24"/>
  <c r="D56" i="24"/>
  <c r="E56" i="24"/>
  <c r="F56" i="24"/>
  <c r="F55" i="24" s="1"/>
  <c r="G56" i="24"/>
  <c r="G55" i="24" s="1"/>
  <c r="H56" i="24"/>
  <c r="H55" i="24" s="1"/>
  <c r="I56" i="24"/>
  <c r="I55" i="24" s="1"/>
  <c r="J56" i="24"/>
  <c r="J55" i="24" s="1"/>
  <c r="K56" i="24"/>
  <c r="K55" i="24" s="1"/>
  <c r="L56" i="24"/>
  <c r="L55" i="24" s="1"/>
  <c r="M56" i="24"/>
  <c r="U11" i="23"/>
  <c r="V11" i="23"/>
  <c r="U12" i="23"/>
  <c r="V12" i="23"/>
  <c r="U13" i="23"/>
  <c r="V13" i="23"/>
  <c r="U14" i="23"/>
  <c r="V14" i="23"/>
  <c r="U15" i="23"/>
  <c r="V15" i="23"/>
  <c r="U17" i="23"/>
  <c r="V17" i="23"/>
  <c r="U18" i="23"/>
  <c r="V18" i="23"/>
  <c r="U19" i="23"/>
  <c r="V19" i="23"/>
  <c r="F25" i="23"/>
  <c r="G25" i="23"/>
  <c r="H25" i="23"/>
  <c r="I25" i="23"/>
  <c r="J25" i="23"/>
  <c r="K25" i="23"/>
  <c r="L25" i="23"/>
  <c r="M25" i="23"/>
  <c r="N25" i="23"/>
  <c r="O26" i="23"/>
  <c r="O27" i="23"/>
  <c r="O28" i="23"/>
  <c r="O29" i="23"/>
  <c r="O30" i="23"/>
  <c r="O31" i="23"/>
  <c r="O32" i="23"/>
  <c r="O33" i="23"/>
  <c r="O34" i="23"/>
  <c r="O35" i="23"/>
  <c r="O36" i="23"/>
  <c r="O37" i="23"/>
  <c r="O38" i="23"/>
  <c r="O39" i="23"/>
  <c r="E40" i="23"/>
  <c r="F40" i="23"/>
  <c r="F41" i="23" s="1"/>
  <c r="G40" i="23"/>
  <c r="H40" i="23"/>
  <c r="I40" i="23"/>
  <c r="J40" i="23"/>
  <c r="K40" i="23"/>
  <c r="L40" i="23"/>
  <c r="L41" i="23" s="1"/>
  <c r="M40" i="23"/>
  <c r="M41" i="23" s="1"/>
  <c r="N40" i="23"/>
  <c r="N41" i="23" s="1"/>
  <c r="K41" i="23"/>
  <c r="O42" i="23"/>
  <c r="E46" i="23"/>
  <c r="F46" i="23"/>
  <c r="G46" i="23"/>
  <c r="H46" i="23"/>
  <c r="I46" i="23"/>
  <c r="J46" i="23"/>
  <c r="K46" i="23"/>
  <c r="L46" i="23"/>
  <c r="M46" i="23"/>
  <c r="N47" i="23"/>
  <c r="N48" i="23"/>
  <c r="N49" i="23"/>
  <c r="N50" i="23"/>
  <c r="N51" i="23"/>
  <c r="N52" i="23"/>
  <c r="N53" i="23"/>
  <c r="N54" i="23"/>
  <c r="G55" i="23"/>
  <c r="D56" i="23"/>
  <c r="E56" i="23"/>
  <c r="E55" i="23" s="1"/>
  <c r="F56" i="23"/>
  <c r="F55" i="23" s="1"/>
  <c r="G56" i="23"/>
  <c r="H56" i="23"/>
  <c r="H55" i="23" s="1"/>
  <c r="I56" i="23"/>
  <c r="I55" i="23" s="1"/>
  <c r="J56" i="23"/>
  <c r="J55" i="23" s="1"/>
  <c r="K56" i="23"/>
  <c r="K55" i="23" s="1"/>
  <c r="L56" i="23"/>
  <c r="L55" i="23" s="1"/>
  <c r="M56" i="23"/>
  <c r="M55" i="23" s="1"/>
  <c r="U11" i="22"/>
  <c r="V11" i="22"/>
  <c r="U12" i="22"/>
  <c r="V12" i="22"/>
  <c r="U13" i="22"/>
  <c r="V13" i="22"/>
  <c r="U14" i="22"/>
  <c r="V14" i="22"/>
  <c r="U15" i="22"/>
  <c r="V15" i="22"/>
  <c r="U17" i="22"/>
  <c r="V17" i="22"/>
  <c r="U18" i="22"/>
  <c r="V18" i="22"/>
  <c r="U19" i="22"/>
  <c r="V19" i="22"/>
  <c r="F25" i="22"/>
  <c r="G25" i="22"/>
  <c r="H25" i="22"/>
  <c r="I25" i="22"/>
  <c r="J25" i="22"/>
  <c r="K25" i="22"/>
  <c r="L25" i="22"/>
  <c r="M25" i="22"/>
  <c r="N25" i="22"/>
  <c r="O26" i="22"/>
  <c r="O27" i="22"/>
  <c r="O28" i="22"/>
  <c r="O29" i="22"/>
  <c r="O30" i="22"/>
  <c r="O31" i="22"/>
  <c r="O32" i="22"/>
  <c r="O33" i="22"/>
  <c r="O34" i="22"/>
  <c r="O35" i="22"/>
  <c r="O36" i="22"/>
  <c r="O37" i="22"/>
  <c r="O38" i="22"/>
  <c r="O39" i="22"/>
  <c r="E40" i="22"/>
  <c r="K41" i="22" s="1"/>
  <c r="F40" i="22"/>
  <c r="G40" i="22"/>
  <c r="H40" i="22"/>
  <c r="I40" i="22"/>
  <c r="J40" i="22"/>
  <c r="K40" i="22"/>
  <c r="L40" i="22"/>
  <c r="L41" i="22" s="1"/>
  <c r="M40" i="22"/>
  <c r="M41" i="22" s="1"/>
  <c r="N40" i="22"/>
  <c r="O42" i="22"/>
  <c r="E46" i="22"/>
  <c r="F46" i="22"/>
  <c r="G46" i="22"/>
  <c r="H46" i="22"/>
  <c r="I46" i="22"/>
  <c r="J46" i="22"/>
  <c r="K46" i="22"/>
  <c r="L46" i="22"/>
  <c r="M46" i="22"/>
  <c r="N47" i="22"/>
  <c r="N48" i="22"/>
  <c r="N49" i="22"/>
  <c r="N50" i="22"/>
  <c r="N51" i="22"/>
  <c r="N52" i="22"/>
  <c r="N53" i="22"/>
  <c r="N54" i="22"/>
  <c r="E55" i="22"/>
  <c r="M55" i="22"/>
  <c r="D56" i="22"/>
  <c r="E56" i="22"/>
  <c r="F56" i="22"/>
  <c r="F55" i="22" s="1"/>
  <c r="G56" i="22"/>
  <c r="G55" i="22" s="1"/>
  <c r="H56" i="22"/>
  <c r="H55" i="22" s="1"/>
  <c r="I56" i="22"/>
  <c r="I55" i="22" s="1"/>
  <c r="J56" i="22"/>
  <c r="J55" i="22" s="1"/>
  <c r="K56" i="22"/>
  <c r="K55" i="22" s="1"/>
  <c r="L56" i="22"/>
  <c r="L55" i="22" s="1"/>
  <c r="M56" i="22"/>
  <c r="U11" i="21"/>
  <c r="V11" i="21"/>
  <c r="U12" i="21"/>
  <c r="V12" i="21"/>
  <c r="U13" i="21"/>
  <c r="V13" i="21"/>
  <c r="U14" i="21"/>
  <c r="V14" i="21"/>
  <c r="U15" i="21"/>
  <c r="V15" i="21"/>
  <c r="U17" i="21"/>
  <c r="V17" i="21"/>
  <c r="U18" i="21"/>
  <c r="V18" i="21"/>
  <c r="U19" i="21"/>
  <c r="V19" i="21"/>
  <c r="F25" i="21"/>
  <c r="G25" i="21"/>
  <c r="H25" i="21"/>
  <c r="I25" i="21"/>
  <c r="J25" i="21"/>
  <c r="K25" i="21"/>
  <c r="L25" i="21"/>
  <c r="M25" i="21"/>
  <c r="N25" i="21"/>
  <c r="O26" i="21"/>
  <c r="O27" i="21"/>
  <c r="O28" i="21"/>
  <c r="O29" i="21"/>
  <c r="O30" i="21"/>
  <c r="O31" i="21"/>
  <c r="O32" i="21"/>
  <c r="O33" i="21"/>
  <c r="O34" i="21"/>
  <c r="O35" i="21"/>
  <c r="O36" i="21"/>
  <c r="O37" i="21"/>
  <c r="O38" i="21"/>
  <c r="O39" i="21"/>
  <c r="E40" i="21"/>
  <c r="G41" i="21" s="1"/>
  <c r="F40" i="21"/>
  <c r="G40" i="21"/>
  <c r="H40" i="21"/>
  <c r="I40" i="21"/>
  <c r="J40" i="21"/>
  <c r="K40" i="21"/>
  <c r="K41" i="21" s="1"/>
  <c r="L40" i="21"/>
  <c r="L41" i="21" s="1"/>
  <c r="M40" i="21"/>
  <c r="M41" i="21" s="1"/>
  <c r="N40" i="21"/>
  <c r="O42" i="21"/>
  <c r="E46" i="21"/>
  <c r="F46" i="21"/>
  <c r="G46" i="21"/>
  <c r="H46" i="21"/>
  <c r="I46" i="21"/>
  <c r="J46" i="21"/>
  <c r="K46" i="21"/>
  <c r="L46" i="21"/>
  <c r="M46" i="21"/>
  <c r="N47" i="21"/>
  <c r="N48" i="21"/>
  <c r="N49" i="21"/>
  <c r="N50" i="21"/>
  <c r="N51" i="21"/>
  <c r="N52" i="21"/>
  <c r="N53" i="21"/>
  <c r="N54" i="21"/>
  <c r="F55" i="21"/>
  <c r="M55" i="21"/>
  <c r="D56" i="21"/>
  <c r="E56" i="21"/>
  <c r="E55" i="21" s="1"/>
  <c r="F56" i="21"/>
  <c r="G56" i="21"/>
  <c r="G55" i="21" s="1"/>
  <c r="H56" i="21"/>
  <c r="H55" i="21" s="1"/>
  <c r="I56" i="21"/>
  <c r="I55" i="21" s="1"/>
  <c r="J56" i="21"/>
  <c r="J55" i="21" s="1"/>
  <c r="K56" i="21"/>
  <c r="K55" i="21" s="1"/>
  <c r="L56" i="21"/>
  <c r="L55" i="21" s="1"/>
  <c r="M56" i="21"/>
  <c r="U11" i="20"/>
  <c r="V11" i="20"/>
  <c r="U12" i="20"/>
  <c r="V12" i="20"/>
  <c r="U13" i="20"/>
  <c r="V13" i="20"/>
  <c r="U14" i="20"/>
  <c r="V14" i="20"/>
  <c r="U15" i="20"/>
  <c r="V15" i="20"/>
  <c r="U17" i="20"/>
  <c r="V17" i="20"/>
  <c r="U18" i="20"/>
  <c r="V18" i="20"/>
  <c r="U19" i="20"/>
  <c r="V19" i="20"/>
  <c r="F25" i="20"/>
  <c r="G25" i="20"/>
  <c r="H25" i="20"/>
  <c r="I25" i="20"/>
  <c r="J25" i="20"/>
  <c r="K25" i="20"/>
  <c r="L25" i="20"/>
  <c r="M25" i="20"/>
  <c r="N25" i="20"/>
  <c r="O26" i="20"/>
  <c r="O27" i="20"/>
  <c r="O28" i="20"/>
  <c r="O29" i="20"/>
  <c r="O30" i="20"/>
  <c r="O31" i="20"/>
  <c r="O32" i="20"/>
  <c r="O33" i="20"/>
  <c r="O34" i="20"/>
  <c r="O35" i="20"/>
  <c r="O36" i="20"/>
  <c r="O37" i="20"/>
  <c r="O38" i="20"/>
  <c r="O39" i="20"/>
  <c r="E40" i="20"/>
  <c r="F40" i="20"/>
  <c r="G40" i="20"/>
  <c r="H40" i="20"/>
  <c r="I40" i="20"/>
  <c r="J40" i="20"/>
  <c r="K40" i="20"/>
  <c r="K41" i="20" s="1"/>
  <c r="L40" i="20"/>
  <c r="L41" i="20" s="1"/>
  <c r="M40" i="20"/>
  <c r="M41" i="20" s="1"/>
  <c r="N40" i="20"/>
  <c r="O42" i="20"/>
  <c r="E46" i="20"/>
  <c r="F46" i="20"/>
  <c r="G46" i="20"/>
  <c r="H46" i="20"/>
  <c r="I46" i="20"/>
  <c r="J46" i="20"/>
  <c r="K46" i="20"/>
  <c r="L46" i="20"/>
  <c r="M46" i="20"/>
  <c r="N47" i="20"/>
  <c r="N48" i="20"/>
  <c r="N49" i="20"/>
  <c r="N50" i="20"/>
  <c r="N51" i="20"/>
  <c r="N52" i="20"/>
  <c r="N53" i="20"/>
  <c r="N54" i="20"/>
  <c r="E55" i="20"/>
  <c r="F55" i="20"/>
  <c r="M55" i="20"/>
  <c r="D56" i="20"/>
  <c r="E56" i="20"/>
  <c r="F56" i="20"/>
  <c r="G56" i="20"/>
  <c r="G55" i="20" s="1"/>
  <c r="H56" i="20"/>
  <c r="H55" i="20" s="1"/>
  <c r="I56" i="20"/>
  <c r="I55" i="20" s="1"/>
  <c r="J56" i="20"/>
  <c r="J55" i="20" s="1"/>
  <c r="K56" i="20"/>
  <c r="K55" i="20" s="1"/>
  <c r="L56" i="20"/>
  <c r="L55" i="20" s="1"/>
  <c r="M56" i="20"/>
  <c r="I41" i="25" l="1"/>
  <c r="K41" i="24"/>
  <c r="O40" i="23"/>
  <c r="I41" i="27"/>
  <c r="L41" i="24"/>
  <c r="L41" i="25"/>
  <c r="L41" i="26"/>
  <c r="N56" i="27"/>
  <c r="N56" i="20"/>
  <c r="N41" i="27"/>
  <c r="F41" i="27"/>
  <c r="H41" i="20"/>
  <c r="O40" i="27"/>
  <c r="O40" i="22"/>
  <c r="N56" i="23"/>
  <c r="G41" i="28"/>
  <c r="N41" i="28"/>
  <c r="N56" i="28"/>
  <c r="O40" i="28"/>
  <c r="J41" i="28"/>
  <c r="I41" i="28"/>
  <c r="H41" i="28"/>
  <c r="E55" i="27"/>
  <c r="H41" i="27"/>
  <c r="G41" i="27"/>
  <c r="H41" i="26"/>
  <c r="N41" i="26"/>
  <c r="F41" i="26"/>
  <c r="K41" i="26"/>
  <c r="G41" i="26"/>
  <c r="N56" i="26"/>
  <c r="O40" i="26"/>
  <c r="J41" i="26"/>
  <c r="J41" i="25"/>
  <c r="H41" i="25"/>
  <c r="N41" i="25"/>
  <c r="F41" i="25"/>
  <c r="K41" i="25"/>
  <c r="G41" i="25"/>
  <c r="N56" i="25"/>
  <c r="O40" i="25"/>
  <c r="J41" i="24"/>
  <c r="I41" i="24"/>
  <c r="H41" i="24"/>
  <c r="G41" i="24"/>
  <c r="O41" i="24" s="1"/>
  <c r="N41" i="24"/>
  <c r="N56" i="24"/>
  <c r="O40" i="24"/>
  <c r="H41" i="23"/>
  <c r="G41" i="23"/>
  <c r="J41" i="23"/>
  <c r="I41" i="23"/>
  <c r="J41" i="22"/>
  <c r="I41" i="22"/>
  <c r="H41" i="22"/>
  <c r="G41" i="22"/>
  <c r="N41" i="22"/>
  <c r="F41" i="22"/>
  <c r="N56" i="22"/>
  <c r="H41" i="21"/>
  <c r="N41" i="21"/>
  <c r="F41" i="21"/>
  <c r="N56" i="21"/>
  <c r="O40" i="21"/>
  <c r="J41" i="21"/>
  <c r="I41" i="21"/>
  <c r="G41" i="20"/>
  <c r="N41" i="20"/>
  <c r="F41" i="20"/>
  <c r="I41" i="20"/>
  <c r="O40" i="20"/>
  <c r="J41" i="20"/>
  <c r="O41" i="25" l="1"/>
  <c r="O41" i="22"/>
  <c r="O41" i="27"/>
  <c r="O41" i="28"/>
  <c r="O41" i="23"/>
  <c r="O41" i="26"/>
  <c r="O41" i="21"/>
  <c r="O41" i="20"/>
  <c r="M56" i="19" l="1"/>
  <c r="L56" i="19"/>
  <c r="L55" i="19" s="1"/>
  <c r="K56" i="19"/>
  <c r="K55" i="19" s="1"/>
  <c r="J56" i="19"/>
  <c r="I56" i="19"/>
  <c r="I55" i="19" s="1"/>
  <c r="H56" i="19"/>
  <c r="H55" i="19" s="1"/>
  <c r="G56" i="19"/>
  <c r="G55" i="19" s="1"/>
  <c r="F56" i="19"/>
  <c r="E56" i="19"/>
  <c r="D56" i="19"/>
  <c r="M55" i="19"/>
  <c r="J55" i="19"/>
  <c r="F55" i="19"/>
  <c r="E55" i="19"/>
  <c r="N54" i="19"/>
  <c r="N53" i="19"/>
  <c r="N52" i="19"/>
  <c r="N51" i="19"/>
  <c r="N50" i="19"/>
  <c r="N49" i="19"/>
  <c r="N48" i="19"/>
  <c r="N47" i="19"/>
  <c r="M46" i="19"/>
  <c r="L46" i="19"/>
  <c r="K46" i="19"/>
  <c r="J46" i="19"/>
  <c r="I46" i="19"/>
  <c r="H46" i="19"/>
  <c r="G46" i="19"/>
  <c r="F46" i="19"/>
  <c r="E46" i="19"/>
  <c r="O42" i="19"/>
  <c r="F41" i="19"/>
  <c r="N40" i="19"/>
  <c r="N41" i="19" s="1"/>
  <c r="M40" i="19"/>
  <c r="L40" i="19"/>
  <c r="L41" i="19" s="1"/>
  <c r="K40" i="19"/>
  <c r="K41" i="19" s="1"/>
  <c r="J40" i="19"/>
  <c r="J41" i="19" s="1"/>
  <c r="I40" i="19"/>
  <c r="H40" i="19"/>
  <c r="G40" i="19"/>
  <c r="G41" i="19" s="1"/>
  <c r="F40" i="19"/>
  <c r="E40" i="19"/>
  <c r="O39" i="19"/>
  <c r="O38" i="19"/>
  <c r="O37" i="19"/>
  <c r="O36" i="19"/>
  <c r="O35" i="19"/>
  <c r="O34" i="19"/>
  <c r="O33" i="19"/>
  <c r="O32" i="19"/>
  <c r="O31" i="19"/>
  <c r="O30" i="19"/>
  <c r="O29" i="19"/>
  <c r="O28" i="19"/>
  <c r="O27" i="19"/>
  <c r="O26" i="19"/>
  <c r="N25" i="19"/>
  <c r="M25" i="19"/>
  <c r="L25" i="19"/>
  <c r="K25" i="19"/>
  <c r="J25" i="19"/>
  <c r="I25" i="19"/>
  <c r="H25" i="19"/>
  <c r="G25" i="19"/>
  <c r="F25" i="19"/>
  <c r="V19" i="19"/>
  <c r="U19" i="19"/>
  <c r="V18" i="19"/>
  <c r="U18" i="19"/>
  <c r="V17" i="19"/>
  <c r="U17" i="19"/>
  <c r="V15" i="19"/>
  <c r="U15" i="19"/>
  <c r="V14" i="19"/>
  <c r="U14" i="19"/>
  <c r="V13" i="19"/>
  <c r="U13" i="19"/>
  <c r="V12" i="19"/>
  <c r="U12" i="19"/>
  <c r="V11" i="19"/>
  <c r="U11" i="19"/>
  <c r="N56" i="19" l="1"/>
  <c r="O40" i="19"/>
  <c r="M41" i="19"/>
  <c r="H41" i="19"/>
  <c r="O41" i="19" s="1"/>
  <c r="I41" i="19"/>
  <c r="M56" i="18" l="1"/>
  <c r="M55" i="18" s="1"/>
  <c r="L56" i="18"/>
  <c r="L55" i="18" s="1"/>
  <c r="K56" i="18"/>
  <c r="J56" i="18"/>
  <c r="I56" i="18"/>
  <c r="I55" i="18" s="1"/>
  <c r="H56" i="18"/>
  <c r="H55" i="18" s="1"/>
  <c r="G56" i="18"/>
  <c r="G55" i="18" s="1"/>
  <c r="F56" i="18"/>
  <c r="F55" i="18" s="1"/>
  <c r="E56" i="18"/>
  <c r="E55" i="18" s="1"/>
  <c r="D56" i="18"/>
  <c r="K55" i="18"/>
  <c r="J55" i="18"/>
  <c r="N54" i="18"/>
  <c r="N53" i="18"/>
  <c r="N52" i="18"/>
  <c r="N51" i="18"/>
  <c r="N50" i="18"/>
  <c r="N49" i="18"/>
  <c r="N48" i="18"/>
  <c r="N47" i="18"/>
  <c r="M46" i="18"/>
  <c r="L46" i="18"/>
  <c r="K46" i="18"/>
  <c r="J46" i="18"/>
  <c r="I46" i="18"/>
  <c r="H46" i="18"/>
  <c r="G46" i="18"/>
  <c r="F46" i="18"/>
  <c r="E46" i="18"/>
  <c r="O42" i="18"/>
  <c r="N40" i="18"/>
  <c r="M40" i="18"/>
  <c r="L40" i="18"/>
  <c r="K40" i="18"/>
  <c r="J40" i="18"/>
  <c r="I40" i="18"/>
  <c r="H40" i="18"/>
  <c r="G40" i="18"/>
  <c r="F40" i="18"/>
  <c r="E40" i="18"/>
  <c r="O39" i="18"/>
  <c r="O38" i="18"/>
  <c r="O37" i="18"/>
  <c r="O36" i="18"/>
  <c r="O35" i="18"/>
  <c r="O34" i="18"/>
  <c r="O33" i="18"/>
  <c r="O32" i="18"/>
  <c r="O31" i="18"/>
  <c r="O30" i="18"/>
  <c r="O29" i="18"/>
  <c r="O28" i="18"/>
  <c r="O27" i="18"/>
  <c r="O26" i="18"/>
  <c r="N25" i="18"/>
  <c r="M25" i="18"/>
  <c r="L25" i="18"/>
  <c r="K25" i="18"/>
  <c r="J25" i="18"/>
  <c r="I25" i="18"/>
  <c r="H25" i="18"/>
  <c r="G25" i="18"/>
  <c r="F25" i="18"/>
  <c r="V19" i="18"/>
  <c r="U19" i="18"/>
  <c r="V18" i="18"/>
  <c r="U18" i="18"/>
  <c r="V17" i="18"/>
  <c r="U17" i="18"/>
  <c r="V15" i="18"/>
  <c r="U15" i="18"/>
  <c r="V14" i="18"/>
  <c r="U14" i="18"/>
  <c r="V13" i="18"/>
  <c r="U13" i="18"/>
  <c r="V12" i="18"/>
  <c r="U12" i="18"/>
  <c r="V11" i="18"/>
  <c r="U11" i="18"/>
  <c r="M56" i="17"/>
  <c r="M55" i="17" s="1"/>
  <c r="L56" i="17"/>
  <c r="K56" i="17"/>
  <c r="J56" i="17"/>
  <c r="I56" i="17"/>
  <c r="I55" i="17" s="1"/>
  <c r="H56" i="17"/>
  <c r="G56" i="17"/>
  <c r="F56" i="17"/>
  <c r="F55" i="17" s="1"/>
  <c r="E56" i="17"/>
  <c r="E55" i="17" s="1"/>
  <c r="D56" i="17"/>
  <c r="L55" i="17"/>
  <c r="K55" i="17"/>
  <c r="J55" i="17"/>
  <c r="H55" i="17"/>
  <c r="G55" i="17"/>
  <c r="N54" i="17"/>
  <c r="N53" i="17"/>
  <c r="N52" i="17"/>
  <c r="N51" i="17"/>
  <c r="N50" i="17"/>
  <c r="N49" i="17"/>
  <c r="N48" i="17"/>
  <c r="N47" i="17"/>
  <c r="M46" i="17"/>
  <c r="L46" i="17"/>
  <c r="K46" i="17"/>
  <c r="J46" i="17"/>
  <c r="I46" i="17"/>
  <c r="H46" i="17"/>
  <c r="G46" i="17"/>
  <c r="F46" i="17"/>
  <c r="E46" i="17"/>
  <c r="O42" i="17"/>
  <c r="N40" i="17"/>
  <c r="M40" i="17"/>
  <c r="L40" i="17"/>
  <c r="K40" i="17"/>
  <c r="J40" i="17"/>
  <c r="I40" i="17"/>
  <c r="H40" i="17"/>
  <c r="G40" i="17"/>
  <c r="F40" i="17"/>
  <c r="E40" i="17"/>
  <c r="I41" i="17" s="1"/>
  <c r="O39" i="17"/>
  <c r="O38" i="17"/>
  <c r="O37" i="17"/>
  <c r="O36" i="17"/>
  <c r="O35" i="17"/>
  <c r="O34" i="17"/>
  <c r="O33" i="17"/>
  <c r="O32" i="17"/>
  <c r="O31" i="17"/>
  <c r="O30" i="17"/>
  <c r="O29" i="17"/>
  <c r="O28" i="17"/>
  <c r="O27" i="17"/>
  <c r="O26" i="17"/>
  <c r="N25" i="17"/>
  <c r="M25" i="17"/>
  <c r="L25" i="17"/>
  <c r="K25" i="17"/>
  <c r="J25" i="17"/>
  <c r="I25" i="17"/>
  <c r="H25" i="17"/>
  <c r="G25" i="17"/>
  <c r="F25" i="17"/>
  <c r="V19" i="17"/>
  <c r="U19" i="17"/>
  <c r="V18" i="17"/>
  <c r="U18" i="17"/>
  <c r="V17" i="17"/>
  <c r="U17" i="17"/>
  <c r="V15" i="17"/>
  <c r="U15" i="17"/>
  <c r="V14" i="17"/>
  <c r="U14" i="17"/>
  <c r="V13" i="17"/>
  <c r="U13" i="17"/>
  <c r="V12" i="17"/>
  <c r="U12" i="17"/>
  <c r="V11" i="17"/>
  <c r="U11" i="17"/>
  <c r="M56" i="16"/>
  <c r="M55" i="16" s="1"/>
  <c r="L56" i="16"/>
  <c r="L55" i="16" s="1"/>
  <c r="K56" i="16"/>
  <c r="K55" i="16" s="1"/>
  <c r="J56" i="16"/>
  <c r="I56" i="16"/>
  <c r="H56" i="16"/>
  <c r="G56" i="16"/>
  <c r="G55" i="16" s="1"/>
  <c r="F56" i="16"/>
  <c r="E56" i="16"/>
  <c r="E55" i="16" s="1"/>
  <c r="D56" i="16"/>
  <c r="J55" i="16"/>
  <c r="I55" i="16"/>
  <c r="H55" i="16"/>
  <c r="N54" i="16"/>
  <c r="N53" i="16"/>
  <c r="N52" i="16"/>
  <c r="N51" i="16"/>
  <c r="N50" i="16"/>
  <c r="N49" i="16"/>
  <c r="N48" i="16"/>
  <c r="N47" i="16"/>
  <c r="M46" i="16"/>
  <c r="L46" i="16"/>
  <c r="K46" i="16"/>
  <c r="J46" i="16"/>
  <c r="I46" i="16"/>
  <c r="H46" i="16"/>
  <c r="G46" i="16"/>
  <c r="F46" i="16"/>
  <c r="E46" i="16"/>
  <c r="O42" i="16"/>
  <c r="N40" i="16"/>
  <c r="M40" i="16"/>
  <c r="L40" i="16"/>
  <c r="K40" i="16"/>
  <c r="J40" i="16"/>
  <c r="I40" i="16"/>
  <c r="I41" i="16" s="1"/>
  <c r="H40" i="16"/>
  <c r="G40" i="16"/>
  <c r="G41" i="16" s="1"/>
  <c r="F40" i="16"/>
  <c r="E40" i="16"/>
  <c r="K41" i="16" s="1"/>
  <c r="O39" i="16"/>
  <c r="O38" i="16"/>
  <c r="O37" i="16"/>
  <c r="O36" i="16"/>
  <c r="O35" i="16"/>
  <c r="O34" i="16"/>
  <c r="O33" i="16"/>
  <c r="O32" i="16"/>
  <c r="O31" i="16"/>
  <c r="O30" i="16"/>
  <c r="O29" i="16"/>
  <c r="O28" i="16"/>
  <c r="O27" i="16"/>
  <c r="O26" i="16"/>
  <c r="N25" i="16"/>
  <c r="M25" i="16"/>
  <c r="L25" i="16"/>
  <c r="K25" i="16"/>
  <c r="J25" i="16"/>
  <c r="I25" i="16"/>
  <c r="H25" i="16"/>
  <c r="G25" i="16"/>
  <c r="F25" i="16"/>
  <c r="V19" i="16"/>
  <c r="U19" i="16"/>
  <c r="V18" i="16"/>
  <c r="U18" i="16"/>
  <c r="V17" i="16"/>
  <c r="U17" i="16"/>
  <c r="V15" i="16"/>
  <c r="U15" i="16"/>
  <c r="V14" i="16"/>
  <c r="U14" i="16"/>
  <c r="V13" i="16"/>
  <c r="U13" i="16"/>
  <c r="V12" i="16"/>
  <c r="U12" i="16"/>
  <c r="V11" i="16"/>
  <c r="U11" i="16"/>
  <c r="M56" i="15"/>
  <c r="M55" i="15" s="1"/>
  <c r="L56" i="15"/>
  <c r="K56" i="15"/>
  <c r="J56" i="15"/>
  <c r="I56" i="15"/>
  <c r="I55" i="15" s="1"/>
  <c r="H56" i="15"/>
  <c r="H55" i="15" s="1"/>
  <c r="G56" i="15"/>
  <c r="G55" i="15" s="1"/>
  <c r="F56" i="15"/>
  <c r="F55" i="15" s="1"/>
  <c r="E56" i="15"/>
  <c r="D56" i="15"/>
  <c r="L55" i="15"/>
  <c r="K55" i="15"/>
  <c r="J55" i="15"/>
  <c r="N54" i="15"/>
  <c r="N53" i="15"/>
  <c r="N52" i="15"/>
  <c r="N51" i="15"/>
  <c r="N50" i="15"/>
  <c r="N49" i="15"/>
  <c r="N48" i="15"/>
  <c r="N47" i="15"/>
  <c r="M46" i="15"/>
  <c r="L46" i="15"/>
  <c r="K46" i="15"/>
  <c r="J46" i="15"/>
  <c r="I46" i="15"/>
  <c r="H46" i="15"/>
  <c r="G46" i="15"/>
  <c r="F46" i="15"/>
  <c r="E46" i="15"/>
  <c r="O42" i="15"/>
  <c r="N40" i="15"/>
  <c r="M40" i="15"/>
  <c r="L40" i="15"/>
  <c r="K40" i="15"/>
  <c r="J40" i="15"/>
  <c r="I40" i="15"/>
  <c r="H40" i="15"/>
  <c r="G40" i="15"/>
  <c r="F40" i="15"/>
  <c r="E40" i="15"/>
  <c r="O39" i="15"/>
  <c r="O38" i="15"/>
  <c r="O37" i="15"/>
  <c r="O36" i="15"/>
  <c r="O35" i="15"/>
  <c r="O34" i="15"/>
  <c r="O33" i="15"/>
  <c r="O32" i="15"/>
  <c r="O31" i="15"/>
  <c r="O30" i="15"/>
  <c r="O29" i="15"/>
  <c r="O28" i="15"/>
  <c r="O27" i="15"/>
  <c r="O26" i="15"/>
  <c r="N25" i="15"/>
  <c r="M25" i="15"/>
  <c r="L25" i="15"/>
  <c r="K25" i="15"/>
  <c r="J25" i="15"/>
  <c r="I25" i="15"/>
  <c r="H25" i="15"/>
  <c r="G25" i="15"/>
  <c r="F25" i="15"/>
  <c r="V19" i="15"/>
  <c r="U19" i="15"/>
  <c r="V18" i="15"/>
  <c r="U18" i="15"/>
  <c r="V17" i="15"/>
  <c r="U17" i="15"/>
  <c r="V15" i="15"/>
  <c r="U15" i="15"/>
  <c r="V14" i="15"/>
  <c r="U14" i="15"/>
  <c r="V13" i="15"/>
  <c r="U13" i="15"/>
  <c r="V12" i="15"/>
  <c r="U12" i="15"/>
  <c r="V11" i="15"/>
  <c r="U11" i="15"/>
  <c r="M56" i="14"/>
  <c r="L56" i="14"/>
  <c r="K56" i="14"/>
  <c r="J56" i="14"/>
  <c r="J55" i="14" s="1"/>
  <c r="I56" i="14"/>
  <c r="H56" i="14"/>
  <c r="H55" i="14" s="1"/>
  <c r="G56" i="14"/>
  <c r="G55" i="14" s="1"/>
  <c r="F56" i="14"/>
  <c r="E56" i="14"/>
  <c r="E55" i="14" s="1"/>
  <c r="D56" i="14"/>
  <c r="M55" i="14"/>
  <c r="L55" i="14"/>
  <c r="K55" i="14"/>
  <c r="I55" i="14"/>
  <c r="N54" i="14"/>
  <c r="N53" i="14"/>
  <c r="N52" i="14"/>
  <c r="N51" i="14"/>
  <c r="N50" i="14"/>
  <c r="N49" i="14"/>
  <c r="N48" i="14"/>
  <c r="N47" i="14"/>
  <c r="M46" i="14"/>
  <c r="L46" i="14"/>
  <c r="K46" i="14"/>
  <c r="J46" i="14"/>
  <c r="I46" i="14"/>
  <c r="H46" i="14"/>
  <c r="G46" i="14"/>
  <c r="F46" i="14"/>
  <c r="E46" i="14"/>
  <c r="O42" i="14"/>
  <c r="N40" i="14"/>
  <c r="M40" i="14"/>
  <c r="L40" i="14"/>
  <c r="K40" i="14"/>
  <c r="J40" i="14"/>
  <c r="I40" i="14"/>
  <c r="H40" i="14"/>
  <c r="G40" i="14"/>
  <c r="F40" i="14"/>
  <c r="E40" i="14"/>
  <c r="O39" i="14"/>
  <c r="O38" i="14"/>
  <c r="O37" i="14"/>
  <c r="O36" i="14"/>
  <c r="O35" i="14"/>
  <c r="O34" i="14"/>
  <c r="O33" i="14"/>
  <c r="O32" i="14"/>
  <c r="O31" i="14"/>
  <c r="O30" i="14"/>
  <c r="O29" i="14"/>
  <c r="O28" i="14"/>
  <c r="O27" i="14"/>
  <c r="O26" i="14"/>
  <c r="N25" i="14"/>
  <c r="M25" i="14"/>
  <c r="L25" i="14"/>
  <c r="K25" i="14"/>
  <c r="J25" i="14"/>
  <c r="I25" i="14"/>
  <c r="H25" i="14"/>
  <c r="G25" i="14"/>
  <c r="F25" i="14"/>
  <c r="V19" i="14"/>
  <c r="U19" i="14"/>
  <c r="V18" i="14"/>
  <c r="U18" i="14"/>
  <c r="V17" i="14"/>
  <c r="U17" i="14"/>
  <c r="V15" i="14"/>
  <c r="U15" i="14"/>
  <c r="V14" i="14"/>
  <c r="U14" i="14"/>
  <c r="V13" i="14"/>
  <c r="U13" i="14"/>
  <c r="V12" i="14"/>
  <c r="U12" i="14"/>
  <c r="V11" i="14"/>
  <c r="U11" i="14"/>
  <c r="M56" i="13"/>
  <c r="M55" i="13" s="1"/>
  <c r="L56" i="13"/>
  <c r="K56" i="13"/>
  <c r="J56" i="13"/>
  <c r="J55" i="13" s="1"/>
  <c r="I56" i="13"/>
  <c r="I55" i="13" s="1"/>
  <c r="H56" i="13"/>
  <c r="H55" i="13" s="1"/>
  <c r="G56" i="13"/>
  <c r="F56" i="13"/>
  <c r="F55" i="13" s="1"/>
  <c r="E56" i="13"/>
  <c r="E55" i="13" s="1"/>
  <c r="D56" i="13"/>
  <c r="L55" i="13"/>
  <c r="K55" i="13"/>
  <c r="G55" i="13"/>
  <c r="N54" i="13"/>
  <c r="N53" i="13"/>
  <c r="N52" i="13"/>
  <c r="N51" i="13"/>
  <c r="N50" i="13"/>
  <c r="N49" i="13"/>
  <c r="N48" i="13"/>
  <c r="N47" i="13"/>
  <c r="M46" i="13"/>
  <c r="L46" i="13"/>
  <c r="K46" i="13"/>
  <c r="J46" i="13"/>
  <c r="I46" i="13"/>
  <c r="H46" i="13"/>
  <c r="G46" i="13"/>
  <c r="F46" i="13"/>
  <c r="E46" i="13"/>
  <c r="O42" i="13"/>
  <c r="N40" i="13"/>
  <c r="M40" i="13"/>
  <c r="L40" i="13"/>
  <c r="K40" i="13"/>
  <c r="J40" i="13"/>
  <c r="I40" i="13"/>
  <c r="H40" i="13"/>
  <c r="G40" i="13"/>
  <c r="F40" i="13"/>
  <c r="E40" i="13"/>
  <c r="O39" i="13"/>
  <c r="O38" i="13"/>
  <c r="O37" i="13"/>
  <c r="O36" i="13"/>
  <c r="O35" i="13"/>
  <c r="O34" i="13"/>
  <c r="O33" i="13"/>
  <c r="O32" i="13"/>
  <c r="O31" i="13"/>
  <c r="O30" i="13"/>
  <c r="O29" i="13"/>
  <c r="O28" i="13"/>
  <c r="O27" i="13"/>
  <c r="O26" i="13"/>
  <c r="N25" i="13"/>
  <c r="M25" i="13"/>
  <c r="L25" i="13"/>
  <c r="K25" i="13"/>
  <c r="J25" i="13"/>
  <c r="I25" i="13"/>
  <c r="H25" i="13"/>
  <c r="G25" i="13"/>
  <c r="F25" i="13"/>
  <c r="V19" i="13"/>
  <c r="U19" i="13"/>
  <c r="V18" i="13"/>
  <c r="U18" i="13"/>
  <c r="V17" i="13"/>
  <c r="U17" i="13"/>
  <c r="V15" i="13"/>
  <c r="U15" i="13"/>
  <c r="V14" i="13"/>
  <c r="U14" i="13"/>
  <c r="V13" i="13"/>
  <c r="U13" i="13"/>
  <c r="V12" i="13"/>
  <c r="U12" i="13"/>
  <c r="V11" i="13"/>
  <c r="U11" i="13"/>
  <c r="M56" i="12"/>
  <c r="L56" i="12"/>
  <c r="L55" i="12" s="1"/>
  <c r="K56" i="12"/>
  <c r="K55" i="12" s="1"/>
  <c r="J56" i="12"/>
  <c r="J55" i="12" s="1"/>
  <c r="I56" i="12"/>
  <c r="I55" i="12" s="1"/>
  <c r="H56" i="12"/>
  <c r="H55" i="12" s="1"/>
  <c r="G56" i="12"/>
  <c r="G55" i="12" s="1"/>
  <c r="F56" i="12"/>
  <c r="F55" i="12" s="1"/>
  <c r="E56" i="12"/>
  <c r="E55" i="12" s="1"/>
  <c r="D56" i="12"/>
  <c r="M55" i="12"/>
  <c r="N54" i="12"/>
  <c r="N53" i="12"/>
  <c r="N52" i="12"/>
  <c r="N51" i="12"/>
  <c r="N50" i="12"/>
  <c r="N49" i="12"/>
  <c r="N48" i="12"/>
  <c r="N47" i="12"/>
  <c r="M46" i="12"/>
  <c r="L46" i="12"/>
  <c r="K46" i="12"/>
  <c r="J46" i="12"/>
  <c r="I46" i="12"/>
  <c r="H46" i="12"/>
  <c r="G46" i="12"/>
  <c r="F46" i="12"/>
  <c r="E46" i="12"/>
  <c r="O42" i="12"/>
  <c r="N40" i="12"/>
  <c r="M40" i="12"/>
  <c r="L40" i="12"/>
  <c r="K40" i="12"/>
  <c r="J40" i="12"/>
  <c r="I40" i="12"/>
  <c r="H40" i="12"/>
  <c r="G40" i="12"/>
  <c r="F40" i="12"/>
  <c r="E40" i="12"/>
  <c r="O39" i="12"/>
  <c r="O38" i="12"/>
  <c r="O37" i="12"/>
  <c r="O36" i="12"/>
  <c r="O35" i="12"/>
  <c r="O34" i="12"/>
  <c r="O33" i="12"/>
  <c r="O32" i="12"/>
  <c r="O31" i="12"/>
  <c r="O30" i="12"/>
  <c r="O29" i="12"/>
  <c r="O28" i="12"/>
  <c r="O27" i="12"/>
  <c r="O26" i="12"/>
  <c r="N25" i="12"/>
  <c r="M25" i="12"/>
  <c r="L25" i="12"/>
  <c r="K25" i="12"/>
  <c r="J25" i="12"/>
  <c r="I25" i="12"/>
  <c r="H25" i="12"/>
  <c r="G25" i="12"/>
  <c r="F25" i="12"/>
  <c r="V19" i="12"/>
  <c r="U19" i="12"/>
  <c r="V18" i="12"/>
  <c r="U18" i="12"/>
  <c r="V17" i="12"/>
  <c r="U17" i="12"/>
  <c r="V15" i="12"/>
  <c r="U15" i="12"/>
  <c r="V14" i="12"/>
  <c r="U14" i="12"/>
  <c r="V13" i="12"/>
  <c r="U13" i="12"/>
  <c r="V12" i="12"/>
  <c r="U12" i="12"/>
  <c r="V11" i="12"/>
  <c r="U11" i="12"/>
  <c r="M56" i="11"/>
  <c r="M55" i="11" s="1"/>
  <c r="L56" i="11"/>
  <c r="K56" i="11"/>
  <c r="K55" i="11" s="1"/>
  <c r="J56" i="11"/>
  <c r="I56" i="11"/>
  <c r="I55" i="11" s="1"/>
  <c r="H56" i="11"/>
  <c r="H55" i="11" s="1"/>
  <c r="G56" i="11"/>
  <c r="G55" i="11" s="1"/>
  <c r="F56" i="11"/>
  <c r="F55" i="11" s="1"/>
  <c r="E56" i="11"/>
  <c r="D56" i="11"/>
  <c r="L55" i="11"/>
  <c r="J55" i="11"/>
  <c r="N54" i="11"/>
  <c r="N53" i="11"/>
  <c r="N52" i="11"/>
  <c r="N51" i="11"/>
  <c r="N50" i="11"/>
  <c r="N49" i="11"/>
  <c r="N48" i="11"/>
  <c r="N47" i="11"/>
  <c r="M46" i="11"/>
  <c r="L46" i="11"/>
  <c r="K46" i="11"/>
  <c r="J46" i="11"/>
  <c r="I46" i="11"/>
  <c r="H46" i="11"/>
  <c r="G46" i="11"/>
  <c r="F46" i="11"/>
  <c r="E46" i="11"/>
  <c r="O42" i="11"/>
  <c r="N40" i="11"/>
  <c r="M40" i="11"/>
  <c r="L40" i="11"/>
  <c r="K40" i="11"/>
  <c r="J40" i="11"/>
  <c r="I40" i="11"/>
  <c r="H40" i="11"/>
  <c r="G40" i="11"/>
  <c r="F40" i="11"/>
  <c r="E40" i="11"/>
  <c r="O39" i="11"/>
  <c r="O38" i="11"/>
  <c r="O37" i="11"/>
  <c r="O36" i="11"/>
  <c r="O35" i="11"/>
  <c r="O34" i="11"/>
  <c r="O33" i="11"/>
  <c r="O32" i="11"/>
  <c r="O31" i="11"/>
  <c r="O30" i="11"/>
  <c r="O29" i="11"/>
  <c r="O28" i="11"/>
  <c r="O27" i="11"/>
  <c r="O26" i="11"/>
  <c r="N25" i="11"/>
  <c r="M25" i="11"/>
  <c r="L25" i="11"/>
  <c r="K25" i="11"/>
  <c r="J25" i="11"/>
  <c r="I25" i="11"/>
  <c r="H25" i="11"/>
  <c r="G25" i="11"/>
  <c r="F25" i="11"/>
  <c r="V19" i="11"/>
  <c r="U19" i="11"/>
  <c r="V18" i="11"/>
  <c r="U18" i="11"/>
  <c r="V17" i="11"/>
  <c r="U17" i="11"/>
  <c r="V15" i="11"/>
  <c r="U15" i="11"/>
  <c r="V14" i="11"/>
  <c r="U14" i="11"/>
  <c r="V13" i="11"/>
  <c r="U13" i="11"/>
  <c r="V12" i="11"/>
  <c r="U12" i="11"/>
  <c r="V11" i="11"/>
  <c r="U11" i="11"/>
  <c r="M56" i="10"/>
  <c r="M55" i="10" s="1"/>
  <c r="L56" i="10"/>
  <c r="L55" i="10" s="1"/>
  <c r="K56" i="10"/>
  <c r="K55" i="10" s="1"/>
  <c r="J56" i="10"/>
  <c r="I56" i="10"/>
  <c r="I55" i="10" s="1"/>
  <c r="H56" i="10"/>
  <c r="G56" i="10"/>
  <c r="F56" i="10"/>
  <c r="F55" i="10" s="1"/>
  <c r="E56" i="10"/>
  <c r="E55" i="10" s="1"/>
  <c r="D56" i="10"/>
  <c r="H55" i="10"/>
  <c r="G55" i="10"/>
  <c r="N54" i="10"/>
  <c r="N53" i="10"/>
  <c r="N52" i="10"/>
  <c r="N51" i="10"/>
  <c r="N50" i="10"/>
  <c r="N49" i="10"/>
  <c r="N48" i="10"/>
  <c r="N47" i="10"/>
  <c r="M46" i="10"/>
  <c r="L46" i="10"/>
  <c r="K46" i="10"/>
  <c r="J46" i="10"/>
  <c r="I46" i="10"/>
  <c r="H46" i="10"/>
  <c r="G46" i="10"/>
  <c r="F46" i="10"/>
  <c r="E46" i="10"/>
  <c r="O42" i="10"/>
  <c r="N40" i="10"/>
  <c r="M40" i="10"/>
  <c r="L40" i="10"/>
  <c r="K40" i="10"/>
  <c r="J40" i="10"/>
  <c r="I40" i="10"/>
  <c r="H40" i="10"/>
  <c r="G40" i="10"/>
  <c r="F40" i="10"/>
  <c r="E40" i="10"/>
  <c r="L41" i="10" s="1"/>
  <c r="O39" i="10"/>
  <c r="O38" i="10"/>
  <c r="O37" i="10"/>
  <c r="O36" i="10"/>
  <c r="O35" i="10"/>
  <c r="O34" i="10"/>
  <c r="O33" i="10"/>
  <c r="O32" i="10"/>
  <c r="O31" i="10"/>
  <c r="O30" i="10"/>
  <c r="O29" i="10"/>
  <c r="O28" i="10"/>
  <c r="O27" i="10"/>
  <c r="O26" i="10"/>
  <c r="N25" i="10"/>
  <c r="M25" i="10"/>
  <c r="L25" i="10"/>
  <c r="K25" i="10"/>
  <c r="J25" i="10"/>
  <c r="I25" i="10"/>
  <c r="H25" i="10"/>
  <c r="G25" i="10"/>
  <c r="F25" i="10"/>
  <c r="V19" i="10"/>
  <c r="U19" i="10"/>
  <c r="V18" i="10"/>
  <c r="U18" i="10"/>
  <c r="V17" i="10"/>
  <c r="U17" i="10"/>
  <c r="V15" i="10"/>
  <c r="U15" i="10"/>
  <c r="V14" i="10"/>
  <c r="U14" i="10"/>
  <c r="V13" i="10"/>
  <c r="U13" i="10"/>
  <c r="V12" i="10"/>
  <c r="U12" i="10"/>
  <c r="V11" i="10"/>
  <c r="U11" i="10"/>
  <c r="M46" i="5"/>
  <c r="L46" i="5"/>
  <c r="K46" i="5"/>
  <c r="J46" i="5"/>
  <c r="N25" i="5"/>
  <c r="M25" i="5"/>
  <c r="L25" i="5"/>
  <c r="K25" i="5"/>
  <c r="O42" i="5"/>
  <c r="I46" i="5"/>
  <c r="H46" i="5"/>
  <c r="G46" i="5"/>
  <c r="F46" i="5"/>
  <c r="E46" i="5"/>
  <c r="V12" i="5"/>
  <c r="V13" i="5"/>
  <c r="V14" i="5"/>
  <c r="V15" i="5"/>
  <c r="V17" i="5"/>
  <c r="V18" i="5"/>
  <c r="V19" i="5"/>
  <c r="V11" i="5"/>
  <c r="U12" i="5"/>
  <c r="U13" i="5"/>
  <c r="U14" i="5"/>
  <c r="U15" i="5"/>
  <c r="U17" i="5"/>
  <c r="U18" i="5"/>
  <c r="U19" i="5"/>
  <c r="U11" i="5"/>
  <c r="O38" i="5"/>
  <c r="O39" i="5"/>
  <c r="F40" i="5"/>
  <c r="G40" i="5"/>
  <c r="H40" i="5"/>
  <c r="I40" i="5"/>
  <c r="J40" i="5"/>
  <c r="K40" i="5"/>
  <c r="L40" i="5"/>
  <c r="M40" i="5"/>
  <c r="N40" i="5"/>
  <c r="E40" i="5"/>
  <c r="M56" i="5"/>
  <c r="M55" i="5" s="1"/>
  <c r="L56" i="5"/>
  <c r="L55" i="5" s="1"/>
  <c r="K56" i="5"/>
  <c r="K55" i="5" s="1"/>
  <c r="J56" i="5"/>
  <c r="J55" i="5" s="1"/>
  <c r="I56" i="5"/>
  <c r="I55" i="5" s="1"/>
  <c r="H56" i="5"/>
  <c r="H55" i="5" s="1"/>
  <c r="G56" i="5"/>
  <c r="G55" i="5" s="1"/>
  <c r="F56" i="5"/>
  <c r="F55" i="5" s="1"/>
  <c r="E56" i="5"/>
  <c r="E55" i="5" s="1"/>
  <c r="D56" i="5"/>
  <c r="N54" i="5"/>
  <c r="N53" i="5"/>
  <c r="N52" i="5"/>
  <c r="N51" i="5"/>
  <c r="N50" i="5"/>
  <c r="N49" i="5"/>
  <c r="N48" i="5"/>
  <c r="N47" i="5"/>
  <c r="O37" i="5"/>
  <c r="O36" i="5"/>
  <c r="O35" i="5"/>
  <c r="O34" i="5"/>
  <c r="O33" i="5"/>
  <c r="O32" i="5"/>
  <c r="O31" i="5"/>
  <c r="O30" i="5"/>
  <c r="O29" i="5"/>
  <c r="O28" i="5"/>
  <c r="O27" i="5"/>
  <c r="O26" i="5"/>
  <c r="J25" i="5"/>
  <c r="I25" i="5"/>
  <c r="H25" i="5"/>
  <c r="G25" i="5"/>
  <c r="F25" i="5"/>
  <c r="M41" i="17" l="1"/>
  <c r="F41" i="17"/>
  <c r="G41" i="17"/>
  <c r="L41" i="17"/>
  <c r="H41" i="17"/>
  <c r="J41" i="17"/>
  <c r="N41" i="17"/>
  <c r="N56" i="15"/>
  <c r="K41" i="17"/>
  <c r="N56" i="18"/>
  <c r="O40" i="18"/>
  <c r="L41" i="18"/>
  <c r="M41" i="18"/>
  <c r="G41" i="18"/>
  <c r="F41" i="18"/>
  <c r="H41" i="18"/>
  <c r="N41" i="18"/>
  <c r="J41" i="18"/>
  <c r="N56" i="16"/>
  <c r="H41" i="16"/>
  <c r="F41" i="16"/>
  <c r="M41" i="16"/>
  <c r="J41" i="16"/>
  <c r="N41" i="16"/>
  <c r="L41" i="16"/>
  <c r="O40" i="16"/>
  <c r="E55" i="15"/>
  <c r="O40" i="15"/>
  <c r="L41" i="15"/>
  <c r="N41" i="15"/>
  <c r="M41" i="15"/>
  <c r="F41" i="15"/>
  <c r="H41" i="15"/>
  <c r="G41" i="15"/>
  <c r="I41" i="15"/>
  <c r="J41" i="15"/>
  <c r="K41" i="15"/>
  <c r="N56" i="14"/>
  <c r="J41" i="14"/>
  <c r="M41" i="14"/>
  <c r="K41" i="14"/>
  <c r="L41" i="14"/>
  <c r="O40" i="14"/>
  <c r="F41" i="14"/>
  <c r="H41" i="14"/>
  <c r="I41" i="14"/>
  <c r="J41" i="13"/>
  <c r="H41" i="13"/>
  <c r="G41" i="13"/>
  <c r="O40" i="13"/>
  <c r="L41" i="13"/>
  <c r="M41" i="13"/>
  <c r="K41" i="13"/>
  <c r="F41" i="13"/>
  <c r="N41" i="13"/>
  <c r="N56" i="12"/>
  <c r="O40" i="12"/>
  <c r="N41" i="12"/>
  <c r="M41" i="12"/>
  <c r="H41" i="12"/>
  <c r="G41" i="12"/>
  <c r="K41" i="12"/>
  <c r="I41" i="12"/>
  <c r="J41" i="12"/>
  <c r="L41" i="12"/>
  <c r="F41" i="12"/>
  <c r="N56" i="11"/>
  <c r="J41" i="11"/>
  <c r="O40" i="11"/>
  <c r="G41" i="11"/>
  <c r="F41" i="11"/>
  <c r="H41" i="11"/>
  <c r="L41" i="11"/>
  <c r="I41" i="11"/>
  <c r="M41" i="11"/>
  <c r="N41" i="11"/>
  <c r="K41" i="11"/>
  <c r="N56" i="10"/>
  <c r="J55" i="10"/>
  <c r="G41" i="10"/>
  <c r="O40" i="10"/>
  <c r="M41" i="10"/>
  <c r="F41" i="10"/>
  <c r="N41" i="10"/>
  <c r="H41" i="10"/>
  <c r="I41" i="10"/>
  <c r="J41" i="10"/>
  <c r="K41" i="10"/>
  <c r="I41" i="18"/>
  <c r="K41" i="18"/>
  <c r="O40" i="17"/>
  <c r="N56" i="17"/>
  <c r="F55" i="16"/>
  <c r="N41" i="14"/>
  <c r="G41" i="14"/>
  <c r="F55" i="14"/>
  <c r="I41" i="13"/>
  <c r="N56" i="13"/>
  <c r="E55" i="11"/>
  <c r="M41" i="5"/>
  <c r="L41" i="5"/>
  <c r="I41" i="5"/>
  <c r="G41" i="5"/>
  <c r="H41" i="5"/>
  <c r="F41" i="5"/>
  <c r="N41" i="5"/>
  <c r="J41" i="5"/>
  <c r="K41" i="5"/>
  <c r="N56" i="5"/>
  <c r="O40" i="5"/>
  <c r="O41" i="17" l="1"/>
  <c r="O41" i="18"/>
  <c r="O41" i="16"/>
  <c r="O41" i="15"/>
  <c r="O41" i="14"/>
  <c r="O41" i="13"/>
  <c r="O41" i="12"/>
  <c r="O41" i="11"/>
  <c r="O41" i="10"/>
  <c r="O41" i="5"/>
</calcChain>
</file>

<file path=xl/sharedStrings.xml><?xml version="1.0" encoding="utf-8"?>
<sst xmlns="http://schemas.openxmlformats.org/spreadsheetml/2006/main" count="7192" uniqueCount="1775">
  <si>
    <t>#</t>
  </si>
  <si>
    <t>Learning Domain Description</t>
  </si>
  <si>
    <t>Program Learning Outcomes</t>
  </si>
  <si>
    <t>Teaching Strategies</t>
  </si>
  <si>
    <t>Assessment Methods</t>
  </si>
  <si>
    <t>Knowledge and Understanding</t>
  </si>
  <si>
    <t>Broad in-depth integrated body of knowledge and comprehension of the underlying theories, principles, and concepts in one or more disciplines or field of work,
In-depth knowledge and comprehension of processes, materials, techniques, practices, conventions, and/or terminology,
A broad range of specialized knowledge and understanding informed by current developments of a discipline, profession, or field of work, knowledge and comprehension of research and inquiry methodologies.</t>
  </si>
  <si>
    <t>K1</t>
  </si>
  <si>
    <t xml:space="preserve">•	Direct instruction (I)
•	Graphic organizers (I)
•	Summarization (I,P)
•	Self-explanation (M)
•	Group presentation (I, P)
•	Peer instruction (I,P)
•	Inquiry-based learning (P,M)
•	Self-reflection (P,M)
•	Jigsaw (M) </t>
  </si>
  <si>
    <t>•	EMI - Extended Matching Item
•	SAQ - Short Answer Question
•	MCQs-Multiple Choice items
•	Labelling diagrams
•	Comparing and/or contrasting two or more theories, events, processes, etc.
•	Classifying or categorizing cases, elements, events, etc., using established criteria
•	Paraphrasing documents or speeches
•	Finding or identifying examples or illustrations of a concept, principle
•	Oral Exam +Rubric
•	Short assignments or reports +rubric
•	Presentation +Rubric</t>
  </si>
  <si>
    <t>K2</t>
  </si>
  <si>
    <t>Demonstrate knowledge of relationship between physicochemical and biological properties of drugs and procedures applied in relation to pharmaceutical research, drug development and manufacturing.</t>
  </si>
  <si>
    <t>•	Direct instruction (I)
•	Graphic organizers (I)
•	Summarization (I,P)
•	Self-explanation (I,P)
•	Group presentation (I,P)
•	Peer instruction (M)
•	Inquiry-based learning (P,M)
•	Problem-based learning (P, M)
•	Jigsaw (M)
•	Project-based learning (M)</t>
  </si>
  <si>
    <t>K3</t>
  </si>
  <si>
    <t>Describe the role of pharmacists according to legal, ethical, and professional standards in health promotion.</t>
  </si>
  <si>
    <t>•	Inquiry-based learning (P,M)
•	Problem-based learning (P,M)
•	Jigsaw (M)
•	Project-based learning (M)</t>
  </si>
  <si>
    <t>Skills</t>
  </si>
  <si>
    <t xml:space="preserve">Cognitive Skills:
Apply integrated theories, principles, and concepts in various contexts, related to a discipline, profession, or field of work,
Solve problems in various complex contexts in one or more disciplines or fields of work,
Use critiSkillscal thinking and develop creative solutions to current issues and problems, in various complex contexts, in a discipline, profession or field of work,
Conduct inquiries, investigations, and research for complex issues and problems.
</t>
  </si>
  <si>
    <t>S1</t>
  </si>
  <si>
    <t>Deliver evidence-based patient-centered care that is ethical and culturally sensitive to patient’s needs.</t>
  </si>
  <si>
    <t xml:space="preserve">•	Think-pair-share (I,P)
•	Summarization (I,P)
•	Self-explanation (I,P)
•	Inquiry-based learning (P,M)
•	Problem-based learning (P,M)
•	Case-based learning (P,M)
•	Flipped classroom (P,M)
•	Service-learning (P,M)
•	Jigsaw (M) </t>
  </si>
  <si>
    <t>•	Case based question.
•	Case based question with MCQs.
•	Short assignments +rubric
•	OSCE (Objective Structured Clinical exam)
•	Project portfolio +Rubric
•	OSPE (Objective Structured Practical Exam)
•	Student logbook +rubric</t>
  </si>
  <si>
    <t>S2</t>
  </si>
  <si>
    <t>Critically evaluate scientific literature to be effectively applied in evidence-based practice, conducting research and complex problem-solving.</t>
  </si>
  <si>
    <t>S3</t>
  </si>
  <si>
    <t>Apply appropriate research methods including pharmaceutical, phytochemical, medicinal, pharmacological, and clinical techniques to effectively solve scientific and practice-related problems.</t>
  </si>
  <si>
    <t xml:space="preserve">Practical and Physical Skills:
Use and adapt advanced processes, techniques, tools, instruments, and/or materials in dealing with various complex practical activities, 
Carry out various complex practical tasks and procedures related to a discipline, professional practice, or field of work.
</t>
  </si>
  <si>
    <t>S5</t>
  </si>
  <si>
    <t xml:space="preserve">Operate within a quality and marketing management framework in pharmacy settings.  </t>
  </si>
  <si>
    <t>•	Hands on demonstration (I,P)
•	Problem-based learning (P,M)
•	Case-based learning (P,M)
•	Simulations (P,M)
•	Lab conduct (P,M)
•	Service-learning (P,M)</t>
  </si>
  <si>
    <t>•	OSCE
•	OSPE 
•	Project portfolio +Rubric
•	Student logbook +rubric
•	Observational assessments+ rubric
•	Student Portfolio assessments +rubric</t>
  </si>
  <si>
    <t>S7</t>
  </si>
  <si>
    <t>Demonstrate proficient fine and gross motor skills as measured by the successful performance of laboratory and technical tasks related to pharmacy practice.</t>
  </si>
  <si>
    <t>•	OSCE
•	OSPE 
•	Student logbook +rubric
•	Observational assessments+ rubric 
•	Project portfolio +Rubric
•	Student Portfolio assessments +rubric</t>
  </si>
  <si>
    <t>Communication and ICT Skills:
Communicate effectively to demonstrate theoretical knowledge comprehension and specialized transfer of knowledge, skills, and complex ideas to a variety of audiences,
Use mathematical operations and quantitative methods to process data and information in various complex contexts, related to a discipline or field of work,
Select, use, and adapt various standard and specialized digital technological and ICT tools and applications to process and analyze data and information to support and enhance research and/or projects.</t>
  </si>
  <si>
    <t>S4</t>
  </si>
  <si>
    <t>Communicate effectively with healthcare professionals, patients, and the public in various settings.</t>
  </si>
  <si>
    <t>•	Self-explanation (I,P)
•	Group presentation (I,P)
•	Flipped classroom (P,M)
•	Peer tutoring (P,M)
•	Simulations (P,M)
•	Jigsaw (M)</t>
  </si>
  <si>
    <t>•	OSCE
•	Peers’ evaluations rubric
•	Observational assessments+ rubric
•	Presentation Rubric
•	Viva (oral exam) + rubric</t>
  </si>
  <si>
    <t>S6</t>
  </si>
  <si>
    <t>Apply general and pharmacy-specific technologies and mathematical skills to optimize the medication use system.</t>
  </si>
  <si>
    <t>•	OSCE
•	OSPE
•	Peers’ evaluations rubric
•	Observational assessments+ rubric
•	Student Portfolio assessments +rubric
•	Presentation Rubric
•	Case based question. (for mathematical operations)</t>
  </si>
  <si>
    <t>Values, autonomy, and responsibility</t>
  </si>
  <si>
    <t>Responsibility:
Demonstrate commitment to professional and academic values, standards, and ethical codes of conduct, and represent responsible citizenship and coexistence with others.
Autonomy and Responsibility:
Effectively plan for and achieve academic and/or professional self-development, assess own learning and performance, and autonomously make decisions regarding self-development and/or tasks based on convincing evidences.
Autonomously and professionally manage tasks and activities related to the discipline and/or work,
Collaborate responsibly and constructively on leading diverse teams to perform a wide range of tasks while playing a major role in planning and evaluating joint work,
Actively participate in advancing the discipline and society.</t>
  </si>
  <si>
    <t>V1</t>
  </si>
  <si>
    <t>Collaborate and actively engage as an integral member of the interprofessional healthcare team showcasing effective leadership skills, a strong sense of responsibility and accountability in various settings</t>
  </si>
  <si>
    <t xml:space="preserve">•	Self-explanation (I,P)
•	Group presentation (I,P)
•	Problem-based learning (P,M)
•	Self-reflection (P,M)
•	Peer tutoring (P,M)
•	Simulations (P,M)
•	Lab conduct (P,M)
•	Service-learning (P,M)
•	Jigsaw (M) 
•	Project-based learning (M) </t>
  </si>
  <si>
    <t>•	OSCE
•	Project portfolio +Rubric
•	Observational assessments+ rubric
•	Student logbook +rubric
•	Student Portfolio assessments +rubric
•	Peers’ evaluations rubric
•	Project/internship supervisor assessment +rubric
•	Student skills portfolio +rubric (based on community services and extra curriculum activities)</t>
  </si>
  <si>
    <t>V2</t>
  </si>
  <si>
    <t>Demonstrate integrity, self-awareness, and potential of entrepreneurship and professional development in various settings.</t>
  </si>
  <si>
    <t>•	Self-explanation (I,P)
•	Group presentation (I,P)
•	Problem-based learning (P,M)
•	Self-reflection (P,M)
•	Peer tutoring (P,M)
•	Simulations (P,M)
•	Service-learning (P,M)
•	Jigsaw (M)
•	Project-based learning (M)</t>
  </si>
  <si>
    <t>Course code &amp; No.</t>
  </si>
  <si>
    <t>Knowledge and understanding</t>
  </si>
  <si>
    <t>Values, Autonomy, and Responsibility</t>
  </si>
  <si>
    <t>Color code for degree of correlation</t>
  </si>
  <si>
    <t>CS 140</t>
  </si>
  <si>
    <t>I</t>
  </si>
  <si>
    <t>ENG 100</t>
  </si>
  <si>
    <t>P</t>
  </si>
  <si>
    <t>MATH 140</t>
  </si>
  <si>
    <t>M</t>
  </si>
  <si>
    <t>SCS 140</t>
  </si>
  <si>
    <t>STAT 124</t>
  </si>
  <si>
    <t>BIOL 111</t>
  </si>
  <si>
    <t>PHY 115</t>
  </si>
  <si>
    <t>CHEM 113</t>
  </si>
  <si>
    <t>PHT 102</t>
  </si>
  <si>
    <t>ENG 145</t>
  </si>
  <si>
    <t>PHT 250</t>
  </si>
  <si>
    <t>PHL 250</t>
  </si>
  <si>
    <t>PHSL 115</t>
  </si>
  <si>
    <t>PHC 250</t>
  </si>
  <si>
    <t>ANAT 114</t>
  </si>
  <si>
    <t>PHT 252</t>
  </si>
  <si>
    <t>PHL 253</t>
  </si>
  <si>
    <t>PHL 254</t>
  </si>
  <si>
    <t>PHC 251</t>
  </si>
  <si>
    <t>TR 250</t>
  </si>
  <si>
    <t>PHC 252</t>
  </si>
  <si>
    <t>PHT 350</t>
  </si>
  <si>
    <t>PHT 351</t>
  </si>
  <si>
    <t>PHG 350</t>
  </si>
  <si>
    <t>PHL 350</t>
  </si>
  <si>
    <t>PHC 350</t>
  </si>
  <si>
    <t>PHCL 350</t>
  </si>
  <si>
    <t>PHCL 357</t>
  </si>
  <si>
    <t>PHCL 351</t>
  </si>
  <si>
    <t>PHL 351</t>
  </si>
  <si>
    <t>PHC 351</t>
  </si>
  <si>
    <t>PHCL 354</t>
  </si>
  <si>
    <t>PHCL 355</t>
  </si>
  <si>
    <t>PHCL 356</t>
  </si>
  <si>
    <t>PHT 352</t>
  </si>
  <si>
    <t>TR 351</t>
  </si>
  <si>
    <t>PHT 450</t>
  </si>
  <si>
    <t>PHCL 450</t>
  </si>
  <si>
    <t>PHCL 455</t>
  </si>
  <si>
    <t>PHCL 451</t>
  </si>
  <si>
    <t>PHL 450</t>
  </si>
  <si>
    <t>PHC 450</t>
  </si>
  <si>
    <t>PHG 450</t>
  </si>
  <si>
    <t>PHCL 453</t>
  </si>
  <si>
    <t>PHT 451</t>
  </si>
  <si>
    <t>PHG 460</t>
  </si>
  <si>
    <t>PHCL 460</t>
  </si>
  <si>
    <t>PHCL 456</t>
  </si>
  <si>
    <t>PHCL 461</t>
  </si>
  <si>
    <t>PHL 451</t>
  </si>
  <si>
    <t>PHL 452</t>
  </si>
  <si>
    <t>TR 450</t>
  </si>
  <si>
    <t>PHCL 462</t>
  </si>
  <si>
    <t>PHCL 463</t>
  </si>
  <si>
    <t>PHL 460</t>
  </si>
  <si>
    <t>PHT 460</t>
  </si>
  <si>
    <t>PHG 463</t>
  </si>
  <si>
    <t>PHCL 465</t>
  </si>
  <si>
    <t>PHCL 464</t>
  </si>
  <si>
    <t>Free course</t>
  </si>
  <si>
    <t>PHT 465</t>
  </si>
  <si>
    <t>PHG 465</t>
  </si>
  <si>
    <t>PHT 490</t>
  </si>
  <si>
    <t>PHC 495</t>
  </si>
  <si>
    <t>PHCL 466</t>
  </si>
  <si>
    <t>PHARM 450</t>
  </si>
  <si>
    <t xml:space="preserve">total </t>
  </si>
  <si>
    <t>No. of Courses</t>
  </si>
  <si>
    <t>CCF
Factor</t>
  </si>
  <si>
    <t>course code</t>
  </si>
  <si>
    <t xml:space="preserve">course name </t>
  </si>
  <si>
    <t>CS140</t>
  </si>
  <si>
    <t>Computer Skills</t>
  </si>
  <si>
    <t>ENG100</t>
  </si>
  <si>
    <t>English (1)</t>
  </si>
  <si>
    <t>MATH140</t>
  </si>
  <si>
    <t>Mathematics 1</t>
  </si>
  <si>
    <t>SCS140</t>
  </si>
  <si>
    <t>Communication Skills</t>
  </si>
  <si>
    <t>STAT124</t>
  </si>
  <si>
    <t>Biostatistics</t>
  </si>
  <si>
    <t>BIOL111</t>
  </si>
  <si>
    <t>General Biology</t>
  </si>
  <si>
    <t>PHY115</t>
  </si>
  <si>
    <t>General Physics</t>
  </si>
  <si>
    <t>CHEM113</t>
  </si>
  <si>
    <t xml:space="preserve">General chemistry </t>
  </si>
  <si>
    <t>PHT102</t>
  </si>
  <si>
    <t>Pharmaceutical Terminology</t>
  </si>
  <si>
    <t>ENG145</t>
  </si>
  <si>
    <t>English for Health Purposes</t>
  </si>
  <si>
    <t>IC101</t>
  </si>
  <si>
    <t>Introduction to Islamic Culture</t>
  </si>
  <si>
    <t>ARB101</t>
  </si>
  <si>
    <t>Linguistic Skills</t>
  </si>
  <si>
    <t>PHT250</t>
  </si>
  <si>
    <t>Pharmaceutics-I</t>
  </si>
  <si>
    <t>PHL250</t>
  </si>
  <si>
    <t xml:space="preserve">Biochemistry-I </t>
  </si>
  <si>
    <t>PHSL115</t>
  </si>
  <si>
    <t>Principles of Physiology</t>
  </si>
  <si>
    <t>PHC250</t>
  </si>
  <si>
    <t>Pharmaceutical Organic Chemistry</t>
  </si>
  <si>
    <t>ANAT114</t>
  </si>
  <si>
    <t>Principles of Anatomy</t>
  </si>
  <si>
    <t>IC102</t>
  </si>
  <si>
    <t>Islam and Community Building</t>
  </si>
  <si>
    <t>PHT252</t>
  </si>
  <si>
    <t>Pharmaceutical Microbiology</t>
  </si>
  <si>
    <t>PHL253</t>
  </si>
  <si>
    <t>Biochemistry-II</t>
  </si>
  <si>
    <t>PHL254</t>
  </si>
  <si>
    <t>Physiology-II</t>
  </si>
  <si>
    <t>PHC251</t>
  </si>
  <si>
    <t>Pharmaceutical Analytical Chemistry</t>
  </si>
  <si>
    <t>TR250</t>
  </si>
  <si>
    <t>Pharmacy Training-I</t>
  </si>
  <si>
    <t>PHC252</t>
  </si>
  <si>
    <t>Medicinal Chemistry I</t>
  </si>
  <si>
    <t>IC103</t>
  </si>
  <si>
    <t>Economic System in Islam</t>
  </si>
  <si>
    <t>PHT350</t>
  </si>
  <si>
    <t>Pharmaceutics-II</t>
  </si>
  <si>
    <t>PHT351</t>
  </si>
  <si>
    <t xml:space="preserve">Immunology </t>
  </si>
  <si>
    <t>PHG350</t>
  </si>
  <si>
    <t>Pharmacognosy-I</t>
  </si>
  <si>
    <t>PHL350</t>
  </si>
  <si>
    <t>Pharmacology-I</t>
  </si>
  <si>
    <t>PHC350</t>
  </si>
  <si>
    <t>Medicinal Chemistry-II</t>
  </si>
  <si>
    <t>PHCL350</t>
  </si>
  <si>
    <t xml:space="preserve">Introduction to Pathophysiology </t>
  </si>
  <si>
    <t>PHCL357</t>
  </si>
  <si>
    <t>Drug information</t>
  </si>
  <si>
    <t>IC104</t>
  </si>
  <si>
    <t>Political System in Islam</t>
  </si>
  <si>
    <t>PHCL351</t>
  </si>
  <si>
    <t>Self-care and community Pharmacy</t>
  </si>
  <si>
    <t>PHL351</t>
  </si>
  <si>
    <t>Pharmacology-II</t>
  </si>
  <si>
    <t>PHC351</t>
  </si>
  <si>
    <t>Medicinal Chemistry-III</t>
  </si>
  <si>
    <t>PHCL354</t>
  </si>
  <si>
    <t>Pharmacotherapy-I</t>
  </si>
  <si>
    <t>PHCL355</t>
  </si>
  <si>
    <t>Pharmacy Practice Lab I</t>
  </si>
  <si>
    <t>PHCL356</t>
  </si>
  <si>
    <t>Pharmacotherapy-II</t>
  </si>
  <si>
    <t>PHT352</t>
  </si>
  <si>
    <t>Biopharmaceutics &amp; Pharmacokinetics</t>
  </si>
  <si>
    <t>TR351</t>
  </si>
  <si>
    <t xml:space="preserve">Pharmacy Training-II 250 Hours (Community Pharmacy) </t>
  </si>
  <si>
    <t>ARB103</t>
  </si>
  <si>
    <t>Arabic Writing</t>
  </si>
  <si>
    <t>PHT450</t>
  </si>
  <si>
    <t xml:space="preserve">Sterile &amp; Parental Preparations  </t>
  </si>
  <si>
    <t>PHCL450</t>
  </si>
  <si>
    <t>Pharmacotherapy-III</t>
  </si>
  <si>
    <t>PHCL455</t>
  </si>
  <si>
    <t>Pharmacy Practice Lab II</t>
  </si>
  <si>
    <t>PHCL451</t>
  </si>
  <si>
    <t>Pharmacotherapy-IV</t>
  </si>
  <si>
    <t>PHL450</t>
  </si>
  <si>
    <t>Pharmacology-III</t>
  </si>
  <si>
    <t>PHC450</t>
  </si>
  <si>
    <t>Medicinal Chemistry-IV</t>
  </si>
  <si>
    <t>PHG450</t>
  </si>
  <si>
    <t>Pharmacognosy-II</t>
  </si>
  <si>
    <t>PHCL453</t>
  </si>
  <si>
    <t>Research Design &amp; Pharmacoepidemiology</t>
  </si>
  <si>
    <t>PHT451</t>
  </si>
  <si>
    <t>Pharmaceutical Biotechnology</t>
  </si>
  <si>
    <t>PHG460</t>
  </si>
  <si>
    <t>Pharmacognosy-III</t>
  </si>
  <si>
    <t>PHCL460</t>
  </si>
  <si>
    <t>Pharmacotherapy-V</t>
  </si>
  <si>
    <t>PHCL456</t>
  </si>
  <si>
    <t>Pharmacy Practice Lab III</t>
  </si>
  <si>
    <t>PHCL461</t>
  </si>
  <si>
    <t>Pharmacotherapy-VI</t>
  </si>
  <si>
    <t>PHL451</t>
  </si>
  <si>
    <t>Antimicrobial agents</t>
  </si>
  <si>
    <t>PHL452</t>
  </si>
  <si>
    <t>Toxicology</t>
  </si>
  <si>
    <t>TR450</t>
  </si>
  <si>
    <t xml:space="preserve">Pharmacy Training-III 250 Hours (Hospital Pharmacy) </t>
  </si>
  <si>
    <t>PHCL462</t>
  </si>
  <si>
    <t>Pharmacoeconomics</t>
  </si>
  <si>
    <t>PHCL463</t>
  </si>
  <si>
    <t>Pharmacy Regulations &amp; Ethics</t>
  </si>
  <si>
    <t>PHL460</t>
  </si>
  <si>
    <t>Pharmacology-IV</t>
  </si>
  <si>
    <t>PHT460</t>
  </si>
  <si>
    <t>Cosmetics</t>
  </si>
  <si>
    <t>PHG463</t>
  </si>
  <si>
    <t>Recent Approaches in Medicinal Plants Analyses</t>
  </si>
  <si>
    <t>PHCL465</t>
  </si>
  <si>
    <t xml:space="preserve">Health informatics </t>
  </si>
  <si>
    <t>PHCL464</t>
  </si>
  <si>
    <t>Pharmacy Management</t>
  </si>
  <si>
    <t>PHT465</t>
  </si>
  <si>
    <t>Pharmaceutical Quality Control and Good Manufacturing Practice (GMP)</t>
  </si>
  <si>
    <t>PHG465</t>
  </si>
  <si>
    <t>Dietary supplement</t>
  </si>
  <si>
    <t>PHT490</t>
  </si>
  <si>
    <t>Industrial Pharmacy</t>
  </si>
  <si>
    <t>PHC495</t>
  </si>
  <si>
    <t>Pharmaceutical Instrumental Analysis</t>
  </si>
  <si>
    <t>PHCL466</t>
  </si>
  <si>
    <t>Pharmaceutical Marketing</t>
  </si>
  <si>
    <t>PHARM450</t>
  </si>
  <si>
    <t>Research project</t>
  </si>
  <si>
    <t>Course Assessment Plan</t>
  </si>
  <si>
    <t>Course Basic Information</t>
  </si>
  <si>
    <t>College</t>
  </si>
  <si>
    <t>College of Dentistry &amp; Pharmacy</t>
  </si>
  <si>
    <t>Program</t>
  </si>
  <si>
    <t>Bachelors of Pharmaceutical Sciences</t>
  </si>
  <si>
    <t>Course Title</t>
  </si>
  <si>
    <t>Corse Code</t>
  </si>
  <si>
    <t>Academic Year</t>
  </si>
  <si>
    <t>Semester</t>
  </si>
  <si>
    <t>Credit Hours</t>
  </si>
  <si>
    <t>2+1</t>
  </si>
  <si>
    <t xml:space="preserve">Instructor </t>
  </si>
  <si>
    <t>Ms. Balsam Abaalkhail</t>
  </si>
  <si>
    <t>Targets</t>
  </si>
  <si>
    <t>CLOs</t>
  </si>
  <si>
    <t>Relevant PLOs</t>
  </si>
  <si>
    <t>Course Contribution Factor</t>
  </si>
  <si>
    <t>Overall Achievement</t>
  </si>
  <si>
    <t>Performance Target</t>
  </si>
  <si>
    <t>Percentage of students</t>
  </si>
  <si>
    <t>Teaching strategies</t>
  </si>
  <si>
    <t>Total Score</t>
  </si>
  <si>
    <t>Total Sum</t>
  </si>
  <si>
    <t>Number of students achieved performance criteria</t>
  </si>
  <si>
    <t>Number of students</t>
  </si>
  <si>
    <t>K1.1</t>
  </si>
  <si>
    <t>K1.2</t>
  </si>
  <si>
    <t>K1.3</t>
  </si>
  <si>
    <t>V1.1</t>
  </si>
  <si>
    <t>V1.2</t>
  </si>
  <si>
    <t>CLOs-Contents Mapping (contact hours distribution)</t>
  </si>
  <si>
    <t>Course Contents</t>
  </si>
  <si>
    <t>contact hours</t>
  </si>
  <si>
    <t>Check for content contact hours</t>
  </si>
  <si>
    <t>C1</t>
  </si>
  <si>
    <t>C2</t>
  </si>
  <si>
    <t>C3</t>
  </si>
  <si>
    <t>C4</t>
  </si>
  <si>
    <t>C5</t>
  </si>
  <si>
    <t>C6</t>
  </si>
  <si>
    <t>C7</t>
  </si>
  <si>
    <t>C8</t>
  </si>
  <si>
    <t>C9</t>
  </si>
  <si>
    <t>C10</t>
  </si>
  <si>
    <t>C11</t>
  </si>
  <si>
    <t>C12</t>
  </si>
  <si>
    <t>C13</t>
  </si>
  <si>
    <t>C14</t>
  </si>
  <si>
    <t>Total Contact Hours for each CLO</t>
  </si>
  <si>
    <t>Estimated CLOs Weights</t>
  </si>
  <si>
    <t>Actual CLOs Weights</t>
  </si>
  <si>
    <t>Course Blue-Print</t>
  </si>
  <si>
    <t>Assessment Tasks</t>
  </si>
  <si>
    <t>Max Marks</t>
  </si>
  <si>
    <t>Course Learning Outcomes (CLOs)</t>
  </si>
  <si>
    <t>Check for assessment task total</t>
  </si>
  <si>
    <t>Mid 1</t>
  </si>
  <si>
    <t>Quiz 1</t>
  </si>
  <si>
    <t>Quiz 2</t>
  </si>
  <si>
    <t>Assignments</t>
  </si>
  <si>
    <t>Presentation</t>
  </si>
  <si>
    <t>Lab Exam</t>
  </si>
  <si>
    <t>Final Exam</t>
  </si>
  <si>
    <t>Check for CLO weight</t>
  </si>
  <si>
    <t>Total</t>
  </si>
  <si>
    <t>4+4</t>
  </si>
  <si>
    <t>Dr Shahid Mushtaq</t>
  </si>
  <si>
    <t>Identify high-frequency and topic-bound vocabulary items and grammatical patterns of general and functional English, including collocations and social expressions.</t>
  </si>
  <si>
    <t>Direct Instruction, Graphic Organizer Summarization, Group Presentation</t>
  </si>
  <si>
    <t>MCQs (Multiple Choice Questions), EMIs (Extended Match Items), Information Gaps, Categorizing</t>
  </si>
  <si>
    <t>S2.1</t>
  </si>
  <si>
    <t>Use the high-frequency and topic-bound vocabulary items in contexts.</t>
  </si>
  <si>
    <t>Case-based MCQs, Short-Assignment, EMIs</t>
  </si>
  <si>
    <t>S2.2</t>
  </si>
  <si>
    <t>Repeat and interpret the English expressions used in the authentic audio tracks and real-world situations.</t>
  </si>
  <si>
    <t>Paraphrasing, MCQs</t>
  </si>
  <si>
    <t>Speak on familiar topics or have conversations in different social settings to demonstrate some control over vocabulary, grammar and functions.</t>
  </si>
  <si>
    <t xml:space="preserve">Oral Exam (rubric), Presentation (rubric) </t>
  </si>
  <si>
    <t>Read authentic English texts, including dialogues, loudly and for comprehension to demonstrate reading skills.</t>
  </si>
  <si>
    <t>Writing clear and concise sentences and paragraphs to describe persons, places, and things, and demonstrate some control over vocabulary and grammar.</t>
  </si>
  <si>
    <t>Unit-1. Getting to know: Tenses, wh-words, using a bilingual dictionary, parts of speech, and social expressions</t>
  </si>
  <si>
    <t>Unit-2. The way we live: Present tenses, describing countries, collocations, and making conversations</t>
  </si>
  <si>
    <t>Unit-3. It all went wrong: Present tenses, irregular verbs, connections, noun-verb-adjective endings, negatives, and time expressions.</t>
  </si>
  <si>
    <t>Unit-4. Let’s go shopping: Quantity, articles, buying things, prices and shopping.</t>
  </si>
  <si>
    <t>Unit-5. What do you want to do: Verb patterns, future intentions, hot verbs and how do you feel?</t>
  </si>
  <si>
    <t>Unit-6. Tell me! What’s it like? What’s it like, comparative and superlative adjectives, talking about cities, synonyms-antonyms, and directions</t>
  </si>
  <si>
    <t>Unit-7. Fame: Present perfect and past simple, for and since, tense revision, participles, adverbs, word pairs, and short answers.</t>
  </si>
  <si>
    <t>Unit-8. Dos and don’ts: Have (got) to, should and must, jobs, traveling abroad, words that go together and at the doctors.</t>
  </si>
  <si>
    <t>Quiz</t>
  </si>
  <si>
    <t>Mid</t>
  </si>
  <si>
    <t>Language Portfolio</t>
  </si>
  <si>
    <t>Asignment</t>
  </si>
  <si>
    <t>Oral Test</t>
  </si>
  <si>
    <t>Dr Abdelhadi</t>
  </si>
  <si>
    <t>Identify nonverbal and verbal means of communication, including barriers to effective therapeutic communication.</t>
  </si>
  <si>
    <t>Direct Instruction, Graphic Organizer,  Group Presentation</t>
  </si>
  <si>
    <t>MCQs, EMIs,  Classifying Items</t>
  </si>
  <si>
    <t>Use appropriate gestures, facial expressions, interjections, and emojis in different contexts in informal communication.</t>
  </si>
  <si>
    <t>Think-pair-share, Self-Explanation</t>
  </si>
  <si>
    <t>Deliver a speech, interview, or converse face-to-face to demonstrate non-verbal communication skills.</t>
  </si>
  <si>
    <t>Think-pair-share, Peer Instruction,  Demonstration</t>
  </si>
  <si>
    <t>Interact using various electronic means to demonstrate verbal communication skills.</t>
  </si>
  <si>
    <t>Graphic Organizer, Self-Explanation, Group Presentation,  Demonstration</t>
  </si>
  <si>
    <t>Write, using various digital means, to demonstrate written communication skills.</t>
  </si>
  <si>
    <t>Graphic Organizer, Self-Explanation, Peer Instruction, Group Presentation</t>
  </si>
  <si>
    <t>Paraphrasing, short assignment, paragraph writing</t>
  </si>
  <si>
    <t>Collect and organize information to contribute to a group project.</t>
  </si>
  <si>
    <t>Graphic Organizer, Self-Explanation,  Group Presentation</t>
  </si>
  <si>
    <t>Project Portfolio and Rubric</t>
  </si>
  <si>
    <t xml:space="preserve">Introduction to the Course and Communication Skills </t>
  </si>
  <si>
    <t>Communication Theory: The Notion, Mechanism, and the Need</t>
  </si>
  <si>
    <t xml:space="preserve">Non-verbal Communication (NVC): The Notion, Types, and Relevance  </t>
  </si>
  <si>
    <t xml:space="preserve">Verbal Communication (VC): The Notion, Effectiveness and Relevance </t>
  </si>
  <si>
    <t xml:space="preserve">Interpersonal/Effective Therapeutic Communication Skills &amp; Strategies </t>
  </si>
  <si>
    <t>Barriers to Effective Therapeutic Communication (TC)</t>
  </si>
  <si>
    <t xml:space="preserve">Interviews and the Interviewing Techniques </t>
  </si>
  <si>
    <t>Adapting Communication to Patient’s Ability and Patient Education</t>
  </si>
  <si>
    <t>Cultural Sensitivity in Healthcare Communication</t>
  </si>
  <si>
    <t>Electronic Communication (Telecommunication and E-mailing)</t>
  </si>
  <si>
    <t>Fundamental Writing Skills</t>
  </si>
  <si>
    <t>Dr M. Makhmur Ahmad</t>
  </si>
  <si>
    <t>Inquiry-based learning Summarization</t>
  </si>
  <si>
    <t>SAQ- Short Answer Question MCQs- Multiple Choice items EMIs (Extended Match Items)
Classifying or categorizing 
Short assignments + rubric</t>
  </si>
  <si>
    <t>S3.1</t>
  </si>
  <si>
    <t>Introduction to Bio-Statistics</t>
  </si>
  <si>
    <t xml:space="preserve">Types of data and graphical representation, </t>
  </si>
  <si>
    <t>Descriptive statistics: Measures of Central tendency- Mean, median, mode</t>
  </si>
  <si>
    <t>Measures of dispersion range, Standard deviation, and coefficient of Variation.</t>
  </si>
  <si>
    <t>Calculating Measures from an Ungrouped Frequency Table</t>
  </si>
  <si>
    <t>Basic probability. Conditional probability, concept of independence, sensitivity, specificity</t>
  </si>
  <si>
    <t>Bayes Theorem for predictive probabilities.</t>
  </si>
  <si>
    <t xml:space="preserve">Some discrete probability distributions: cumulative probability </t>
  </si>
  <si>
    <t>Binomial and Poisson -their mean and variance</t>
  </si>
  <si>
    <t>Continuous probability distributions: Normal distribution-Z-table</t>
  </si>
  <si>
    <t>Sampling with and without replacement, sampling distribution of one and two sample means and one and two proportions.</t>
  </si>
  <si>
    <t>Statistical inference: Point and interval estimation, Type of errors,</t>
  </si>
  <si>
    <t>Concept of P-value and Testing hypothesis about one and two samples mean and proportions including paired data – different cases under normality</t>
  </si>
  <si>
    <t>Quiz-1</t>
  </si>
  <si>
    <t>Midterm</t>
  </si>
  <si>
    <t>Quiz-2</t>
  </si>
  <si>
    <t>Assignment</t>
  </si>
  <si>
    <t>Final EXam</t>
  </si>
  <si>
    <t>Dr Sheeba Khan</t>
  </si>
  <si>
    <t>K2.1</t>
  </si>
  <si>
    <t>Describe of the human body systems, functions of organs, types of biomolecules and the processes of the cell cycle</t>
  </si>
  <si>
    <t>EMI-Extended Matching Item SAQ- Short Answer Question</t>
  </si>
  <si>
    <t>Differentiate between various biomolecules, enzymes, hormones, and their anabolic and catabolic reactions</t>
  </si>
  <si>
    <t>Case-based questions/MCQ, •Short-Essays •Presentation •Assignment •Practical Exams</t>
  </si>
  <si>
    <t>The chemical context of life (Matter, Elements and Compounds, Atom, Isotopes)</t>
  </si>
  <si>
    <t>Carbon and the molecular diversity of life (Definition of carbon, Organic chemistry, Hydrocarbons, Functional groups)</t>
  </si>
  <si>
    <t>The structure and function of macromolecules (Making and breaking of polymers, CHO, Protein, Lipid, Nucleic acid)</t>
  </si>
  <si>
    <t>An introduction to metabolism (Definition, Classification)</t>
  </si>
  <si>
    <t>Cell structure and functions (Cell types, Cell wall, Plasma membrane, Nucleus, Mitochondria, ER, Flagella, Pili)</t>
  </si>
  <si>
    <t>Enzymes (General properties, Types, Major enzymes)</t>
  </si>
  <si>
    <t>Protein synthesis (General properties, Function, Transcription, Translation)</t>
  </si>
  <si>
    <t>Cell cycle (Binary fission, Mitosis, Meiosis, Control of cell cycle)</t>
  </si>
  <si>
    <t>Endocrine system (Definition, General properties, Major endocrine organ, Classification)</t>
  </si>
  <si>
    <t>Nervous system (Definition, Function, Classification)</t>
  </si>
  <si>
    <t xml:space="preserve">The chromosomal bases of inheritance </t>
  </si>
  <si>
    <t>Practical Log</t>
  </si>
  <si>
    <t>Practical Exam</t>
  </si>
  <si>
    <t>Bachelor of Pharmaceutical Sciences</t>
  </si>
  <si>
    <t>Dr Shamshir Khan</t>
  </si>
  <si>
    <t xml:space="preserve">Describe the aspect of mater, chemical calculation, atomic structure theories, electron configuration, properties of different group of elements in periodic table, relationship between thermochemistry and solution properties </t>
  </si>
  <si>
    <t>•	Direct instruction
•	Graphic organizers</t>
  </si>
  <si>
    <t>S3.2</t>
  </si>
  <si>
    <t>Assign electron configuration of arbitrary atoms</t>
  </si>
  <si>
    <t>•	Think-pair-share 
•	Self-explanation</t>
  </si>
  <si>
    <t>•	Case based question.</t>
  </si>
  <si>
    <t>S6.1</t>
  </si>
  <si>
    <t>Calculate density, atomic mass, and concentration of different chemical compounds Use chemical laws</t>
  </si>
  <si>
    <t xml:space="preserve">•	Think-pair-share </t>
  </si>
  <si>
    <t>•	Case based question</t>
  </si>
  <si>
    <t>S7.1</t>
  </si>
  <si>
    <t xml:space="preserve">Precisely Handle measuring tools, instrument to prepare chemical solution and measure chemical properties </t>
  </si>
  <si>
    <t xml:space="preserve">Hands on demonstration </t>
  </si>
  <si>
    <t>•	OSPE</t>
  </si>
  <si>
    <t>Introduction: Matter</t>
  </si>
  <si>
    <t>Chemistry of Study of Change</t>
  </si>
  <si>
    <t>The Periodic table, atomic structure, Molecules &amp; Ions</t>
  </si>
  <si>
    <t>The electron configuration of atoms, Quantum theory, Quantum numbers</t>
  </si>
  <si>
    <t>Solutions: Physical Properties of Solutions</t>
  </si>
  <si>
    <t>Reactions in Aqueous Solutions</t>
  </si>
  <si>
    <t>Gases</t>
  </si>
  <si>
    <t>Thermochemistry</t>
  </si>
  <si>
    <t>Chemical kinetics &amp; Chemical equilibrium</t>
  </si>
  <si>
    <t>Quizzes</t>
  </si>
  <si>
    <t>Final practical exam</t>
  </si>
  <si>
    <t>Final theory exam</t>
  </si>
  <si>
    <t>Identify spelling, pronunciation, and definition/meaning of key biomedical terms, including abbreviations.</t>
  </si>
  <si>
    <t>Use familiar biomedical terms and affixes in appropriate contexts.</t>
  </si>
  <si>
    <t>Illustrate the structure of a selected inventory of biomedical terms.</t>
  </si>
  <si>
    <t>Produce new biomedical words and phrases, from a selected inventory of roots and affixes.</t>
  </si>
  <si>
    <t>Collect, verify, and organize the biomedical information to contribute to a group project.</t>
  </si>
  <si>
    <t>Introduction to Medical Terminology</t>
  </si>
  <si>
    <t>Whole Body Terms: Body Plans and Structure</t>
  </si>
  <si>
    <t>Integumentary System</t>
  </si>
  <si>
    <t>Cardiovascular System</t>
  </si>
  <si>
    <t>Respiratory System</t>
  </si>
  <si>
    <t>Nervous System &amp; Special Senses</t>
  </si>
  <si>
    <t>Digestive System</t>
  </si>
  <si>
    <t>Urinary System</t>
  </si>
  <si>
    <t>Endocrine System</t>
  </si>
  <si>
    <t>Lymphatic and Hematic System</t>
  </si>
  <si>
    <t>Skeletal &amp; Muscular System</t>
  </si>
  <si>
    <t>Reproductive System</t>
  </si>
  <si>
    <t xml:space="preserve">Parametrical words </t>
  </si>
  <si>
    <t xml:space="preserve">Prescription contents and abbreviation  </t>
  </si>
  <si>
    <t>Project</t>
  </si>
  <si>
    <t>B.Pharm</t>
  </si>
  <si>
    <t>Dr. Anzarul Haq</t>
  </si>
  <si>
    <t xml:space="preserve">Define the international and common systems of units, and different types of liquid dosage forms, (solution, coarse dispersion, suspensions, and emulsions) aerosols system and novel drug delivery system  </t>
  </si>
  <si>
    <t xml:space="preserve">Direct instruction </t>
  </si>
  <si>
    <t>SAQ - Short Answer Question MCQs-Multiple Choice items Short assignments or reports +rubric</t>
  </si>
  <si>
    <t xml:space="preserve">Describe the concept of basic physical principles related to the pharmaceutical liquid dosage forms and drug delivery system </t>
  </si>
  <si>
    <t>Direct instruction Graphic organizer</t>
  </si>
  <si>
    <t>Explain the basic concept and calculation of doses, ratio, proportion, percentage strength, dilution concertation, based on factors of age, body weight, and body surface area using nomograms.</t>
  </si>
  <si>
    <t>Think-pair-share   Self-explanation</t>
  </si>
  <si>
    <t>Case based question Case based question with MCQs Short assignments +rubric</t>
  </si>
  <si>
    <t>Operate the instrument procedure to prepare the different types of liquid solutions dosage forms, suspensions, and emulsion.</t>
  </si>
  <si>
    <t>Hands on demonstration     Case based learning Simulation</t>
  </si>
  <si>
    <t>OSPE Student logbook +rubric Observational assessments+ rubric</t>
  </si>
  <si>
    <t>Introduction pharmaceutics I</t>
  </si>
  <si>
    <t>Fundamental of calculation &amp; units measurement</t>
  </si>
  <si>
    <t>Common systems of measurements Inter- and intra- conversion between different system</t>
  </si>
  <si>
    <t>Rheology, Density, specific gravity, and specific volume</t>
  </si>
  <si>
    <t>Pharmaceutical Solutions</t>
  </si>
  <si>
    <t>Colloidal dispersion systems</t>
  </si>
  <si>
    <t>Pharmaceutical Suspension</t>
  </si>
  <si>
    <t>Pharmaceutical Emulsion</t>
  </si>
  <si>
    <t>Aerosol system</t>
  </si>
  <si>
    <t xml:space="preserve">Novel drug delivery system: nanoparticles &amp; liposomes </t>
  </si>
  <si>
    <t>final exam</t>
  </si>
  <si>
    <t xml:space="preserve">Direct instruction
Graphic organizers
Summarization </t>
  </si>
  <si>
    <t>SAQ - Short Answer Question
MCQs-Multiple Choice items
Labelling diagrams
Comparing and/or contrasting two or more theories, events, processes, etc.</t>
  </si>
  <si>
    <t>K2.2</t>
  </si>
  <si>
    <t>K2.3</t>
  </si>
  <si>
    <t>Think-pair-share 
Self-explanation</t>
  </si>
  <si>
    <t>Case based question with MCQs.
Short assignments +rubric</t>
  </si>
  <si>
    <t>S3.3</t>
  </si>
  <si>
    <t>Enzymes</t>
  </si>
  <si>
    <t>Dr MD Tanwir</t>
  </si>
  <si>
    <t xml:space="preserve">Explain cell biology, body fluids the mechanisms of transport across the cell membrane, the basic electrophysiology e.g., membrane potentials, action potentials, and the molecular basis of muscle contraction </t>
  </si>
  <si>
    <t xml:space="preserve">Direct instruction
Graphic organizers </t>
  </si>
  <si>
    <t>SAQ - Short Answer Question
MCQs-Multiple Choice items</t>
  </si>
  <si>
    <t xml:space="preserve">Describe the anatomical organization and the effects of sympathetic and parasympathetic stimulation on different systems. </t>
  </si>
  <si>
    <t xml:space="preserve">Discuss the formed elements, basic immunity and body defense, blood groups, blood transfusion and the mechanisms of Hemostasis. </t>
  </si>
  <si>
    <t>K1.4</t>
  </si>
  <si>
    <t xml:space="preserve">Explain the heart as a pump, vascular system hemodynamics, regional circulation and pathophysiology of few abnormal states </t>
  </si>
  <si>
    <t>K1.5</t>
  </si>
  <si>
    <t xml:space="preserve">Explain the physiology of gases exchange and transport </t>
  </si>
  <si>
    <t>Interpret a basic understanding of the integration of organ systems to maintain homeostasis</t>
  </si>
  <si>
    <t xml:space="preserve">Think-pair-share 
Self-explanation </t>
  </si>
  <si>
    <t xml:space="preserve">Introduction to physiology; Cell membrane and body fluids </t>
  </si>
  <si>
    <t xml:space="preserve">Blood physiology </t>
  </si>
  <si>
    <t>Nerve and Muscle</t>
  </si>
  <si>
    <t>Autonomic nervous system</t>
  </si>
  <si>
    <t>Cardiovascular system</t>
  </si>
  <si>
    <t>Respiratory physiology</t>
  </si>
  <si>
    <t>Final exam</t>
  </si>
  <si>
    <t xml:space="preserve">Describe classification, nomenclature system, isomerism, bond types, synthesis reaction and its mechanism, stereochemistry, screening methods and industrial applications of organic compound and heterocyclic compounds  </t>
  </si>
  <si>
    <t xml:space="preserve">K2 </t>
  </si>
  <si>
    <t>•	Direct instruction
•	Graphic organizers
Summarization</t>
  </si>
  <si>
    <t>•	SAQ - Short Answer Question
•	MCQs-Multiple Choice items
•	Labelling diagrams
•	Classifying or categorizing cases, elements, using established criteria
•	Finding or identifying examples or illustrations of a concept, principle</t>
  </si>
  <si>
    <t xml:space="preserve">S3.1 </t>
  </si>
  <si>
    <t xml:space="preserve">Apply nomenclature system to identify the name organic compounds  </t>
  </si>
  <si>
    <t>hink-pair-share. 
•	Self-explanation</t>
  </si>
  <si>
    <t>•	Case based question.
•	Short assignments +rubric</t>
  </si>
  <si>
    <t>Apply physical and chemical screening methods to identify the chemical functional group and class of organic compounds.</t>
  </si>
  <si>
    <t xml:space="preserve">S3 </t>
  </si>
  <si>
    <t>•	Think-pair-share. 
•	Self-explanation</t>
  </si>
  <si>
    <t xml:space="preserve">OSPE </t>
  </si>
  <si>
    <t>Introduction &amp; Classification organic compounds with emphasis on different hydrocarbons and functional groups.</t>
  </si>
  <si>
    <t xml:space="preserve">Alkanes: Nomenclature, Physical &amp; chemical properties and synthesis </t>
  </si>
  <si>
    <t>Alkenes: Nomenclature, Physical &amp; chemical properties and synthesis</t>
  </si>
  <si>
    <t>Alkynes: Nomenclature, Physical &amp; chemical properties and synthesis</t>
  </si>
  <si>
    <t>Alcohols: Nomenclature, Physical &amp; chemical properties and synthesis</t>
  </si>
  <si>
    <t>Halides: Nomenclature, Physical &amp; chemical properties and synthesis.</t>
  </si>
  <si>
    <t>Aldehyde &amp; Ketones: Nomenclature, Physical &amp; chemical properties and synthesis</t>
  </si>
  <si>
    <t>Amino Acids &amp; Carboxylic Acid: Nomenclature, Physical &amp; chemical properties and synthesis</t>
  </si>
  <si>
    <t>Isomerism &amp; Stereoisomerism</t>
  </si>
  <si>
    <t>Chemistry of Heterocyclic compounds: Aromaticity, Nomenclature, Classification &amp; Synthesis: Five membered, Six membered and fused rings</t>
  </si>
  <si>
    <t>Important named reaction &amp; its mechanism</t>
  </si>
  <si>
    <t xml:space="preserve">Final Practical exam </t>
  </si>
  <si>
    <t>Dr Wamik Fareed</t>
  </si>
  <si>
    <t>Describe the main theoretical concepts in anatomy including levels of organizations, anatomical terms and features as well as external anatomy of human body</t>
  </si>
  <si>
    <t>Direct instruction 
Graphic organizers</t>
  </si>
  <si>
    <t>SAQ - Short Answer Question
MCQs-Multiple Choice items
Labelling diagrams
Finding or identifying examples or illustrations of a concept, principle</t>
  </si>
  <si>
    <t>K3.1</t>
  </si>
  <si>
    <t>Discuss the ethical issues surrounding the use of human material for research and education.</t>
  </si>
  <si>
    <t>Summarization</t>
  </si>
  <si>
    <t>Relate functions of different body organs and tissues to their structures.</t>
  </si>
  <si>
    <t>Think-pair-share
Self-explanation</t>
  </si>
  <si>
    <t>Use appropriate laboratory tools and techniques to examine anatomical structures</t>
  </si>
  <si>
    <t>OSPE 
Student logbook +rubric</t>
  </si>
  <si>
    <t>V2.1</t>
  </si>
  <si>
    <t>Demonstrate commitment to professional and academic values and ethical code of conduct related to anatomy</t>
  </si>
  <si>
    <t xml:space="preserve">Self-explanation
Group presentation </t>
  </si>
  <si>
    <t>Introduction to Anatomy , Anatomical Positions , Anatomical Planes and Anatomical terms</t>
  </si>
  <si>
    <t>Cell structure &amp; its organelles</t>
  </si>
  <si>
    <t>Anatomy of the Skeletal System</t>
  </si>
  <si>
    <t>Structure of joint and its types</t>
  </si>
  <si>
    <t>Anatomy of Muscular system</t>
  </si>
  <si>
    <t>Anatomy of  the Cardiovascular System</t>
  </si>
  <si>
    <t>Anatomy of  the Respiratory System</t>
  </si>
  <si>
    <t xml:space="preserve">Anatomy of Digestive system </t>
  </si>
  <si>
    <t>Anatomy of Nervous System</t>
  </si>
  <si>
    <t>Anatomy  of Urinary System</t>
  </si>
  <si>
    <t>Anatomy of Reproductive System</t>
  </si>
  <si>
    <t>Makhmur Ahmad</t>
  </si>
  <si>
    <t>Define the diversity, evolution, structure, physiology, and biochemistry of prokaryotic and eukaryotic and disease-causing microorganism.</t>
  </si>
  <si>
    <t>Inquiry-based learning Saummarization</t>
  </si>
  <si>
    <t>Explain the characterization, classification, virulence factors and mechanisms of pathogenesis of different microbial group.</t>
  </si>
  <si>
    <t>Direct instruction Summarization</t>
  </si>
  <si>
    <t>S5.1</t>
  </si>
  <si>
    <t>Discuss the principle on which each method is based and explain relationships between microbial structure and mechanisms of pathogenicity and identifying antimicrobial targets.</t>
  </si>
  <si>
    <t>Project portfolio + rubric</t>
  </si>
  <si>
    <t>Demonstrate the ability to generate research idea and apply it to solve any health-related problem, the type of microbial group under the microscopic instrument.</t>
  </si>
  <si>
    <t>Objective structured practical exam</t>
  </si>
  <si>
    <t>Introduction to microbiology (definition of bacteria, viruses, fungi, prions) and classification of microorganisms.</t>
  </si>
  <si>
    <t>Bacteria: Structure, nutrition, growth and genetics</t>
  </si>
  <si>
    <t>Viruses: structure, classification, replication, and pathogenesis.</t>
  </si>
  <si>
    <t>General characteristics and classification of fungi</t>
  </si>
  <si>
    <t>Protozoa and helminthes</t>
  </si>
  <si>
    <t>Methods of sterilization</t>
  </si>
  <si>
    <t>Host-parasite relationship</t>
  </si>
  <si>
    <t>Antibiotics, laboratory diagnosis of infectious diseases, antimicrobial sensitivity testing</t>
  </si>
  <si>
    <t>Skin and Eye infections</t>
  </si>
  <si>
    <t>Infections of the central nervous system</t>
  </si>
  <si>
    <t>Cardiovascular infections</t>
  </si>
  <si>
    <t>Respiratory tract infections</t>
  </si>
  <si>
    <t>Gastrointestinal tract infections</t>
  </si>
  <si>
    <t>Urinary tract infections &amp; Sexually transmitted diseases</t>
  </si>
  <si>
    <t>final lab exam</t>
  </si>
  <si>
    <t xml:space="preserve">Summarization 
Group presentation </t>
  </si>
  <si>
    <t>presentation</t>
  </si>
  <si>
    <t>Dr. Abdelhadi</t>
  </si>
  <si>
    <t>Describe the physiology of digestion and endocrine system and the disorders resulting from abnormality in their function.</t>
  </si>
  <si>
    <t xml:space="preserve">Summarization 
Inquiry-based learning  </t>
  </si>
  <si>
    <t>SAQ - Short Answer Question
MCQs-Multiple Choice items
Comparing and/or contrasting two or more theories, events, processes, etc.
Classifying or categorizing cases, elements, events, etc., using established criteria</t>
  </si>
  <si>
    <t>Explain the reproductive physiology, major function of male and female reproductive organs. and the hormones involved in sexual maturity and describe their functions, site of production and their control.</t>
  </si>
  <si>
    <t>Discuss the renal and acid-base balance Physiology; including the role of the kidney in maintaining a constant healthy internal environment and the physiologic processes by which the kidney excretes waste products and regulates the composition of the body.</t>
  </si>
  <si>
    <t>Describe the general function of the central nervous system and discuss the role of the different parts of the CNS.</t>
  </si>
  <si>
    <t>Interpret basic understanding of the integration of physiological functions to maintain homeostasis.</t>
  </si>
  <si>
    <t>Gastrointestinal Physiology (GIT)</t>
  </si>
  <si>
    <t>Endocrine Physiology</t>
  </si>
  <si>
    <t>Reproductive Physiology</t>
  </si>
  <si>
    <t>Renal and acid-base Physiology</t>
  </si>
  <si>
    <t>Neurophysiology of CNS</t>
  </si>
  <si>
    <t>Dr Mohd Rashid</t>
  </si>
  <si>
    <t>K.2.1</t>
  </si>
  <si>
    <t>Explain the theoretical background, practical procedure, of different qualitative and quantitative analytical methods</t>
  </si>
  <si>
    <t>AQ - Short Answer Question
•	MCQs-Multiple Choice items</t>
  </si>
  <si>
    <t>S.6.1</t>
  </si>
  <si>
    <t xml:space="preserve">Calculate Molarity, Normality, pH, dissociation constants, solubility product and concentration of sample. </t>
  </si>
  <si>
    <t>•	Think-pair-share 
•	Peer instruction 
•	Hands on demonstration</t>
  </si>
  <si>
    <t>•	OSPE
•	Case based question. (for mathematical operations)</t>
  </si>
  <si>
    <t xml:space="preserve">  S.7.1</t>
  </si>
  <si>
    <t>Practice practical procedure, of different qualitative and quantitative analytical methods</t>
  </si>
  <si>
    <t>•	Hands on demonstration</t>
  </si>
  <si>
    <t>Introduction to Pharmaceutical Analysis, qualitative and quantitative analysis.</t>
  </si>
  <si>
    <t>Review the fundamental concepts of mass, moles, and equivalents. Methods of expressing the concentrations: molarity, normality, percent ppt. ppm, ppb. Principle of volumetric analysis and volumetric calculations.</t>
  </si>
  <si>
    <t>Review the equilibrium concept and the equilibrium constants and describe general approaches for calculations using equilibrium constants. And discuss the activity of ionic species along with calculation of activity coefficients</t>
  </si>
  <si>
    <t>Acid-base Equilibria in aqueous solution and pX concept (X; H+, OH- ). pH calculations, buffer solutions and 0physiological buffer</t>
  </si>
  <si>
    <t>Neutralization reactions; Titration of strong acids and strong bases, titration curves for weak acids, titration curves for weak bases, mixtures of strong and weak acids or bases, factors affecting and theory of indicators</t>
  </si>
  <si>
    <t>Steps required in gravimetric analysis. Gravimetric factor and gravimetric calculations. Examples of gravimetric analysis, Precipitation equilibria, factors affecting the solubility of the precipitate. Applications involving calculations of sparingly soluble salts.</t>
  </si>
  <si>
    <t>Precipitation Titrations, titration curves, detection of the end point, indicators.</t>
  </si>
  <si>
    <t>Balance the reduction–oxidation reaction. Calculating redox titration. Visual detection of the end point. Titrations with reducing and oxidizing agents. Titrations involving iodine: Iodimetry and Iodometry.</t>
  </si>
  <si>
    <t>Final practicl exam</t>
  </si>
  <si>
    <t>Dr. Hind Goresh</t>
  </si>
  <si>
    <t>Describe the scope of practice and responsibilities of pharmacists in different settings, including community, hospital, and pharmaceutical industry.</t>
  </si>
  <si>
    <t xml:space="preserve">SAQ - Short Answer Question
MCQs-Multiple Choice items
</t>
  </si>
  <si>
    <t>S1.1</t>
  </si>
  <si>
    <t xml:space="preserve">• Think-pair-share 
• Summarization 
</t>
  </si>
  <si>
    <t>Student Portfolio assessments +rubric</t>
  </si>
  <si>
    <t>Explore the wide range of career opportunities available in the field of pharmacy, recognizing potential areas for personal and professional growth.</t>
  </si>
  <si>
    <t>Apply effective mathmatical skills in simple calculations</t>
  </si>
  <si>
    <t xml:space="preserve">Think-pair-share </t>
  </si>
  <si>
    <t>·  Peers’ evaluations rubric</t>
  </si>
  <si>
    <t>Engage in self-assessment and continuous learning, evaluating their progress within the scope of the training experience and identifying areas for further development and improvement.</t>
  </si>
  <si>
    <t>Group presentation</t>
  </si>
  <si>
    <t>Engage in self-assessment and continuous learning, evaluating their progress within the scope of the training experience and identifying areas for further development and improvement</t>
  </si>
  <si>
    <t xml:space="preserve">Self-explanation </t>
  </si>
  <si>
    <t>Lecture: introduction to pharmacy profession</t>
  </si>
  <si>
    <t xml:space="preserve">Lecture: Guest speaker: Academia </t>
  </si>
  <si>
    <t>Lecture: Guest speaker: SFDA</t>
  </si>
  <si>
    <t xml:space="preserve">Lecture: Guest speaker from private company  </t>
  </si>
  <si>
    <t>Visit inpatients pharmacy (shadowing)</t>
  </si>
  <si>
    <t>Visit outpatient pharmacy (shadowing)</t>
  </si>
  <si>
    <t>Visit Drug information pharmacy (shadowing)</t>
  </si>
  <si>
    <t xml:space="preserve">Visit clinical pharmacy (shadowing) 2 visits </t>
  </si>
  <si>
    <t xml:space="preserve">Visit community pharmacy </t>
  </si>
  <si>
    <t>site evaluation/ peer assignment</t>
  </si>
  <si>
    <t xml:space="preserve">student protiflio </t>
  </si>
  <si>
    <t>2+0</t>
  </si>
  <si>
    <t>Illustrate fundamental principles of drug metabolism, Drug discovery, lead identification and optimization.</t>
  </si>
  <si>
    <t xml:space="preserve">•	Inquiry-based learning 
•	Summarization </t>
  </si>
  <si>
    <t xml:space="preserve">•	SAQ - Short Answer Question
•	MCQs-Multiple Choice item
•	Classifying or categorizing cases, elements, events, using established criteria
</t>
  </si>
  <si>
    <t>K.2.2</t>
  </si>
  <si>
    <t>Explain the effect of drug molecule physicochemical properties on absorption, distribution, metabolism, and interaction with a receptor to give a physiological response.</t>
  </si>
  <si>
    <t xml:space="preserve">•	Inquiry-based learning 
•	Problem-based learning 
</t>
  </si>
  <si>
    <t xml:space="preserve">•	Comparing and/or contrasting two or more theories, events, processes
•	Finding or identifying examples or illustrations of a concept, principle  short Assignment +rubric
</t>
  </si>
  <si>
    <t>Calculate the physicochemical properties of molecules in drug design.</t>
  </si>
  <si>
    <t xml:space="preserve">•	Problem-based learning </t>
  </si>
  <si>
    <t>Case based question</t>
  </si>
  <si>
    <t>Basic Medicinal Chemistry Terminology</t>
  </si>
  <si>
    <t>Principles of Drug Action:</t>
  </si>
  <si>
    <t>Drug-Receptor Interaction</t>
  </si>
  <si>
    <t>Drug Metabolism:</t>
  </si>
  <si>
    <t xml:space="preserve">Applying metabolism studying: The Pro-drug and soft drug approach </t>
  </si>
  <si>
    <t>QSAR and Ferguson Principle in Drug Discovery Process</t>
  </si>
  <si>
    <t>Stereochemistry: Types of stereo isomers with biological examples in Drug Discovery Process</t>
  </si>
  <si>
    <t>Overview of the Drug Discovery Process</t>
  </si>
  <si>
    <t>Dr. Naseem Akhtar</t>
  </si>
  <si>
    <t>Describe the basic concept of various type of solid, semisolid dosage forms and suppositories system</t>
  </si>
  <si>
    <t>SAQ - Short Answer Question
MCQs-Multiple Choice items
Short assignments or reports +rubric</t>
  </si>
  <si>
    <t>Discuss the properties, types, factors, influencing various pharmaceutical dosage forms including powders, tablets, capsules, semi solid dosage forms and suppositories and different methods of preparation, application along with their ingredients.</t>
  </si>
  <si>
    <t>Group presentation
Inquiry based learning
Problem based learning</t>
  </si>
  <si>
    <t>SAQ - Short Answer Question
MCQs-Multiple Choice items
Comparing and/or contrasting two or more theories, events, processes etc.,
Classifying or categorizing cases, elements, events, etc., using established criteria</t>
  </si>
  <si>
    <t xml:space="preserve">Explain the powder properties such as angle of repose Carr’s index, particles size and problems encountered during manufacturing of tablets, capsules and semi solid preparations and suppositories.
</t>
  </si>
  <si>
    <t xml:space="preserve">Case based question.
Case based question with MCQs
Short assignments +rubric </t>
  </si>
  <si>
    <t>Operate the experiment procedure to understand the different properties of powders such as particle size analysis, flow properties, densities measurement and types of solid dosage forms, semi solid and suppositories.</t>
  </si>
  <si>
    <t xml:space="preserve">Lab conduct
Hands on demonstration
</t>
  </si>
  <si>
    <t>OSPE
Student logbook +rubric
Observational assessments+ rubric</t>
  </si>
  <si>
    <t>Introduction to the phamaceutics-II</t>
  </si>
  <si>
    <t>Powders properties</t>
  </si>
  <si>
    <t>Powders as dosage forms</t>
  </si>
  <si>
    <t>Granulation technology</t>
  </si>
  <si>
    <t>Tablets, properties, types, manufacturings &amp; defects</t>
  </si>
  <si>
    <t>Capsule, properties, types, manufacturings &amp; defects</t>
  </si>
  <si>
    <t>Semi solid dosage forms: Ointment, paste, creams, gels,</t>
  </si>
  <si>
    <t>Suppositories</t>
  </si>
  <si>
    <t>Discuss the elements of the immune system including innate immunity and acquired immunity.</t>
  </si>
  <si>
    <t>Problem-based learning Summarization</t>
  </si>
  <si>
    <t>Illustrate immune system and its components including central lymphoid tissue, thymus gland, bone marrow stem cells, peripheral lymphoid tissue, lymph nodes, immune cells, T and B lymphocyte.</t>
  </si>
  <si>
    <t>Explain structure, function of antibodies, immune disorders and methods, concept of immunization, types of vaccines, and immune effectors and immunity, and the diagnostic procedure applied.</t>
  </si>
  <si>
    <t>Problem-based learning case based learning</t>
  </si>
  <si>
    <t>Case based question with MCQs           Short assignment + rubric</t>
  </si>
  <si>
    <t>Use the relation between histocompatibility systems, immune response and complement system, and its role in defense and pathological conditions, cytokines as mediators of the immune system</t>
  </si>
  <si>
    <t>Problem-based learning Inquiry based learning</t>
  </si>
  <si>
    <t>Introduction: definitions, history, terminology, types of immunity (natural and acquired immunity), hematopoiesis</t>
  </si>
  <si>
    <t>Natural and adaptive immunity, parameters and mechanism</t>
  </si>
  <si>
    <t>Antigens, immunogenicity, types of antigens and mitogens, major histocompatibility complex</t>
  </si>
  <si>
    <t>Cells involved in immune response- types and subtypes, sites of their developments and their functions</t>
  </si>
  <si>
    <t>The immune response: humoral response, primary and secondary immune response, mechanism of antibody production</t>
  </si>
  <si>
    <t>Antibodies: structure, classes, subclasses and characters of immunoglobulin as well as their functions and uses</t>
  </si>
  <si>
    <t>Antibody antigen reactions (serology) and cell-mediated tests</t>
  </si>
  <si>
    <t>Complement system: characters, mechanism of activation, biological functions and techniques involving complement</t>
  </si>
  <si>
    <t>The cellular immune response: mechanism of cytotoxicity reactions and measurement of cytotoxicity in in-vitro, types and function of cytokines.</t>
  </si>
  <si>
    <t>Immunoprophylaxis: vaccines and serotherapy, immunodeficiency disease</t>
  </si>
  <si>
    <t>Immunity against microbial infections (bacterial, fungal, viral, parasitic)</t>
  </si>
  <si>
    <t>Prof Hassan Oglu</t>
  </si>
  <si>
    <t>Explain the history and role of natural products and herbal medicines in pharmacy and medicine.</t>
  </si>
  <si>
    <t xml:space="preserve">Summarization, Inquiry based learning, Self-reflection </t>
  </si>
  <si>
    <t>SAQ - Short Answer Question, MCQs-Multiple Choice items</t>
  </si>
  <si>
    <t>Describe the sources of herbs containing, carbohydrates, phenolics, coumarins, anthraquinones, flavonoids, tannins, volatile oils, iridoids, sesquiterpenes, diterpenes, and triterpenes.</t>
  </si>
  <si>
    <t>Explain the process of extraction and production of herbal drugs.</t>
  </si>
  <si>
    <t>SAQ - Short Answer Question, MCQs-Multiple Choice items, Compare and/or contrast two or more processes.</t>
  </si>
  <si>
    <t>Describe the chromatographic principles used in purification.</t>
  </si>
  <si>
    <t>Summarization, Inquiry based learning, Self-reflection</t>
  </si>
  <si>
    <t>Classify or categorize cases using established criteria, Find identifying examples or illustrations of a concept, principle.</t>
  </si>
  <si>
    <t>Use morphological, and chemical screening and chromatographic procedure to identify medicinal plants constituents.</t>
  </si>
  <si>
    <t xml:space="preserve"> OSPE (Objective structured practical exam)</t>
  </si>
  <si>
    <t xml:space="preserve">Demonstrate ability to execute the extraction of natural products. </t>
  </si>
  <si>
    <t>OSPE (Objective structured practical exam)</t>
  </si>
  <si>
    <t>Introduction to pharmacognosy (Definitions of drugs, origins, pharmacopeia, the importance of natural products), Introduction to complementary and alternative medicine, morphological characterization of the plant parts.</t>
  </si>
  <si>
    <t xml:space="preserve">Drug of natural origin, collection, drying preparation, and preservation of medicinal plants. </t>
  </si>
  <si>
    <t>Extraction, and fermentation of active constituents of the medicinal plants.</t>
  </si>
  <si>
    <t>Chromatography (Introduction, classification, application).</t>
  </si>
  <si>
    <t xml:space="preserve">Biological, chemical, and pharmacological characters of primary plant metabolites </t>
  </si>
  <si>
    <t>Biological, chemical, and pharmacological characters of secondary plant metabolites (Coumarins, Anthraquinones, flavonoid, anthocyanins, Tannins, Terpenoids Triterpenes and Steroidal compounds)</t>
  </si>
  <si>
    <t>Mid 2</t>
  </si>
  <si>
    <t>Dr Maisa Shamoun</t>
  </si>
  <si>
    <t>Identify the fundamental principles of pharmacokinetics and pharmacodynamics.</t>
  </si>
  <si>
    <t xml:space="preserve">Group presentation
Problem-based learning </t>
  </si>
  <si>
    <t>SAQ - Short Answer Question
MCQs-Multiple Choice items
Classifying or categorizing cases, elements, events, etc., using established criteria</t>
  </si>
  <si>
    <t>Compare and contrast the specific pharmacology of the major classes of drugs, important distinctions among members of each class.</t>
  </si>
  <si>
    <t>Identify the risks and benefits, in relation to the organ systems they affect, and the diseases for which they are used therapeutically</t>
  </si>
  <si>
    <t>Interpret pharmacological action and side effect of the drugs based on receptor selectivity.</t>
  </si>
  <si>
    <t xml:space="preserve">Think-pair-share
Problem-based learning </t>
  </si>
  <si>
    <t>S4.1</t>
  </si>
  <si>
    <t>Communicate effectively in written and verbal format</t>
  </si>
  <si>
    <t>Self-explanation 
Group presentation</t>
  </si>
  <si>
    <t>Apply pharmacological methods and techniques to determine the effect of a drug</t>
  </si>
  <si>
    <t>Hands on demonstration
Simulations
Lab conduct</t>
  </si>
  <si>
    <t xml:space="preserve">OSPE 
Student logbook +rubric
Observational assessments+ rubric </t>
  </si>
  <si>
    <t>Basic concepts in Pharmacology and Types of Targets for Drug Action, Drug Receptors, Drug Receptor Interactions, and regulations</t>
  </si>
  <si>
    <t>Dose-Response Functions: affinity, efficacy and potency, Dose response Curves and types of agonists and antagonists, ED50, LD50 and Therapeutic Index, and Drug Tolerance, Tachyphylaxis, Idiosyncrasy</t>
  </si>
  <si>
    <t>Mechanisms of Drug Action: Receptor and Non-receptor mechanisms, Absorption, Distribution &amp; Biotransformation and Elimination of Drugs, and Factors Modifying Drug Action</t>
  </si>
  <si>
    <t>Automaniac nervous system, Sympathetic Nervous System,</t>
  </si>
  <si>
    <t>Parasympathetic Nervous System</t>
  </si>
  <si>
    <t>Antihypertensive drugs and Antiarrhythmic drugs</t>
  </si>
  <si>
    <t>Drugs used in angina and heart failure</t>
  </si>
  <si>
    <t>Lab</t>
  </si>
  <si>
    <t>Discuss the important chemical feature and stereochemistry of neurotransmitters, sympathetic and parasympathetic agonist &amp; antagonist, cardiovascular agents, and diuretics.</t>
  </si>
  <si>
    <t>•	Inquiry-based learning 
•	Summarization</t>
  </si>
  <si>
    <t xml:space="preserve">•	SAQ - Short Answer Question
•	MCQs-Multiple Choice items
•	Comparing and/or contrasting two or more theories, events, processes
•	Finding or identifying examples or illustrations of a concept, principle 
</t>
  </si>
  <si>
    <t>Explain synthetic reaction, SAR, stereochemistry and metabolism of the neurotransmitters, sympathetic and parasympathetic agonist &amp; antagonist, cardiovascular agents, and diuretics.</t>
  </si>
  <si>
    <t>•	Inquiry-based learning
•	Problem-based learning</t>
  </si>
  <si>
    <t>•	SAQ - Short Answer Question
•	Comparing and/or contrasting two or more theories, events, processes
•	Finding or identifying examples or illustrations of a concept, principle
- Short assignments +rubric</t>
  </si>
  <si>
    <t>S.3.1</t>
  </si>
  <si>
    <t>Correlate the activity  to the modification of chemical structure using structure Activity relationship (SAR)</t>
  </si>
  <si>
    <t>•	Self-explanation 
•	Problem-based learning
•	Case-based learning</t>
  </si>
  <si>
    <t>Cholinergic agents</t>
  </si>
  <si>
    <t>holinergic blocking agents</t>
  </si>
  <si>
    <t>Adrenergic agents</t>
  </si>
  <si>
    <t>Alpha-Blockers (Haloalkylamines, benzo dioxanes, imidazolines).
Beta-Blockers</t>
  </si>
  <si>
    <t>Cardiovascular Agents</t>
  </si>
  <si>
    <t>Antihypertensive agents</t>
  </si>
  <si>
    <t>Vasodilator</t>
  </si>
  <si>
    <t>Antiarrhythmics</t>
  </si>
  <si>
    <t>Anticoagulants</t>
  </si>
  <si>
    <t>Antihyperlipidemic</t>
  </si>
  <si>
    <t>Diuretics</t>
  </si>
  <si>
    <t>Dr.Hajer</t>
  </si>
  <si>
    <t>List medical terminology as it applies to human disease states, and recognize the basic physiological mechanisms leading to diseased state</t>
  </si>
  <si>
    <t xml:space="preserve">Summarization 
</t>
  </si>
  <si>
    <t>Compare between physiological functioning and pathophysiological processes in the various systems of the human body</t>
  </si>
  <si>
    <t xml:space="preserve">Summarization 
Inquiry-based learning </t>
  </si>
  <si>
    <t xml:space="preserve">Identify  cost-effective and suitable diagnostic tool based on clinical presentation </t>
  </si>
  <si>
    <t>Recognize  the type of disease after analyzing laboratory results of patients, explain selected diagnostic procedures used to diagnose a disease to other health care provider</t>
  </si>
  <si>
    <t>• Short assignments +rubric</t>
  </si>
  <si>
    <t xml:space="preserve">• Inquiry-based learning 
• Problem-based learning 
• Case-based learning 
</t>
  </si>
  <si>
    <t xml:space="preserve">• Case based question.
• Case based question with MCQs
</t>
  </si>
  <si>
    <t>Introduction to pathophysiology</t>
  </si>
  <si>
    <t>Principles of Cell Injury</t>
  </si>
  <si>
    <t>Cell adaptation</t>
  </si>
  <si>
    <t>Tissue repair (mechanisms and complications)</t>
  </si>
  <si>
    <t>Inflammation and immune response</t>
  </si>
  <si>
    <t>CVS Disorders (Hyperlipidemia)</t>
  </si>
  <si>
    <t xml:space="preserve">CVS Disorders (Arteries) </t>
  </si>
  <si>
    <t xml:space="preserve">CVS Disorders (Veins) </t>
  </si>
  <si>
    <t>Infections of the upper respiratory tract</t>
  </si>
  <si>
    <t>Infections of the lower respiratory tract.</t>
  </si>
  <si>
    <t>Abnormalities of the kidney and urinary tract</t>
  </si>
  <si>
    <t>Gastrointestinal disorders</t>
  </si>
  <si>
    <t>Endocrine disorders</t>
  </si>
  <si>
    <t xml:space="preserve">assignment </t>
  </si>
  <si>
    <t>Dr.Zabih</t>
  </si>
  <si>
    <t xml:space="preserve">Describe the types and quality of information that are available in primary, secondary, and tertiary information sources, including web-based resources. </t>
  </si>
  <si>
    <t xml:space="preserve">Summarization &amp;• Inquiry-based learning </t>
  </si>
  <si>
    <t xml:space="preserve">• SAQ - Short Answer Question
• MCQs-Multiple Choice items
</t>
  </si>
  <si>
    <t xml:space="preserve">•  Inquiry-based learning 
• Problem-based learning 
• Self-explanation 
</t>
  </si>
  <si>
    <t xml:space="preserve">Flipped classroom &amp;Simulations </t>
  </si>
  <si>
    <t>Practice  fine motor skills used for computer use, printing assignments, and media search.</t>
  </si>
  <si>
    <t>Problem-based learning &amp;simulation</t>
  </si>
  <si>
    <t>OSCE</t>
  </si>
  <si>
    <t>Introduction and Course Outline, Introduction to drug information and its services</t>
  </si>
  <si>
    <t>Introduction to the concept of Drug Information and Medical Informatics, Tertiary resources used in the drug information</t>
  </si>
  <si>
    <t>Drug Information Resources, Highlight Tertiary Resources, Secondary and primary resources (PubMed, Journals)</t>
  </si>
  <si>
    <t>Drug Information Resources, Highlight secondary resources, Different parts of the drug information query form</t>
  </si>
  <si>
    <t>Drug Information Resources, Highlight primary resources, Different approaches to responding to the drug information request</t>
  </si>
  <si>
    <t>Modified Systematic Approach to Answering questions, Different online DI resources (UpToDate, DailyMed, Medscape, Micromedex) in DIC</t>
  </si>
  <si>
    <t>Electronic and Online Information Management/website evaluation, Evaluation of different types of case studies Randomized clinical trials, Case-Control, and Cohort studies, TRIP- PICO search</t>
  </si>
  <si>
    <t>Literature Evaluation - Clinical Controlled trials, Use of drug interaction tools in Medscape and determine the drug interaction</t>
  </si>
  <si>
    <t>Evidence Based Medicine Resources, Adverse drug reaction and drug interchangeability.</t>
  </si>
  <si>
    <t>Poison Information Resources</t>
  </si>
  <si>
    <t>Consumer health information, To evaluate the problem in the given case and find out its solution using any two resources</t>
  </si>
  <si>
    <t>Medication Safety, To evaluate the problem in the given case and find out its solution using Medscape</t>
  </si>
  <si>
    <t>Medication Errors reporting, Medication error and pill identifier tools</t>
  </si>
  <si>
    <t>Dr.Monadil</t>
  </si>
  <si>
    <t>Recognize the different between the Hospital, Community, and industrial pharmacist.</t>
  </si>
  <si>
    <t xml:space="preserve"> Identify  the basic of physical assessment tools</t>
  </si>
  <si>
    <t>• OSCE</t>
  </si>
  <si>
    <t>Select cost-effective OTC medication in response to patient complaints</t>
  </si>
  <si>
    <t>Illustrate high responsibility of patient education about the disease to be treated and medication used (like adverse drug reaction, special patient group, drug-drug interaction, drug food interaction, use for pediatrics and toxicity).</t>
  </si>
  <si>
    <t xml:space="preserve">• Simulation
• Self-reflection </t>
  </si>
  <si>
    <t>Demonstrate the importance of changing his/her lifestyle to prevent the occurrence of the selected disease</t>
  </si>
  <si>
    <t xml:space="preserve">• Group presentation </t>
  </si>
  <si>
    <t>Prescriptions, use of abbreviations and symbols</t>
  </si>
  <si>
    <t>Calculation of doses</t>
  </si>
  <si>
    <t>Role of pharmacist in patient care</t>
  </si>
  <si>
    <t xml:space="preserve">Communication skills for pharmacist </t>
  </si>
  <si>
    <t>Prescription counseling, Physical examination</t>
  </si>
  <si>
    <t>The difference between prescription medicine and OTC</t>
  </si>
  <si>
    <t>Respiratory system: Symptom, diagnosis, treatment case study: Cough, cold, rhinitis, sore throat</t>
  </si>
  <si>
    <t>Ear condition: Symptom, diagnosis, treatment case study: Otitis externa, ear wax</t>
  </si>
  <si>
    <t xml:space="preserve">The central nervous system: headache, insomnia </t>
  </si>
  <si>
    <t>Musculoskeletal Condition: Symptom, diagnosis, treatment case study: Low back pain, sport related soft tissue injury</t>
  </si>
  <si>
    <t>Gastroenterology: Symptom, diagnosis, treatment case study: Diarrhea, constipation, IBS, hemorrhoids, abdominal assessment</t>
  </si>
  <si>
    <t>Dermatology Symptom, diagnosis, treatment case study: Psoriasis, seborrheic dermatitis, hair loss</t>
  </si>
  <si>
    <t>Pediatrics: Symptom, diagnosis, treatment case study: Head lice, fever, colic, atopic dermatitis, nappy rash, vaccines.</t>
  </si>
  <si>
    <t>Nicotine replacement therapy: Evidence based for over-the-counter drugs, patches, microtabs, lozenges and gum</t>
  </si>
  <si>
    <t>Practical exam(OSCE)</t>
  </si>
  <si>
    <t xml:space="preserve">Summarization 
Inquiry-based learning 
Self-reflection </t>
  </si>
  <si>
    <t>Demonstrate the risks and benefits, in relation to the organ systems they affect, and the diseases for which they are used therapeutically</t>
  </si>
  <si>
    <t>Analyze pharmacological action and side effect of the drugs based on receptor selectivity.</t>
  </si>
  <si>
    <t>Think-pair-share
Inquiry-based learning 
Case-based learning</t>
  </si>
  <si>
    <t>Case based question with MCQs.</t>
  </si>
  <si>
    <t>Interpret drug-drug interactions and drug-food interactions to prevent adverse drug reactions on the body</t>
  </si>
  <si>
    <t xml:space="preserve">Problem-based learning
Case-based learning </t>
  </si>
  <si>
    <t>Case based question.
Case based question with MCQs</t>
  </si>
  <si>
    <t>Group presentation
Flipped classroom</t>
  </si>
  <si>
    <t>Peers’ evaluations rubric
Presentation Rubric</t>
  </si>
  <si>
    <t>Drugs Affecting Endocrine System -Pituitary, hypothalamic, thyroid</t>
  </si>
  <si>
    <t>Drugs Affecting Endocrine System-Estrogen, progesterone, and oral contraceptives</t>
  </si>
  <si>
    <t>Drugs Affecting Endocrine System-Androgen and anabolic steroids</t>
  </si>
  <si>
    <t>Drugs Affecting Endocrine System-Insulin and oral hypoglycemics</t>
  </si>
  <si>
    <t>Drugs Affecting Endocrine System-Parathyroid hormones and drugs affecting calcium balance</t>
  </si>
  <si>
    <t>Anti-Obesity drugs - anorexiants (appetite suppressants), lipase inhibitors, serotonin agonists</t>
  </si>
  <si>
    <t>Drugs Acting on Blood - Coagulants and anticoagulants</t>
  </si>
  <si>
    <t>Drugs Acting on Blood - Antiplatelet drugs, Fibrinolytic, antifibrinolytic, plasma expanders</t>
  </si>
  <si>
    <t>Drugs Affecting Respiratory System - Anti-asthmatics, anti-COPD</t>
  </si>
  <si>
    <t>Drugs Affecting Respiratory System - Anti-allergic, cough suppressants</t>
  </si>
  <si>
    <t xml:space="preserve">Discuss the important chemical properties, stereochemistry of for various therapeutic agents used to treat CNS- disorders, NSAIDs, opioid analgesic, antiallergics, hypoglycemic agents, thyroidal drugs, and general anesthetics. </t>
  </si>
  <si>
    <t>•	SAQ - Short Answer Question
•	MCQs-Multiple Choice items
•	Comparing and/or contrasting two or more theories, events, processes
•	Finding or identifying examples or illustrations of a concept, principle</t>
  </si>
  <si>
    <t>Explain synthetic reaction, SAR, and metabolism of therapeutic agents used to treat CNS- disorders, NSAIDs, opioid analgesic, antiallergics, hypoglycemic agents, thyroidal drugs, and general anesthetics.</t>
  </si>
  <si>
    <t>•	SAQ - Short Answer Question
•	Comparing and/or contrasting two or more theories, events, processes
•	Finding or identifying examples or illustrations of a concept, principle</t>
  </si>
  <si>
    <t>•	Case based question.
•	Case based question with MCQs.
•	Short assignments +rubric</t>
  </si>
  <si>
    <t xml:space="preserve">Apply standards procedure for synthesis, crystallization, purification and quantification of selected medicinal compounds </t>
  </si>
  <si>
    <t>•	Problem-based learning (P,M)
•	Case-based learning (P,M)</t>
  </si>
  <si>
    <t>OSPE</t>
  </si>
  <si>
    <t>Analgesics: NSAIDs; SAR, Mechanism of action, Synthesis and metabolism</t>
  </si>
  <si>
    <t>Analgesics: Opiates; SAR, Mechanism of action, Chemical Derivatization of Opiates</t>
  </si>
  <si>
    <t>Anaesthetic agents: General and Local anaesthetic, SAR and Synthesis of Local anaesthetic</t>
  </si>
  <si>
    <t>CNS Stimulants: Analeptics and Nikethamide related drugs and its synthesis</t>
  </si>
  <si>
    <t>CNS Stimulants: Antidepressant SAR, Metabolism and Synthesis</t>
  </si>
  <si>
    <t>CNS Depressant: Sedative and hypnotics- Drug nomenclature and metabolism, SAR Mechanism of action and synthesis</t>
  </si>
  <si>
    <t>CNS Depressant: Anticonvulsant-Mechanism and chemical classification.</t>
  </si>
  <si>
    <t xml:space="preserve">Thyroid and Anti-thyroidal Agents: Introduction, Drug classification, Nomenclature, Mechanism of action, Synthesis, Metabolism and Uses </t>
  </si>
  <si>
    <t>Respiratory (anti-asthmatics, anti-COPD, anti-allergic, cough suppressants)</t>
  </si>
  <si>
    <t xml:space="preserve">Hypoglycemic Agents: Introduction, Pancrease gland, Secretion of glands, Drug classification, Classification, Chemical Structure, Structure Activity Relationship (SAR) of Hypoglycemic agents, Mechanism of Action, Synthesis and Uses </t>
  </si>
  <si>
    <t xml:space="preserve">Antianxiety Drugs, Antipsychotic Drugs &amp; Mood stabilizer </t>
  </si>
  <si>
    <t>Dr.Hind</t>
  </si>
  <si>
    <t>Describe the basic mechanisms of selected diseases and relate these mechanisms to appropriate drug therapy and pathophysiology .</t>
  </si>
  <si>
    <t>Recognize major signs and symptoms of selected disease states</t>
  </si>
  <si>
    <t>Select optimal therapeutic agents based on  treatment guidelines and drug pharmacology which account for relative drug potencies, efficacies, and therapeutic outcomes.</t>
  </si>
  <si>
    <t xml:space="preserve">• Inquiry-based learning 
• Problem-based learning 
• Case-based learning 
• Think-pair-share (I,P)
</t>
  </si>
  <si>
    <t xml:space="preserve">• Case based question.
• Case based question with MCQs.
</t>
  </si>
  <si>
    <t>identify the appropriateness of patient specific drug therapy regimen and treatment plans.</t>
  </si>
  <si>
    <t xml:space="preserve">Inquiry-based learning• Case-based learning 
• Flipped classroom 
</t>
  </si>
  <si>
    <t>Pathophysiology of CVD</t>
  </si>
  <si>
    <t xml:space="preserve">Hypertension </t>
  </si>
  <si>
    <t xml:space="preserve">Dyslipidemia </t>
  </si>
  <si>
    <t xml:space="preserve">Venous Thromboembolism </t>
  </si>
  <si>
    <t xml:space="preserve">Ischemic Heart Disease (IHD) </t>
  </si>
  <si>
    <t xml:space="preserve">Atrial Fibrillation </t>
  </si>
  <si>
    <t xml:space="preserve">Heart Failure </t>
  </si>
  <si>
    <t xml:space="preserve">Hypertensive Crisis </t>
  </si>
  <si>
    <t xml:space="preserve">stroke </t>
  </si>
  <si>
    <t>Dr.hajer</t>
  </si>
  <si>
    <t xml:space="preserve">Describe the role of pharmacist in different pharmacy settings </t>
  </si>
  <si>
    <t xml:space="preserve">Explain treatment options using sound scientific principles (including basic and clinical sciences) and evidence including the utilization of clinical practice guidelines.  </t>
  </si>
  <si>
    <t xml:space="preserve">• Inquiry-based learning 
• Problem-based learning 
Case-based learning 
</t>
  </si>
  <si>
    <t xml:space="preserve">Recogniz  patients’ needs and deliver the necessary information in timely manner under stress situation  </t>
  </si>
  <si>
    <t xml:space="preserve">Express the importance of changing his/her lifestyle to prevent the occurrence of the selected disease </t>
  </si>
  <si>
    <t>Introduction, course objectives</t>
  </si>
  <si>
    <t>Interpretation of lab data-1 Reviewing patient interview &amp; counseling techniques</t>
  </si>
  <si>
    <t xml:space="preserve">Cases on writing SOAP notes
Measuring BP, Pulse, RR, &amp; Temp
</t>
  </si>
  <si>
    <t xml:space="preserve">HTN Case discussion
Cases on Professionalism 101
Counseling (Role Play): ARB/ACEI, HCTZ, Amlodipine
</t>
  </si>
  <si>
    <t>Communication skills</t>
  </si>
  <si>
    <t>Drugs adherence</t>
  </si>
  <si>
    <t xml:space="preserve">Monitoring anticoagulation therapy (Revisiting coagulation labs) Warfarin education
Drug information question
Counseling Role Play: Dabigatran, Rivaroxaban, warfarin, Enoxparin
</t>
  </si>
  <si>
    <t xml:space="preserve">Counseling IHD medications (Role play): Aspirin, Plavix, Prasugrel, Beta blocker, Nitrate products
Drug information question
</t>
  </si>
  <si>
    <t xml:space="preserve">AF case discussion
Mini-cases on Interpreting ECG strips for heart, rhythm and drug effects (digoxin, Torsade de Pointe, QT prolongation, Heart rate) –
</t>
  </si>
  <si>
    <t xml:space="preserve">HF case discussion
 Digoxin dosing and monitoring
Counseling HF medications (Role play): Carvedilol, Digoxin, Furosemide, Lisinopril, Losartan, Spironolactone
</t>
  </si>
  <si>
    <t>Scenarios on: Asthma action plan + peak flow meter, interpreting pulmonary function tests</t>
  </si>
  <si>
    <t xml:space="preserve">Diabetic measurement (FBG, A1C)
insulin dosing guidelines
</t>
  </si>
  <si>
    <t xml:space="preserve">Endocrine Case (DM type I, DM type II)
counseling session on oral diabetic medications
</t>
  </si>
  <si>
    <t>counselling sessions</t>
  </si>
  <si>
    <t>final OSCE</t>
  </si>
  <si>
    <t>Pathophysiology of endocrine disorders</t>
  </si>
  <si>
    <t>Hypothyroidism/Hyperthyroidism</t>
  </si>
  <si>
    <t xml:space="preserve">Diabetes Mellitus </t>
  </si>
  <si>
    <t>Obesity</t>
  </si>
  <si>
    <t>Asthma/COPD</t>
  </si>
  <si>
    <t>Menopause</t>
  </si>
  <si>
    <t>Contraceptive</t>
  </si>
  <si>
    <t>Illustrate the biopharmaceutics, basic pharmacokinetics parameters, ADME, gastrointestinal physiology and the physicochemical factor and dosage forms influencing oral drug absorption.</t>
  </si>
  <si>
    <t>Inquiry-based learning          Problem-based learning</t>
  </si>
  <si>
    <t>SAQ - Short Answer Question MCQs-Multiple Choice items Labelling diagrams</t>
  </si>
  <si>
    <t>Interpret the bioavailability, pharmacokinetics, and bioequivalence, the biopharmaceutical aspects of the non-oral drug delivery</t>
  </si>
  <si>
    <t>Summarization Problem based learning</t>
  </si>
  <si>
    <t>SAQ - Short Answer Question
MCQs-Multiple Choice items
Comparing and/or contrasting two or more theories, events, processes, etc.
Classifying or categorizing cases, elements, events, etc., using established criteria
Paraphrasing documents or speeches
Finding or identifying examples or illustrations of a concept, principle</t>
  </si>
  <si>
    <t>Solve IV plasma or serum data and calculation of clearance, oral plasma or serum data and calculation of other pharmacokinetics models.</t>
  </si>
  <si>
    <t>Peer instruction Problem-based learning Simulations Lab conduct</t>
  </si>
  <si>
    <t>Observational assessments+ rubric
Student Portfolio assessments +rubric
Presentation Rubric
Case based question. (for mathematical operations)</t>
  </si>
  <si>
    <t>Explain pharmacokinetics models to understand the reason for medication frequency and to estimate patient needs based on based on pharmacokinetics data</t>
  </si>
  <si>
    <t>Hands on demonstration Case-based learning Self-reflection Simulations Lab conduct</t>
  </si>
  <si>
    <t>Student logbook +rubric
Observational assessments+ rubric 
Project portfolio assessments + rubric</t>
  </si>
  <si>
    <t>Introduction to Biopharmaceutics and Pharmacokinetics</t>
  </si>
  <si>
    <t>Absorption of drugs via Different Route of Drug Administration</t>
  </si>
  <si>
    <t xml:space="preserve">Gestro-Intestinal tract physiology </t>
  </si>
  <si>
    <t xml:space="preserve"> Mechanism of Drug Absorption</t>
  </si>
  <si>
    <t>Biological Factors Affecting Drug Absorption</t>
  </si>
  <si>
    <t>Physiochemical Factors Affecting Drug Absorption</t>
  </si>
  <si>
    <t>Pharmaceutical Factors Affecting Drug Absorption</t>
  </si>
  <si>
    <t xml:space="preserve">Bioavailability </t>
  </si>
  <si>
    <t>Pharmacokinetics introduction &amp; Parameters</t>
  </si>
  <si>
    <t>Kinetics orders &amp; distribution</t>
  </si>
  <si>
    <t>Elimination kinetics &amp; Compartment model</t>
  </si>
  <si>
    <t>Demonstrate a thorough knowledge of professionalism in pharmacy practice, adhering to ethical standards and best practices.</t>
  </si>
  <si>
    <t xml:space="preserve">• Inquiry-based learning 
• Problem-based learning 
</t>
  </si>
  <si>
    <t xml:space="preserve">short assignment or reports +rubric
</t>
  </si>
  <si>
    <t>Apply effective communication skills, enabling them to interact professionally with patients, colleagues, and other healthcare professionals.</t>
  </si>
  <si>
    <t>Operate computer and mathematical skills to perform accurate  dose calculation</t>
  </si>
  <si>
    <t>• Problem-based learning .</t>
  </si>
  <si>
    <t>Develop a professional image such as adherence to deadlines, punctuality, compliance to class rules and regulations</t>
  </si>
  <si>
    <t xml:space="preserve">PHARMACY OPERATION • Management skills.
• Discovering Prescribing area. (Hypertension &amp; Cholesterol Management).
</t>
  </si>
  <si>
    <t xml:space="preserve">• Improving Communication Skills of Pharmacy Student through Effective Presenting.
• Patient counseling technique.
• Prescribing area (Diabetes Mellitus, Psychotic Drugs).
• Most common dosing calculation
</t>
  </si>
  <si>
    <t xml:space="preserve">• Patient education (patient drug information)
• Patient interview.
• Management skills (Merchandising technique).
• Prescribing area (Dermatology, Infectious Diseases).
• Over the counter medications.
• Most common drug – drug interactions.
• Pharmacy Service (Weight control &amp; Diet regimen).
</t>
  </si>
  <si>
    <t xml:space="preserve">• Patient education (How to administer your Medication properly?)
• Patient interview.
• Management skills.
• Prescribing area (Gastroenterology, Respiratory Diseases)
• Over the counter medications.
• Health Service project “Smoking Cessation””
• Pharmacy Service (Blood glucose motioning).
</t>
  </si>
  <si>
    <t xml:space="preserve">• Physiological values for some body fluids.
• Prescribing area
• OTC medications
• Health Service project “Mouth &amp; Dental care”
• Patient safety “Pharmacovigilance”
</t>
  </si>
  <si>
    <t xml:space="preserve">• Nutrition
• Food supplement
• Baby Care
• Basic selling skills
• Cross Selling &amp; Up-Selling techniques.
</t>
  </si>
  <si>
    <t xml:space="preserve">    Attendance &amp;Professionalism 
</t>
  </si>
  <si>
    <t xml:space="preserve">    supervisor evaluation
</t>
  </si>
  <si>
    <t>College supervisor     evaluation</t>
  </si>
  <si>
    <t>Discuss sterile dosage forms, parenteral ophthalmic preparations, and related terminologies used in sterile pharmaceutical formulation alob with additives</t>
  </si>
  <si>
    <t xml:space="preserve">Summarization 
Inquiry-based learning 
Problem-based learning </t>
  </si>
  <si>
    <t>Explain the properties, factors, vehicles/additives, method of sterilization for pharmaceutical sterile dosage forms and ophthalmic preparations and describe the equipment and facilities related to sterile preparations, environment, components, containers, and closure.</t>
  </si>
  <si>
    <t>SAQ &amp; MCQs
Comparing and/or contrasting two or more theories, events, processes, etc.
Classifying or categorizing cases, elements, events, etc., using established criteria
Paraphrasing documents or speeches
Finding or identifying examples or illustrations of a concept, principle</t>
  </si>
  <si>
    <t xml:space="preserve">Interpret different incompatibilities, IV admixtures, extemporaneous preparation, calculation for isotonic, electrolytes, and kinetics </t>
  </si>
  <si>
    <t>Problem-based learning
Class presentation
Hands on demonstration</t>
  </si>
  <si>
    <t>Project portfolio +Rubric</t>
  </si>
  <si>
    <t>Identify development of pharmaceutical sterile dosage forms and ophthalmic preparations</t>
  </si>
  <si>
    <t>Group presentation 
Problem-based learning</t>
  </si>
  <si>
    <t>Introduction to sterile preparation formulation/dosage forms</t>
  </si>
  <si>
    <t>Physiological norms pyrogenicity tonicity, etc</t>
  </si>
  <si>
    <t>Parenteral formulations: Vehicles; additive</t>
  </si>
  <si>
    <t>Methods of sterilization &amp; sterilization parameters</t>
  </si>
  <si>
    <t>Isotonic calculation</t>
  </si>
  <si>
    <t>Sterile preparation facilities and equipment</t>
  </si>
  <si>
    <t>Sterlity testing</t>
  </si>
  <si>
    <t>IV admixture &amp; incompatibility</t>
  </si>
  <si>
    <t>Ophthalmic preparations</t>
  </si>
  <si>
    <t>Extemporaneous preparations</t>
  </si>
  <si>
    <t>Sterile preparation containers, closure, labelling &amp; packaging</t>
  </si>
  <si>
    <t>Mid Term</t>
  </si>
  <si>
    <t xml:space="preserve">  illustrate the basic mechanisms of selected diseases and relate these mechanisms to appropriate drug therapy and pathophysiology .</t>
  </si>
  <si>
    <t>interpret major signs and symptoms of selected disease states</t>
  </si>
  <si>
    <t>Recogniz the appropriateness of patient specific drug therapy regimen and treatment plans.</t>
  </si>
  <si>
    <t>Pathophysiology of CNS disorders</t>
  </si>
  <si>
    <t>Epilepsy</t>
  </si>
  <si>
    <t>Multiple sclerosis</t>
  </si>
  <si>
    <t>Pathophysiology of neurodegenerative disorders</t>
  </si>
  <si>
    <t xml:space="preserve">Alzheimer, Parkinson’s, essential tremor  </t>
  </si>
  <si>
    <t>Pathophysiology and treatment of pain (Neuroceptive and neuropathic pain)</t>
  </si>
  <si>
    <t xml:space="preserve">PAIN MANGMENT </t>
  </si>
  <si>
    <t xml:space="preserve">Illustrate the role of pharmacist in different pharmacy settings </t>
  </si>
  <si>
    <t xml:space="preserve">Apply the treatment options using sound scientific principles (including basic and clinical sciences) and evidence including the utilization of clinical practice guidelines.  </t>
  </si>
  <si>
    <t xml:space="preserve">Analyze  patients’ needs and deliver the necessary information in timely manner under stress situation  </t>
  </si>
  <si>
    <t xml:space="preserve">Identify the importance of changing his/her lifestyle to prevent the occurrence of the selected disease </t>
  </si>
  <si>
    <t xml:space="preserve">• Group presentation 
• Project-based learning 
</t>
  </si>
  <si>
    <t>Introduction to the course, and objectives</t>
  </si>
  <si>
    <t>Definition of pharmacogenomics to optimize drug therapy and ethical consideration</t>
  </si>
  <si>
    <t>Immunization  session</t>
  </si>
  <si>
    <t>Vaccination session</t>
  </si>
  <si>
    <t>renal equations (creatinine clearance, creatinine serum) and Renal labs</t>
  </si>
  <si>
    <t>Adherence Counseling Using DRAW Tool (Simulated activity)</t>
  </si>
  <si>
    <t>Therapeutic discussion for epilepsy</t>
  </si>
  <si>
    <t xml:space="preserve">Counseling session for epileptic medication  </t>
  </si>
  <si>
    <t>Drug in pregnancy and lactation</t>
  </si>
  <si>
    <t>Pregnancy category</t>
  </si>
  <si>
    <t xml:space="preserve">Case in pregnancy   </t>
  </si>
  <si>
    <t>Therapeutic discussion for Multiple sclerosis</t>
  </si>
  <si>
    <t>Pathophysiology of Psychiatric disorders</t>
  </si>
  <si>
    <t xml:space="preserve">Major depressive disorders </t>
  </si>
  <si>
    <t>Anxiety disorders</t>
  </si>
  <si>
    <t xml:space="preserve">Schizophrenia </t>
  </si>
  <si>
    <t>Bipolar disorder</t>
  </si>
  <si>
    <t>OCD</t>
  </si>
  <si>
    <t>Drug of abuse</t>
  </si>
  <si>
    <t>CNS Introduction and CNS stimulant drugs</t>
  </si>
  <si>
    <t xml:space="preserve">Benzodiazepines, /Anxiolytics/Hypnotics </t>
  </si>
  <si>
    <t xml:space="preserve">Antidepressants and Mood Stabilizers </t>
  </si>
  <si>
    <t xml:space="preserve">Antiepileptic drugs </t>
  </si>
  <si>
    <t xml:space="preserve">Drugs for Neurodegenerative diseases </t>
  </si>
  <si>
    <t xml:space="preserve">Anesthetics and analgesics </t>
  </si>
  <si>
    <t xml:space="preserve">Autacoids and Prostaglandins </t>
  </si>
  <si>
    <t xml:space="preserve">Drugs Affecting Gastro-intestinal System </t>
  </si>
  <si>
    <t>Dermatology</t>
  </si>
  <si>
    <t>Discuss the important chemical properties, stereochemistry of antimicrobial, immune drug, sex hormone, prostaglandin, and cancer agent.</t>
  </si>
  <si>
    <t xml:space="preserve">•	SAQ - Short Answer Question
•	MCQs-Multiple Choice items
•	Comparing and/or contrasting two or more theories, events, processes
•	Finding or identifying examples or illustrations of a concept, principle
</t>
  </si>
  <si>
    <t>Explain synthetic reaction, SAR, and metabolism of antimicrobial, immune drug, sex hormone, prostaglandin, and cancer agent.</t>
  </si>
  <si>
    <t xml:space="preserve">Anti-neoplastic Agents and its Classification, Drug Nomenclature, Chemical structure, Mechanism of Action, Synthesis, Metabolism, Structure activity relationship (SAR) and Uses </t>
  </si>
  <si>
    <t>Sulphonamides: Introduction, Chemical structure &amp; Nomenclature of Drugs, Structure Activity Relationship (SAR), Mechanism of action, Drug Synthesis, Metabolism and therapeutic uses.</t>
  </si>
  <si>
    <t>Anti-mycobacterium Agents:-Introduction, Structure of Drug, Synthesis, Metabolism, SAR and therapeutic uses</t>
  </si>
  <si>
    <t>Antibiotics, General Introduction, Classification, Chemical Structure of Some Useful Antibiotics, Penicillin detail study, Mechanism of action, Synthesis, SAR and Uses</t>
  </si>
  <si>
    <t>Autacoids and Prostaglandins</t>
  </si>
  <si>
    <t>Antifungal Agents: Introduction, Classification, Drug Chemical structure, Mechanism of action and Uses</t>
  </si>
  <si>
    <t>Antiretroviral Agents &amp; Immune drugs: Introduction, Classification, Drug Chemical structure, Mechanism of action and Uses</t>
  </si>
  <si>
    <t>Sex hormones and ENT</t>
  </si>
  <si>
    <t>Urinary incontinence &amp; Osteoporosis: Classification, synthesis and SAR</t>
  </si>
  <si>
    <t>Dermatological Agents</t>
  </si>
  <si>
    <t>Dr Md Tanwir Athar</t>
  </si>
  <si>
    <t>Describe biological, chemical, and pharmacological characters of secondary plant metabolites (alkaloids and glycosides, unorganized drugs, and drugs from marine sources).</t>
  </si>
  <si>
    <t>Summarization,
Inquiry based learning, Self-reflection</t>
  </si>
  <si>
    <t>Describe the knowledge about regulation and toxic effects of abused drugs.</t>
  </si>
  <si>
    <t>Inquiry based learning</t>
  </si>
  <si>
    <t xml:space="preserve">Classify or categorize cases using established criteria, SAQ - Short Answer Question, MCQs-Multiple Choice items </t>
  </si>
  <si>
    <t>Perform extraction and identification of certain natural alkaloids and glycosides.</t>
  </si>
  <si>
    <t xml:space="preserve"> Think, pare and share
Case based learning</t>
  </si>
  <si>
    <t xml:space="preserve">Biological, chemical, and pharmacological characters of secondary plant metabolites-glycosides </t>
  </si>
  <si>
    <t>Biological, chemical, and pharmacological characters of secondary plant metabolites- alkaloids</t>
  </si>
  <si>
    <t>Biological, chemical, and pharmacological characters of drugs from marine and animal sources</t>
  </si>
  <si>
    <t>Introduction and classification of abused drugs (CNS stimulant drugs, CNS depressant drugs, Hallucination drugs and Hallucination drugs)</t>
  </si>
  <si>
    <t>Biological, chemical, and pharmacological characters of Unorganized drugs</t>
  </si>
  <si>
    <t>Lab Exam (OSPE)</t>
  </si>
  <si>
    <t>Outline the  methods of data collection and recording measures of disease occurrence and association</t>
  </si>
  <si>
    <t>Apply  appropriate research methods for the critic  studies  to provide accurate recommendation</t>
  </si>
  <si>
    <t>Apply the computer and mathematical skills to perform statistical analysis</t>
  </si>
  <si>
    <t>,Case based question. (for mathematical operations)</t>
  </si>
  <si>
    <t>collaburate with health team to show a professional image such as adherence to deadlines, punctuality, compliance to class rules and regulations</t>
  </si>
  <si>
    <t>Demonstrate  self-awareness and the ability to professional growth</t>
  </si>
  <si>
    <t xml:space="preserve">simulation&amp;  problem based learning </t>
  </si>
  <si>
    <t>Introduction to pharmacoepidemiology (PE) and its Principles-termonology</t>
  </si>
  <si>
    <t>Explain measures of disease occurrence and association</t>
  </si>
  <si>
    <t>Study Designs: Observational studies, Interventional study design- Review article</t>
  </si>
  <si>
    <t>Potential errors in studies (bias, confounding, effect modification)</t>
  </si>
  <si>
    <t>Validity and issues of interpretations</t>
  </si>
  <si>
    <t>Statistical techniques for managing common types of medical data</t>
  </si>
  <si>
    <t>Principles of Sampling</t>
  </si>
  <si>
    <t>The use of secondary data</t>
  </si>
  <si>
    <t>Spontaneous reporting system</t>
  </si>
  <si>
    <t>practical exam</t>
  </si>
  <si>
    <t>Explain peptides, proteins drugs, diversity, evolution of molecular biology and molecular procedures including genomics, transcriptomics, and proteomics.</t>
  </si>
  <si>
    <t>Summarization      Problem-based learning</t>
  </si>
  <si>
    <t>SAQ - Short Answer Question
MCQs-Multiple Choice items
Comparing and/or contrasting two or more theories, events, processes, etc.
Classifying or categorizing cases, elements, events, etc., using established criteria                              Short assignment + rubric</t>
  </si>
  <si>
    <t>Illustrate, list, characterization, of different biotechnological procedure, DNA recombination, gene delivery and therapy, stem cell and immune system-based procedures.</t>
  </si>
  <si>
    <t>SAQ - Short Answer Question
MCQs-Multiple Choice items
Comparing and/or contrasting two or more theories, events, processes, etc.
Classifying or categorizing cases, elements, events, etc., using established criteria                               Short assignment + rubric</t>
  </si>
  <si>
    <t>Write the principle of pharmacogenomics in drug therapy and vaccination to maximize the benefit of the biotechnology.</t>
  </si>
  <si>
    <t>Case based learning Problem-based learning</t>
  </si>
  <si>
    <t>Identify the different applications of biotechnology-based pharmaceutical and techniques used to obtain the nucleotide sequence of individual genes and entire genomes.</t>
  </si>
  <si>
    <t>Introduction to pharmaceutical biotechnology, pharmacokinetic, pharmacodynamics of peptides and proteins drugs.</t>
  </si>
  <si>
    <t>Protein biosynthesis (the central dogma of molecular biology, from an in-silico DNA sequence to a therapeutic protein).</t>
  </si>
  <si>
    <t>Recombinant DNA technology, nomenclature, functions and therapeutic application of recombinant interferone and interleukins.</t>
  </si>
  <si>
    <t>Oligonucleotides: introduction, interfering with gene repair and gene expression.</t>
  </si>
  <si>
    <t>Gene transfer (viral and non-viral vectors for gene transfer and their delivery methods).</t>
  </si>
  <si>
    <t xml:space="preserve">Monoclonal antibodies, cancer immunotherapy. </t>
  </si>
  <si>
    <t>Vaccine</t>
  </si>
  <si>
    <t>Amino acids, peptides and protein (structures, folding, instability, analysis).</t>
  </si>
  <si>
    <t>Upstreaming and down streaming processing.</t>
  </si>
  <si>
    <t>Microbiological considerations, shelf life, formulations and delivery of biopharmaceutical products.</t>
  </si>
  <si>
    <t>Stem cell technology: understanding the concept and its application.</t>
  </si>
  <si>
    <t>Chemical and physical stability of insulin formulations.</t>
  </si>
  <si>
    <t>Md Tanwir Athar</t>
  </si>
  <si>
    <t>Explain different systems of complementary and alternative medicine (CAM)</t>
  </si>
  <si>
    <t>Recognize the herb-drug interactions and poisonous plants</t>
  </si>
  <si>
    <t>Discuss various regulatory aspects applied for herbal products</t>
  </si>
  <si>
    <t>Advise the patient about the use, side effects and precautions of phytotherapy.</t>
  </si>
  <si>
    <t>Case based question. 
Assignment with rubrics</t>
  </si>
  <si>
    <t>Justify the use of different systems of holistic medicines especially those applied in the Kingdom.</t>
  </si>
  <si>
    <t>Problem Based Learning (PBL)</t>
  </si>
  <si>
    <t>Assignment with rubrics</t>
  </si>
  <si>
    <t>Traditional medicine versus conventional medicine</t>
  </si>
  <si>
    <t>Alternative systems of medicinal practices</t>
  </si>
  <si>
    <t>Clinical and Toxicological Pharmacognosy: Introduction to phytotherapy, drug herb interaction and Poisonous plants</t>
  </si>
  <si>
    <t>Various regulatory aspects applied for herbal products</t>
  </si>
  <si>
    <t>Final Theory exam</t>
  </si>
  <si>
    <t>categorize  the basic mechanisms of selected diseases and relate these mechanisms to appropriate drug therapy and pathophysiology .</t>
  </si>
  <si>
    <t xml:space="preserve">Prepare a treatment plan  to solve issue related to the selected disease </t>
  </si>
  <si>
    <t xml:space="preserve">• Group presentation 
• Problem-based learning 
</t>
  </si>
  <si>
    <t xml:space="preserve">Student skills portfolio +rubric (based on community services and extra </t>
  </si>
  <si>
    <t>Dermatitis/Acne</t>
  </si>
  <si>
    <t>Psoriasis</t>
  </si>
  <si>
    <t>Glaucoma</t>
  </si>
  <si>
    <t>Urinary incontinence/Neurogenic bladder</t>
  </si>
  <si>
    <t>Pathophysiology of Immunological Disorders</t>
  </si>
  <si>
    <t>Allergies/drug hypersensitivities (anaphylaxis, desensitization)</t>
  </si>
  <si>
    <t>Hepatitis</t>
  </si>
  <si>
    <t>Cirrhosis</t>
  </si>
  <si>
    <t>activity /presentation</t>
  </si>
  <si>
    <t xml:space="preserve">Evaluate treatment options using sound scientific principles (including basic and clinical sciences) and evidence including the utilization of clinical practice guidelines.  </t>
  </si>
  <si>
    <t>Communicate and construct effective and complete patient/health care providers counseling sessions.</t>
  </si>
  <si>
    <t xml:space="preserve">Demonstrate the aquired skills to  deliver the necessary information to the patients in timely manner under stress situation  </t>
  </si>
  <si>
    <t>Demonstrate the self awarness and entegrity to the community in various settings</t>
  </si>
  <si>
    <t xml:space="preserve">• Group presentation 
• Peer tutoring </t>
  </si>
  <si>
    <t xml:space="preserve">Introduction to the course, and objectives
Review the SFDA regulation with in pharmacovigilance system 
The importance of reporting of ADR
</t>
  </si>
  <si>
    <t xml:space="preserve">Geriatrics
Pharmacokinetics  and pharmacodynamics  
</t>
  </si>
  <si>
    <t xml:space="preserve">Menopause and menstrual disorders 
Contraception case discussion
</t>
  </si>
  <si>
    <t xml:space="preserve">Dermatitis case discussion 
Acne 
</t>
  </si>
  <si>
    <t xml:space="preserve">Case discussion od RA
Managing Drug Interaction (drug, food, herb). Several cases of drug interaction: how to identify, and resolve. Including Pharmacokinetics &amp; pharmacodynamics interactions. 
Drug Information question
</t>
  </si>
  <si>
    <t xml:space="preserve">Case discussion on poly-pharmacy
Case discussion of  PUD
</t>
  </si>
  <si>
    <t xml:space="preserve">Liver lab results 
Dose adjustment based on liver disease
Case discussion of liver cirrhosis 
</t>
  </si>
  <si>
    <t xml:space="preserve">Case discussion of kidney disease 
Dose adjustment based on kidney function 
</t>
  </si>
  <si>
    <t>Hospital visit to practice patient history interview ( or simulation)</t>
  </si>
  <si>
    <t xml:space="preserve">Cases on acid-base balance
Review of mineral and element required 
</t>
  </si>
  <si>
    <t xml:space="preserve">Case discussion for TPN calculation </t>
  </si>
  <si>
    <t xml:space="preserve">ICU Minicases
Stroke
Transplant
</t>
  </si>
  <si>
    <t>Dr.hind</t>
  </si>
  <si>
    <t>Assess major signs and symptoms of selected disease states</t>
  </si>
  <si>
    <t xml:space="preserve">
Inquiry-based learning </t>
  </si>
  <si>
    <t>Deliver the optimal therapeutic plan  based on  treatment guidelines and drug pharmacology which account for relative drug potencies, efficacies, and therapeutic outcomes.</t>
  </si>
  <si>
    <t xml:space="preserve">·  Problem-based learning </t>
  </si>
  <si>
    <t>·  Case based question.</t>
  </si>
  <si>
    <t xml:space="preserve">Demonstrate the self awarness  to prevent the occurrence of the selected disease </t>
  </si>
  <si>
    <t>Self explanation&amp;PBL&amp;Group presentation</t>
  </si>
  <si>
    <t xml:space="preserve">Student skills portfolio +rubric (based on community services and extra curriculum activities)
presentation 
</t>
  </si>
  <si>
    <t>Pathophysiology of Renal disorders</t>
  </si>
  <si>
    <t>Acute Kidney injury</t>
  </si>
  <si>
    <t xml:space="preserve">Chronic Kidney Disease </t>
  </si>
  <si>
    <t>Dialysis</t>
  </si>
  <si>
    <t>Acid - base disorders/ fluid disorder</t>
  </si>
  <si>
    <t>Electrolyte disorder</t>
  </si>
  <si>
    <t>Anemia</t>
  </si>
  <si>
    <t>Chemotherapy</t>
  </si>
  <si>
    <t>Solid organ Transplant</t>
  </si>
  <si>
    <t>Dr. MD Tanwir</t>
  </si>
  <si>
    <t xml:space="preserve">Describe knowledge of pharmacological classification and description of antimicrobial agents like antibacterial, antiviral, and antifungal agents </t>
  </si>
  <si>
    <t xml:space="preserve">•	Summarization
•	Inquiry-based learning </t>
  </si>
  <si>
    <t>•	SAQ - Short Answer Question
•	MCQs-Multiple Choice items
•	Comparing and/or contrasting two or more theories, events, processes, etc.
•	Classifying or categorizing cases, elements, events, etc., using established criteria</t>
  </si>
  <si>
    <t xml:space="preserve">Demonstrate mechanisms of action, site of action, indications, pharmacokinetics, adverse effects, contraindications, and drug interactions of different drug classes of antibacterial, antivirals and antifungal agents </t>
  </si>
  <si>
    <t>Select a pharmacological strategy for treatment cases with use of different drug classes of antibacterial, antivirals and antifungal agents</t>
  </si>
  <si>
    <t>•	Self-explanation
•	Inquiry-based learning</t>
  </si>
  <si>
    <t>•	Case based question
•	Case based question with MCQs.</t>
  </si>
  <si>
    <t xml:space="preserve">Interpret drug-drug interactions of different drug classes of antibacterial, antivirals and antifungal agents </t>
  </si>
  <si>
    <t>•	Case based question with MCQs.
•	Short assignments +rubric</t>
  </si>
  <si>
    <t xml:space="preserve">Differentiate between the different types of drug classes and their safety and efficacy of different drug classes of antibacterial, antivirals and antifungal agents </t>
  </si>
  <si>
    <t>Introduction into antimicrobial agents</t>
  </si>
  <si>
    <t>Common antimicrobials (Penicillin, Cephalosporin, Carbapenems &amp; Monobactam, Glycopeptide and Daptomycin, Polymyxins and Fosfomycin,Protein synthesis inhibitors, Macrolides, ketolides and lincosamides, Tetracyclines, Aminoglycosides &amp; spectinomycin, Quinupristin/dalfopristin, Chloramphenicol, Linezolid)</t>
  </si>
  <si>
    <t xml:space="preserve">Other antimicrobials (Fluoroquinolones &amp; metronidazole, Sulphonamides &amp; trimethoprim, Antimycobacterial Drugs) </t>
  </si>
  <si>
    <t xml:space="preserve">Antifungal Agents </t>
  </si>
  <si>
    <t xml:space="preserve">Antiviral Agents </t>
  </si>
  <si>
    <t>MidTerm</t>
  </si>
  <si>
    <t>Explain the physiological changes following exposure to the therapeutic and non-therapeutic agents.</t>
  </si>
  <si>
    <t>Summarization
Inquiry-based learning 
Self-reflection</t>
  </si>
  <si>
    <t>Describe an understanding of legal, regulatory, and ethical considerations relating to toxicology</t>
  </si>
  <si>
    <t>Summarization
Inquiry-based learning</t>
  </si>
  <si>
    <t>Conduct literature search to determine the toxic levels of medications to help prevent and/or recommend treatment for toxicological situations.</t>
  </si>
  <si>
    <t>Problem-based learning
Case-based learning
Flipped classroom</t>
  </si>
  <si>
    <t>Communicate effectively in written and verbal format to communicate information, findings, and research results related to toxicology</t>
  </si>
  <si>
    <t xml:space="preserve">Flipped classroom 
Peer tutoring </t>
  </si>
  <si>
    <t>Peers’ evaluations rubric
Observational assessments+ rubric</t>
  </si>
  <si>
    <t xml:space="preserve">Demonstrate social skills and responsibility and be able to work in a team, coordinating activities related to toxicology </t>
  </si>
  <si>
    <t>Group presentation
Peer tutoring</t>
  </si>
  <si>
    <t>Basic Principles of Toxicology, Different areas of toxicology, Spectrum of toxic effects: allergic reactions, idiosyncratic reactions</t>
  </si>
  <si>
    <t xml:space="preserve">Dose-response relationship: types, LD50, ED50, TD50, TI and IC50, Animal toxicity tests, Prevention and Management of Poisoning: ABC Supportive management. </t>
  </si>
  <si>
    <t xml:space="preserve">Diagnosis of Poisoning, Prevention of further absorption or exposure. </t>
  </si>
  <si>
    <t xml:space="preserve">Enhanced elimination of poisons, Antidotes: non-specific &amp; specific, </t>
  </si>
  <si>
    <t>Toxicity of salicylates, paracetamol, Barbiturates.</t>
  </si>
  <si>
    <t>Toxicity of benzodiazepines, opioids, amphetamines, and cocaine.</t>
  </si>
  <si>
    <t>Toxicity of antidepressants and digoxin</t>
  </si>
  <si>
    <t>Toxicity of common heavy metals and alcohols</t>
  </si>
  <si>
    <t xml:space="preserve">Toxicity of insecticides </t>
  </si>
  <si>
    <t>Toxicity of cyanide and Sulphur dioxide</t>
  </si>
  <si>
    <t>Teratogenic and other toxic effects of drugs and chemicals on reproduction</t>
  </si>
  <si>
    <t>Chemical carcinogenesis</t>
  </si>
  <si>
    <t>Describe the role of pharmacist in  pharmacy practice, adhering to ethical standards and best practices.</t>
  </si>
  <si>
    <t>Communicate effictively with patients, colleagues, and other healthcare professionals.</t>
  </si>
  <si>
    <t>Apply computer and mathematical skills to perform accurate  dose calculation</t>
  </si>
  <si>
    <t>Collaborate with the health care tem to show a professional image such as adherence to deadlines, punctuality, compliance to class rules and regulations</t>
  </si>
  <si>
    <t>Demonstrate the self-assessment and continuous learning,  within the scope of the training experience and identifying areas for further development and improvement</t>
  </si>
  <si>
    <t>• Prescription Accuracy.</t>
  </si>
  <si>
    <t>• Unit Dose.</t>
  </si>
  <si>
    <t>• Inventory Management</t>
  </si>
  <si>
    <t>Intravenous preparations</t>
  </si>
  <si>
    <t>Drug Information.</t>
  </si>
  <si>
    <t>Narcotics.</t>
  </si>
  <si>
    <t>Dr.Fadullah</t>
  </si>
  <si>
    <t xml:space="preserve">
 Inquiry-based learning • Self-explanation </t>
  </si>
  <si>
    <t>•	SAQ - Short Answer Question
•	MCQs-Multiple Choice items
•	Finding or identifying examples or illustrations of a concept, principle</t>
  </si>
  <si>
    <t>Compare  the basics of health-related quality of life (HRQoL) and patient reported outcomes (PRO); describe the importance of measuring HRQoL; compare and contrast generic HRQoL measures with disease-speciﬁc HRQoL measures.</t>
  </si>
  <si>
    <t xml:space="preserve">• Inquiry-based learning 
• Problem-based learning 
• Case-based learning 
• Flipped classroom 
</t>
  </si>
  <si>
    <t>S5. 1</t>
  </si>
  <si>
    <t xml:space="preserve">Evaluate the  pharmacoeconomic concept to promote medication or service </t>
  </si>
  <si>
    <t xml:space="preserve">• Problem-based learning 
• Case-based learning 
• Simulations 
</t>
  </si>
  <si>
    <t>Apply the  common methods used in pharmacoeconomic modelling (decision analysis, Markov modelling) and the need to sensitivity analysis</t>
  </si>
  <si>
    <t xml:space="preserve">• Project-based learning &amp;Problem case learning </t>
  </si>
  <si>
    <t xml:space="preserve">·  Presentation Rubric&amp;• Case based question. </t>
  </si>
  <si>
    <t xml:space="preserve">Collaborate and engage with pharmacoeconomic concept in PT committee for health care team </t>
  </si>
  <si>
    <t xml:space="preserve">Project-based learning &amp;• Problem-based learning </t>
  </si>
  <si>
    <t xml:space="preserve">Introduction to Pharmacoeconomics  </t>
  </si>
  <si>
    <t>Measuring and Estimating Costs</t>
  </si>
  <si>
    <t xml:space="preserve">Measurement and valuing health outcomes  </t>
  </si>
  <si>
    <t>Critiquing Research Articles</t>
  </si>
  <si>
    <t>Cost minimization/cost effectiveness analysis</t>
  </si>
  <si>
    <t xml:space="preserve">Cost-Utility Analysis </t>
  </si>
  <si>
    <t>Cost-Benefit Analysis</t>
  </si>
  <si>
    <t>Budget analysis/Cost of illness analysis</t>
  </si>
  <si>
    <t>Decision analysis</t>
  </si>
  <si>
    <t>Markov Modelling</t>
  </si>
  <si>
    <t xml:space="preserve">Analysis of uncertainty and variability </t>
  </si>
  <si>
    <t xml:space="preserve">International perspective &amp; Pharmacoeconomics applications/ </t>
  </si>
  <si>
    <t>K3 .1</t>
  </si>
  <si>
    <t xml:space="preserve">Interpret  the legal and ethical dilemmas faced by pharmacists conducting research, and the regulations that impact and regulate the pharmacy practice </t>
  </si>
  <si>
    <t xml:space="preserve">•	Inquiry-based learning 
•	Problem-based learning 
</t>
  </si>
  <si>
    <t>SAQ - Short Answer Question
MCQs-Multiple Choice items
-Comparing and/or contrasting two or more theories, events, processes, etc.
-Classifying or categorizing cases, elements, events, etc., using established criteria
-Finding or identifying examples or illustrations of a concept, principle</t>
  </si>
  <si>
    <t>Interprete the Use of ethical principles and theories to consider alternative sides of a pharmaceutical care and/or health care dilemma.</t>
  </si>
  <si>
    <t xml:space="preserve">•	Inquiry-based learning 
•	Problem-based learning
•	Case-based learning 
</t>
  </si>
  <si>
    <t>•	MCQs/Short notes case based
•	Case based question.</t>
  </si>
  <si>
    <t xml:space="preserve">
•	Problem-based learning 
•	Case-based learning 
•	Think-pair-share (I,P)</t>
  </si>
  <si>
    <t>Collaborate and engage in leadership ,planning and decision making process in different pharmaceutical settings.</t>
  </si>
  <si>
    <t xml:space="preserve">•• Project-based learning </t>
  </si>
  <si>
    <t>• Project portfolio +Rubric</t>
  </si>
  <si>
    <t>Introduction to ethics in pharmacy practice</t>
  </si>
  <si>
    <t>Pharmacy law &amp; ethics 1 (three lectures)</t>
  </si>
  <si>
    <t>Institutions and Pharmaceutical Products Law (2 lectures)</t>
  </si>
  <si>
    <t>Pharmacist in different clusters with different ethical issues ( 2 lectures)</t>
  </si>
  <si>
    <t>Drugs Companies and Its Products Registration Guideline ( 2 lectures)</t>
  </si>
  <si>
    <t>SFDA Regulatory Framework for Drug Approvals</t>
  </si>
  <si>
    <t xml:space="preserve">Medication pricing </t>
  </si>
  <si>
    <t>Ethical issues in pharmaceutical research in Saudi Arabia</t>
  </si>
  <si>
    <t>Ethical issues in Health advertisement</t>
  </si>
  <si>
    <t>Ethical issues in Health education</t>
  </si>
  <si>
    <t>Majid A Ganaie</t>
  </si>
  <si>
    <t>Evaluate pharmacological action and side effect of the drugs based on receptor selectivity.</t>
  </si>
  <si>
    <t>Think-pair-share
Problem-based learning</t>
  </si>
  <si>
    <t>Apply knowledge of drug-drug interactions and drug-food interactions to prevent adverse drug reactions on the body</t>
  </si>
  <si>
    <t>Inquiry-based learning</t>
  </si>
  <si>
    <t xml:space="preserve">Group presentation
Flipped classroom </t>
  </si>
  <si>
    <t>Cancer: introduction and Basis of Cancer Chemotherapy</t>
  </si>
  <si>
    <t>Alkylating Agents and Antimetabolites</t>
  </si>
  <si>
    <t>Anticancer Antibiotics Natural and Miscellaneous Anticancer Agents</t>
  </si>
  <si>
    <t>Anticancer Hormonal Therapies</t>
  </si>
  <si>
    <t>Immunopharmacology</t>
  </si>
  <si>
    <t>Introduction: pharmacogenomics and toxicogenomics</t>
  </si>
  <si>
    <t>genome, genes, mutation basic principles, DNA replication, transcription, protein translations</t>
  </si>
  <si>
    <t>Pharmacogenomics and toxicogeomics in cancer, cardiovascular diseases, Diabetes millets, pain, anesthesia</t>
  </si>
  <si>
    <t>Pharmacogenomics and toxicogenomics in neurology (more focus on psychiatric drugs)</t>
  </si>
  <si>
    <t>Gene therapy and Personalized medicine</t>
  </si>
  <si>
    <t>Rare Diseases – Genetic Discovery and Treatment</t>
  </si>
  <si>
    <t>Pharmacology of Genetic neurological and muscle disorders, including disorders of senses such as deafness</t>
  </si>
  <si>
    <t>Pharmacology of Genetic disorders- hemolytic anemias, blood coagulation eye and skin</t>
  </si>
  <si>
    <t>Explain various types of active ingredients, skin and its functions, preservatives, correlation between active ingredient activity and intended function in cosmetic formulations/products.</t>
  </si>
  <si>
    <t>Self-explanation     Problem-based learning</t>
  </si>
  <si>
    <t xml:space="preserve">Illustrate the regulatory FDA authority of cosmetics and its safety requirements and problems encountered during the use of cosmetic formulation/products. </t>
  </si>
  <si>
    <t>Problem-based learning Jigsaw</t>
  </si>
  <si>
    <t>Use the methods related to the preparation and use of cosmetic formulation/products.</t>
  </si>
  <si>
    <t>Problem-based learning Cased based learning</t>
  </si>
  <si>
    <t>Demonstrate the preparation and use of cosmetic products to gain knowledge and skills to advice people in pharmacies how and when to use cosmetic products.</t>
  </si>
  <si>
    <t>Problem-based learning Simulation</t>
  </si>
  <si>
    <t>Introduction to cosmetic preparations and its historic development</t>
  </si>
  <si>
    <t>SFDA/FDA regulations of cosmetics</t>
  </si>
  <si>
    <t>Types of ingredients of cosmetics</t>
  </si>
  <si>
    <t>Different dosage form of cosmetics</t>
  </si>
  <si>
    <t>Biology, function and transport through skin</t>
  </si>
  <si>
    <t xml:space="preserve">Type of skin preservation in cosmetics  </t>
  </si>
  <si>
    <t xml:space="preserve">Drug interaction with cosmetics </t>
  </si>
  <si>
    <t>ahmed sabir</t>
  </si>
  <si>
    <t>Illustrate the principles of strategies and procedures applied for screening, isolation, manufacturing, and standardization of natural products.</t>
  </si>
  <si>
    <t>•	Problem-based learning
•	Self-explanation
•	Jigsaw</t>
  </si>
  <si>
    <t>•	MCQs-Multiple Choice items
•	Comparing and/or contrasting two or more theories, events, processes
•	Classifying or categorizing cases, elements, events, etc., using established criteria
•	Finding or identifying examples or illustrations of a concept, principle</t>
  </si>
  <si>
    <t xml:space="preserve">explain the role regulation of SFDA for assurance of herbal drug formula safety.  </t>
  </si>
  <si>
    <t>•	Inquiry-based learning
•	Jigsaw</t>
  </si>
  <si>
    <t>Short reports +rubric</t>
  </si>
  <si>
    <t xml:space="preserve">design the pharamacognostical standards methods and procedure to isolate, identify and standardize the natural products based on case parameter </t>
  </si>
  <si>
    <t>•	Problem-based learning 
•	Case-based learning
•	Lab conduct</t>
  </si>
  <si>
    <t>•	Case based question.
•	Short assignments +rubric
•	OSPE</t>
  </si>
  <si>
    <t>General concepts: Sources of Medicinal Plant and Phytochemical Screening</t>
  </si>
  <si>
    <t>applications of different chromatographic/non chromatographic techniques for isolation of natural compounds</t>
  </si>
  <si>
    <t>Applications of spectroscopy in characterization (identification) of secondary plant metabolites</t>
  </si>
  <si>
    <t>Analytical techniques in Quality Control (Standardization) of Herbal Drugs: WHO Monographs: Pharmacopeial standards</t>
  </si>
  <si>
    <t>analytical techniques in Quality Control (Standardization) of Herbal Drugs: WHO Monographs: Biological evaluation</t>
  </si>
  <si>
    <t>Organizations, Regulations, and legislations of herbal products Current status of "Regulatory Affairs” of herbal drugs in KSA</t>
  </si>
  <si>
    <t xml:space="preserve">report </t>
  </si>
  <si>
    <t xml:space="preserve">Final practical exam </t>
  </si>
  <si>
    <t>final theory exam</t>
  </si>
  <si>
    <t xml:space="preserve">Self explanation &amp; inquiry base learning </t>
  </si>
  <si>
    <t>•	SAQ - Short Answer Question
•	MCQs-Multiple Choice items
•</t>
  </si>
  <si>
    <t>Critically evaluate different types of IT-based innovations and explain the health informatics procedures that help improve the quality of healthcare</t>
  </si>
  <si>
    <t xml:space="preserve">S5.1 </t>
  </si>
  <si>
    <t>Handling of different types of health informatics, health information systems</t>
  </si>
  <si>
    <t>•	Problem-based learning 
•	Case-based learning</t>
  </si>
  <si>
    <t xml:space="preserve">Collaborate and actively engage as an integral member of the interprofessional healthcare team showcasing 
effective leadership skills, responsibility 
and accountability </t>
  </si>
  <si>
    <t>•	Group projects
•	Group presentation
•	Simulations</t>
  </si>
  <si>
    <t>•	Group projects evaluation using rubric</t>
  </si>
  <si>
    <t xml:space="preserve">Overview of Health Informatics </t>
  </si>
  <si>
    <t>Healthcare Data, Information, and Knowledge</t>
  </si>
  <si>
    <t xml:space="preserve">Healthcare Data Analytics </t>
  </si>
  <si>
    <t>Electronic Health Records</t>
  </si>
  <si>
    <t>Health Information Exchange</t>
  </si>
  <si>
    <t>Data Standards and Medical Coding</t>
  </si>
  <si>
    <t>Consumer Health Informatics</t>
  </si>
  <si>
    <t>Mobile Technology and mHealth</t>
  </si>
  <si>
    <t>Health Informatics Ethics</t>
  </si>
  <si>
    <t xml:space="preserve">
•	Self-explanation
 Inquiry-based learning 
</t>
  </si>
  <si>
    <t xml:space="preserve">•	SAQ - Short Answer Question
•	MCQs-Multiple Choice items
•	Finding or identifying examples or illustrations of a concept, principle
</t>
  </si>
  <si>
    <t xml:space="preserve">
Self-explanation
 Inquiry-based learning 
</t>
  </si>
  <si>
    <t>Design a basic analysis to diagnose and resolve financial and management problems.</t>
  </si>
  <si>
    <t xml:space="preserve">
•	MCQs/Short notes case based</t>
  </si>
  <si>
    <t>Construct financial procedures to operate the inventory process in pharmacy management frame work</t>
  </si>
  <si>
    <t xml:space="preserve">S5 </t>
  </si>
  <si>
    <t>Demonstrate the Use of  financial and productivity analysis to prepare a strategic plan for a new service they imagine to start and financial plan/budget for a pharmacy practice.</t>
  </si>
  <si>
    <t xml:space="preserve">collaborate and engage in leadership, planning and decision making process for managing pharmacy operations </t>
  </si>
  <si>
    <t xml:space="preserve">•	Group projects
•	Group presentation
</t>
  </si>
  <si>
    <t xml:space="preserve">Management functions </t>
  </si>
  <si>
    <t xml:space="preserve">Planning in pharmacy operation </t>
  </si>
  <si>
    <t xml:space="preserve">Financial Reports </t>
  </si>
  <si>
    <t xml:space="preserve">Human Resources Management </t>
  </si>
  <si>
    <t xml:space="preserve">Organizational structure and behavior </t>
  </si>
  <si>
    <t xml:space="preserve">Time management </t>
  </si>
  <si>
    <t xml:space="preserve">Team building </t>
  </si>
  <si>
    <t xml:space="preserve">Ensuring Quality in pharmacy operation </t>
  </si>
  <si>
    <t xml:space="preserve">Operational Management </t>
  </si>
  <si>
    <t xml:space="preserve">Purchasing and inventory management </t>
  </si>
  <si>
    <t xml:space="preserve">Conflict management </t>
  </si>
  <si>
    <t xml:space="preserve">Persuasion </t>
  </si>
  <si>
    <t xml:space="preserve">Decision Making </t>
  </si>
  <si>
    <t xml:space="preserve">Risk Assessment </t>
  </si>
  <si>
    <t>Presentation/assignment</t>
  </si>
  <si>
    <t>Explain QC, GMP, SFDA and their related terminologies about good manufacture practice (GMP) and quality control aspects of raw material and finished product and product recall.</t>
  </si>
  <si>
    <t>Self-explanation 
Problem-based learning</t>
  </si>
  <si>
    <t>SAQ - Short Answer Question
MCQs-Multiple Choice items
Labelling diagrams</t>
  </si>
  <si>
    <t>Discuss regulatory guidelines, types, and factors affecting quality control and QC tests for different dosage forms including tablets, capsules, ointments, creams, suppositories, parenteral products, solution, suspensions, and emulsions and stability studies.</t>
  </si>
  <si>
    <t xml:space="preserve">Problem-based learning 
Jigsaw </t>
  </si>
  <si>
    <t>SAQ, MCQ
MCQs-Multiple Choice items
Labelling diagrams
Comparing and/or contrasting two or more theories, events, processes, etc.
Classifying or categorizing cases, elements, events, etc., using established criteria</t>
  </si>
  <si>
    <t>Interpret the pharmaceutical and analytical methods validation for assay of pharmaceutical compounds complies with pharmacopeial standards, statistical analysis.</t>
  </si>
  <si>
    <t xml:space="preserve">Inquiry-based learning 
Problem-based learning 
Case-based learning </t>
  </si>
  <si>
    <t>Case based question.
Case based question with MCQs.
Short assignments +rubric</t>
  </si>
  <si>
    <t>Operate the instrument to perform QC tests for each pharmaceutical dosage form to confirm whether it complies with pharmacopeial standards or not, statistical QC</t>
  </si>
  <si>
    <t xml:space="preserve">Case-based learning 
Simulations 
Lab conduct </t>
  </si>
  <si>
    <t xml:space="preserve">Introduction to GMP &amp; regulatory </t>
  </si>
  <si>
    <t>Quality control &amp; Management</t>
  </si>
  <si>
    <t>Raw materials quality control</t>
  </si>
  <si>
    <t>Finished products quality control</t>
  </si>
  <si>
    <t xml:space="preserve">Method development </t>
  </si>
  <si>
    <t>Validation of pharmaceutical process</t>
  </si>
  <si>
    <t>Documentation concepts of statistical quality control</t>
  </si>
  <si>
    <t>Quality control of Tablet &amp; capsule</t>
  </si>
  <si>
    <t>Quality control of sterile products</t>
  </si>
  <si>
    <t>Quality control of suspension, and emulsion</t>
  </si>
  <si>
    <t>Quality control of creams and ointments &amp; suppositories</t>
  </si>
  <si>
    <t>K.1.1</t>
  </si>
  <si>
    <t>Illustrate dietary supplements and their role in human body (importance, types, requirements, and deficiency consequences).</t>
  </si>
  <si>
    <t xml:space="preserve">•	Peer instruction
•	Inquiry-based learning 
•	Jigsaw </t>
  </si>
  <si>
    <t>•	MCQs-Multiple Choice items
•	Comparing and/or contrasting two or more theories, events, processes, etc.
•	Classifying or categorizing cases, elements, events, etc., using established criteria
•	Finding or identifying examples or illustrations of a concept, principle</t>
  </si>
  <si>
    <t xml:space="preserve">Deliver evidence-based patient-centered care regarding dietary supplements </t>
  </si>
  <si>
    <t xml:space="preserve">S1 </t>
  </si>
  <si>
    <t>Case based learning</t>
  </si>
  <si>
    <t>•	Case based question. 
•	Short assignments +rubric</t>
  </si>
  <si>
    <t>S.2.1</t>
  </si>
  <si>
    <t>Justify the use of dietary supplement based on evidence</t>
  </si>
  <si>
    <t xml:space="preserve">Problem-based learning </t>
  </si>
  <si>
    <t>Short assignments +rubric</t>
  </si>
  <si>
    <t>Vitamins:
Classification, sources and biological roles.</t>
  </si>
  <si>
    <t>Minerals:
Classification, sources of nutritional elements</t>
  </si>
  <si>
    <t>Food Supplements</t>
  </si>
  <si>
    <t>Herbal Products:</t>
  </si>
  <si>
    <t>Explain different unit operations, list, and related terminologies used different unit operations such as size reduction, mixing, filtration, drying, evaporation, extraction, centrifugation, crystallization, and related terminologies.</t>
  </si>
  <si>
    <t xml:space="preserve">Inquiry-based learning
Problem-based learning 
Jigsaw 
</t>
  </si>
  <si>
    <t>SAQ - Short Answer Question
MCQs-Multiple Choice items
Comparing and/or contrasting two or more theories, events, processes, etc. 
Classifying or categorizing cases, elements, events, etc., using established criteria</t>
  </si>
  <si>
    <t>Illustrate the working principle, theories, construction, and application of different equipment used in the different unit operations.</t>
  </si>
  <si>
    <t xml:space="preserve">Inquiry-based learning 
Problem-based learning 
Case-based learning Jigsaw </t>
  </si>
  <si>
    <t>Case based question.
Case based question with MCQs.</t>
  </si>
  <si>
    <t>Recognize the concept to understand the rate of filtration, rate of evaporation, percent retained and sieved after size reduction of powders, loss on drying and crystal growth.</t>
  </si>
  <si>
    <t xml:space="preserve">Case-based learning 
Simulations </t>
  </si>
  <si>
    <t>Demonstrate industrial development related to pharmaceutical machineries and manufacturing.</t>
  </si>
  <si>
    <t>EOBU/18102023/0008/01</t>
  </si>
  <si>
    <t xml:space="preserve">Introduction to Industrial Pharmacy </t>
  </si>
  <si>
    <t>Pharmaceutical Size Reduction and Size Analysis</t>
  </si>
  <si>
    <t>Pharmaceutical Mixing, Blending and Homogenization</t>
  </si>
  <si>
    <t>Pharmaceutical Filtration Process</t>
  </si>
  <si>
    <t xml:space="preserve">Pharmaceutical Drying: Heat flow, Cooling and Refrigeration </t>
  </si>
  <si>
    <t>Pharmaceutical Evaporation</t>
  </si>
  <si>
    <t>Extraction Process</t>
  </si>
  <si>
    <t>Pharmaceutical Crystallization and its Mechanism</t>
  </si>
  <si>
    <t>Centrifuge and Centrifugation Process</t>
  </si>
  <si>
    <t>Pharmaceutical Distillation Process and its Application</t>
  </si>
  <si>
    <t xml:space="preserve"> Heat Transfer &amp; Supercritical Fluids</t>
  </si>
  <si>
    <t>Illustrate the basic working principles, instrumentation properties and applications of pharmaceutical analysis instruments.</t>
  </si>
  <si>
    <t xml:space="preserve">•	Inquiry-based learning 
•	Problem-based learning </t>
  </si>
  <si>
    <t>•	comparing and/or contrasting two or more theories, events, processes, etc.
•	Classifying or categorizing cases, elements, events, etc., using established criteria
•	Finding or identifying examples or illustrations of a concept, principle</t>
  </si>
  <si>
    <t>Interpret the result of pharmaceutical analysis instruments for quantitative and qualitative analysis of some pharmaceutical compounds.</t>
  </si>
  <si>
    <t xml:space="preserve">•	Problem-based learning 
•	Case-based learning </t>
  </si>
  <si>
    <t>Implement suitable calculation and mathematical drawing methods for a particular investigation relevant to certain drug or pharmaceutical product.</t>
  </si>
  <si>
    <t>•	Problem-based learning 
•	Lab conduct</t>
  </si>
  <si>
    <t>•	OSPE
•	Case based question</t>
  </si>
  <si>
    <t>S.7.1</t>
  </si>
  <si>
    <t xml:space="preserve">Operate the pharmaceutical analysis instruments according to standard operating procedure </t>
  </si>
  <si>
    <t>Lab conduct</t>
  </si>
  <si>
    <t>·  OSPE</t>
  </si>
  <si>
    <t>Instrumental analytical methods, Analysis steps, instrumental methods characteristics and criteria.</t>
  </si>
  <si>
    <t>Atomic absorption and emission spectrophotometry: Principles and Instrumentation of atomic absorption spectrophotometry, Principles and Instrumentation of atomic emission spectrophotometry and Applications of atomic emission spectrophotometry</t>
  </si>
  <si>
    <t>Ultraviolet and visible spectroscopy: Basic principles of molecular spectroscopy, Beer Lambert law, spectra of some representative drug molecules. Applications to pharmaceutical quantitative analysis</t>
  </si>
  <si>
    <t>Infra-red spectroscopy: Basic principles of molecular spectroscopy, Instrumentation, spectra of some representative drug molecules and Applications to pharmaceutical quantitative analysis</t>
  </si>
  <si>
    <t>NMR spectroscopy: Basic principles of molecular spectroscopy, Instrumentation, spectra of some representative drug molecules and Applications to pharmaceutical quantitative analysis</t>
  </si>
  <si>
    <t>MS spectroscopy: Basic principles of molecular spectroscopy, Instrumentation, spectra of some representative drug molecules and Applications to pharmaceutical quantitative analysis</t>
  </si>
  <si>
    <t>Optical methods: Polarization of light, theory and instrumentation of polarimetric analysis, Applications of polarimetry in pharmaceutical analysis, Theory and instrumentation of refractometric analysis, Applications of refractometry</t>
  </si>
  <si>
    <t>Molecular emission spectrophotometry: Theory of light emission Fluorescence and phosphorescence, Chemical structure and fluorescence, Instrumentation of fluorometry, Applications of fluorometry.</t>
  </si>
  <si>
    <t>Gas chromatography: Characteristics and instrumentation.</t>
  </si>
  <si>
    <t>High-performance liquid chromatography: Characteristics and instrumentation and Application</t>
  </si>
  <si>
    <t>Electroanalytical methods of analysis: Theory and basic principles of electroanalytical methods, Various types of electrodes and ion-selective electrodes and Applications in pharmaceutical analysis.</t>
  </si>
  <si>
    <t>final practical exam</t>
  </si>
  <si>
    <t xml:space="preserve">
•	Self-explanation
 Inquiry-based learning </t>
  </si>
  <si>
    <t>S.2. 1</t>
  </si>
  <si>
    <t>Evaluate  the literature and the relevant legislative systems to know the developments in pharmaceutical marketing, and choosing the appropriate marketing strategy</t>
  </si>
  <si>
    <t>Apply the skills of communications with the medical staff and the people involved in marketing the  pharmaceutical product.</t>
  </si>
  <si>
    <t>Build up data on pharmaceutical companies, interpret and analyze.</t>
  </si>
  <si>
    <t>Actively engage with health tem  to take responsibility and work in groups</t>
  </si>
  <si>
    <t>Marketing Principles and Process</t>
  </si>
  <si>
    <t>Pharmaceutical Marketing and the Industry Environment</t>
  </si>
  <si>
    <t>Products in the Pharmaceutical Industry: Trends, Identification, Approval, and Monitoring</t>
  </si>
  <si>
    <t>Merchandising</t>
  </si>
  <si>
    <t>Value-added Pharmacy Services</t>
  </si>
  <si>
    <t>Promotional Marketing Activities and Practices</t>
  </si>
  <si>
    <t>The Pharmaceutical Industry Supply Chain</t>
  </si>
  <si>
    <t>Medical Affairs</t>
  </si>
  <si>
    <t>Regulatory Affairs</t>
  </si>
  <si>
    <t>Direct-to-Consumer (DTC) Prescription Drug Advertising</t>
  </si>
  <si>
    <t>Social Media and Pharmaceutical Marketing</t>
  </si>
  <si>
    <t>The New Four Ps of Pharmaceutical Marketing</t>
  </si>
  <si>
    <t>Prescribers, Healthcare Practitioners, and Marketing’s Role in Practice.</t>
  </si>
  <si>
    <t xml:space="preserve">Group presentation </t>
  </si>
  <si>
    <t>Case report\OSCE</t>
  </si>
  <si>
    <t>Evaluate the scientific literature to recognize the research problem</t>
  </si>
  <si>
    <t xml:space="preserve">•	Problem-based learning 
•	Project based learning </t>
  </si>
  <si>
    <t xml:space="preserve">	
•	Project portfolio + Rubric</t>
  </si>
  <si>
    <t xml:space="preserve">Design a research proposal to address the research problem according to standard research methodologies </t>
  </si>
  <si>
    <t>•	Project based learning</t>
  </si>
  <si>
    <t>Research proposal + rubric</t>
  </si>
  <si>
    <t>Analyze qualitative and quantitative the finding data from analysis.</t>
  </si>
  <si>
    <t xml:space="preserve">Evaluate the qualitative and quantitative the finding in reference to the literature review </t>
  </si>
  <si>
    <t>Communicate the research finding using proper presentations scientific writing skills and</t>
  </si>
  <si>
    <t>•	Debate</t>
  </si>
  <si>
    <t>•	Peers’ evaluations rubric
•	Presentation Rubric</t>
  </si>
  <si>
    <t>V.1.1</t>
  </si>
  <si>
    <t xml:space="preserve">Accepts constructive opinion and judgment of other research team members and supervisor </t>
  </si>
  <si>
    <t>•	Debates
•	Project-based learning</t>
  </si>
  <si>
    <t xml:space="preserve">•	Project portfolio +Rubric
•	Peers’ evaluations rubric
•	Project/internship supervisor </t>
  </si>
  <si>
    <t>Adhere to all ethical standards in preparing the research proposal and its related processes.</t>
  </si>
  <si>
    <t>•	Project portfolio +Rubric
•	Peers’ evaluations rubric
•	Project/internship supervisor assessment +rubric</t>
  </si>
  <si>
    <t>V2.2</t>
  </si>
  <si>
    <t xml:space="preserve">Participate in workshop, symposia, and conference to maintain professional development and continuous education </t>
  </si>
  <si>
    <t xml:space="preserve">•	Service-learning
•	Group presentation </t>
  </si>
  <si>
    <t>•	Project portfolio +Rubric
•	Student skills portfolio +rubric (based on community services and extra curriculum activities)</t>
  </si>
  <si>
    <t>Introduction to Research: Discussion with students the ways to build the project and set a timetable for project</t>
  </si>
  <si>
    <t>How to design the Research protocol/ Identifying variables/ Constructing hypothesis</t>
  </si>
  <si>
    <t>Literature Analysis/ research design</t>
  </si>
  <si>
    <t>How to write a research paper/proposal</t>
  </si>
  <si>
    <t>Research proposal review and discussion</t>
  </si>
  <si>
    <t>Workshop: Open group discussion with students about what has been accomplished over the previous period</t>
  </si>
  <si>
    <t>Literature survey and evaluation</t>
  </si>
  <si>
    <t>Research Experiment</t>
  </si>
  <si>
    <t xml:space="preserve">Poster first draft (submitted to supervisor): Showing initial outputs of the project </t>
  </si>
  <si>
    <t>Poster Presentation (Research Day)/ Research Report submission: Final presentation of the project</t>
  </si>
  <si>
    <t>Peers’ evaluations rubric</t>
  </si>
  <si>
    <t>Presentation Rubric</t>
  </si>
  <si>
    <t xml:space="preserve">Project supervisor assessment +rubric
</t>
  </si>
  <si>
    <t>Project portfolio + Rubric</t>
  </si>
  <si>
    <t>S4.2</t>
  </si>
  <si>
    <t>S4.3</t>
  </si>
  <si>
    <t>S4.4</t>
  </si>
  <si>
    <t>S4.5</t>
  </si>
  <si>
    <t>•	Think-pair-share (I,P)
•	Self-explanation (I,P)
•	Inquiry-based learning (P,M)
•	Problem-based learning (P,M)
•	Case-based learning (P,M)
•	Flipped classroom (P,M)
•	Jigsaw (M)</t>
  </si>
  <si>
    <t>•	Case based question.
•	Case based question with MCQs.
•	Short assignments +rubric
•	OSCE (Objective Structured Clinical exam)
•	Project portfolio +Rubric
•	OSPE (Objective Structured Practical Exam)
•	Research proposal +rubric</t>
  </si>
  <si>
    <t>•	Case based question.
•	Case based question with MCQs.
•	Short assignments +rubric
•	OSCE (Objective Structured Clinical exam)
•	Project portfolio + Rubric
•	OSPE (Objective Structured Practical Exam)
•	Research proposal + rubric</t>
  </si>
  <si>
    <t>•	Think-pair-share (I,P)
•	Group presentation (I,P)
•	Peer instruction (I,P)
•	Hands on demonstration (I,P)
•	Problem-based learning (P,M)
•	Simulations (P,M)
•	Lab conduct (P,M) 
Service learning (P,M)
•	Project-based learning (M)</t>
  </si>
  <si>
    <t>•	Hands on demonstration (I,P)
•	Case-based learning (P,M)
•	Self-reflection (P,M)
•	Simulations (P,M)
•	Lab conduct (P,M)
•	Project-based learning (M)</t>
  </si>
  <si>
    <t>Evaluate the values of unknowns in equations and the values of angles in trigonometric functions.</t>
  </si>
  <si>
    <t>S6.2</t>
  </si>
  <si>
    <t>Draw the lines and graph of the functions.</t>
  </si>
  <si>
    <t xml:space="preserve">Basic of sets  </t>
  </si>
  <si>
    <t xml:space="preserve">Intervals  </t>
  </si>
  <si>
    <t xml:space="preserve">Equations and Inequalities  </t>
  </si>
  <si>
    <t xml:space="preserve">Lines  </t>
  </si>
  <si>
    <t xml:space="preserve">Trigonometry  </t>
  </si>
  <si>
    <t xml:space="preserve">Function and their domains  </t>
  </si>
  <si>
    <t xml:space="preserve">Composition of functions  </t>
  </si>
  <si>
    <t xml:space="preserve">Even and odd functions  </t>
  </si>
  <si>
    <t>One to one function, onto functions, bijective Functions, Inverse functions,</t>
  </si>
  <si>
    <t>Lows of exponential Functions and Lows of Logarithm
functions</t>
  </si>
  <si>
    <t>Dr. Naseem</t>
  </si>
  <si>
    <t>Identify the basic components of a computer system, including system and application software.</t>
  </si>
  <si>
    <t>Direct Instruction
Graphic Organizer
Summarization
Group Presentation</t>
  </si>
  <si>
    <t>Use current tools and methods in computing practice.</t>
  </si>
  <si>
    <t>Demonstrate computer skills by making Word docs, spreadsheets, PPTs, charts, tables, forms, and reports with queries.</t>
  </si>
  <si>
    <t>Discussion, role-playing, dramatization, and active learning</t>
  </si>
  <si>
    <t>Essay questions, and oral questions</t>
  </si>
  <si>
    <t xml:space="preserve">Demonstrate a sense of interest and responsibility in developing and creating computer-based documents.  </t>
  </si>
  <si>
    <t>Role-playing, dramatization, and active learning</t>
  </si>
  <si>
    <t>Making some presentations with MS PowerPoint</t>
  </si>
  <si>
    <t>MCQs (Multiple Choice Questions), EMIs (Extended Match Items), Presentation rubric</t>
  </si>
  <si>
    <t xml:space="preserve">Introduction to Computer </t>
  </si>
  <si>
    <t>Introduction to Operating system (Windows)</t>
  </si>
  <si>
    <t xml:space="preserve">Working with Windows </t>
  </si>
  <si>
    <t>Introduction to Word processing</t>
  </si>
  <si>
    <t>Working with MS-Word</t>
  </si>
  <si>
    <t>Designing the Book cover in MS-Word</t>
  </si>
  <si>
    <t>Introduction to Spread sheet and MS-Excel</t>
  </si>
  <si>
    <t>Midterm Exam</t>
  </si>
  <si>
    <t>Working With MS-Excel, Working with Formulas and Charts</t>
  </si>
  <si>
    <t xml:space="preserve">Preparing Slide Show in Power Point </t>
  </si>
  <si>
    <t>Working with Audio and Video in MS-Power Point</t>
  </si>
  <si>
    <t>Introduction to Database</t>
  </si>
  <si>
    <t>Working with Tables Forms, Reports, Queries in MS-Access</t>
  </si>
  <si>
    <t xml:space="preserve">Introduction to Internet, How to setup Email </t>
  </si>
  <si>
    <t>Participation</t>
  </si>
  <si>
    <t>Practical Exam/Lab.</t>
  </si>
  <si>
    <t>S1.2</t>
  </si>
  <si>
    <t xml:space="preserve">Collaborate and actively engage as an integral member of  the interprofessional healthcare team showcasing  effective leadership skills, responsibility  and accountability </t>
  </si>
  <si>
    <t>Describe the fundamental and terminology of physics and explain the basic concepts, as well as describe and discuss the Applications of formulas, machine, Thermodynamics and Fluid Mechanics, Basic Electricity, and Atomic Electromagnetic and Optical Phenomena.</t>
  </si>
  <si>
    <t>Inquiry-based learning          Problem-based learning    Summarization Problem based learning</t>
  </si>
  <si>
    <t xml:space="preserve">SAQ - Short Answer Question
MCQs-Multiple Choice items
Comparing and/or contrasting two or more theories, events, processes, etc.
Classifying or categorizing cases, elements, events, etc., using established criteria
Paraphrasing documents or speeches
Finding or identifying examples or illustrations of a concept, principle
</t>
  </si>
  <si>
    <t>Recognize the properties of machine, Thermodynamics and Fluid Mechanics, Basic Electricity, and Atomic Electromagnetic and Optical Phenomena.</t>
  </si>
  <si>
    <t xml:space="preserve">Summarization and inquiry based, </t>
  </si>
  <si>
    <t>MCQs and Short Notes, Comparative study</t>
  </si>
  <si>
    <t>Calculate vector, Scalar quantities, Uncertainty, Newton’s laws of motion, acceleration due to gravity(g) using a simple pendulum, measuring the diameter of ball by Micrometers or Vernier, voltage and measured current by Ohm's Law, Resistors in Series &amp; Parallel</t>
  </si>
  <si>
    <t xml:space="preserve">Peer instruction 
Problem- including mathematical calculation, based learning 
Simulations 
Lab conduct
</t>
  </si>
  <si>
    <t>MCQs and Short Notes as well as case based questions</t>
  </si>
  <si>
    <t>Describe the parameters of electromagnetic waves, ray optics to determine the optical parameters of a medium.</t>
  </si>
  <si>
    <t>Motion in a Straight Line.</t>
  </si>
  <si>
    <t xml:space="preserve">Vectors (Components) </t>
  </si>
  <si>
    <t xml:space="preserve"> Newton’s Laws of Motion. </t>
  </si>
  <si>
    <t>Work, Energy and Power.</t>
  </si>
  <si>
    <t>The Mechanics of Non-viscous Fluids</t>
  </si>
  <si>
    <t>Direct Currents.</t>
  </si>
  <si>
    <t xml:space="preserve">Mirrors, Lenses, and Imaging Systems </t>
  </si>
  <si>
    <t xml:space="preserve">Particle Properties of Light (The Photon) </t>
  </si>
  <si>
    <t xml:space="preserve">Nuclear Physics </t>
  </si>
  <si>
    <t>Ionizing Radiation</t>
  </si>
  <si>
    <t>MidTerm 1</t>
  </si>
  <si>
    <t xml:space="preserve">Direct instruction 
Graphic organizers 
Summarization </t>
  </si>
  <si>
    <t>MCQs-Multiple Choice items
SAQ - Short Answer Question
Comparing and/or contrasting two or more theories, events, processes, etc.</t>
  </si>
  <si>
    <t xml:space="preserve">Think-pair-share 
Group presentation </t>
  </si>
  <si>
    <t>OSPE
Case based question. (for mathematical operations)</t>
  </si>
  <si>
    <t xml:space="preserve">Think-pair-share 
</t>
  </si>
  <si>
    <t>project Portfolio assessments +rubric</t>
  </si>
  <si>
    <t xml:space="preserve">Case-based learning  &amp;service learning </t>
  </si>
  <si>
    <t>• Student Portfolio assessments +rubric</t>
  </si>
  <si>
    <t xml:space="preserve">Inquirey based learning  &amp;problem based learining </t>
  </si>
  <si>
    <t xml:space="preserve">
• Think-pair-share 
</t>
  </si>
  <si>
    <t>SAQ - Short Answer Question
MCQs-Multiple Choice items
case based questions</t>
  </si>
  <si>
    <t xml:space="preserve">
• Self-explanation 
</t>
  </si>
  <si>
    <t>·  inquiry based learning</t>
  </si>
  <si>
    <t xml:space="preserve">SAQ - Short Answer Question case based questions
MCQs-Multiple Choice items
</t>
  </si>
  <si>
    <t xml:space="preserve">simulation </t>
  </si>
  <si>
    <t xml:space="preserve">
• simulation
• Problem based learning 
• Case-based learning (P,M)
</t>
  </si>
  <si>
    <t xml:space="preserve">OSCE </t>
  </si>
  <si>
    <t>1+1</t>
  </si>
  <si>
    <t xml:space="preserve">• Case-based learning 
• Simulations 
</t>
  </si>
  <si>
    <t xml:space="preserve">Problem based learning 
Inquiry-based learning </t>
  </si>
  <si>
    <t xml:space="preserve">• Simulations  &amp;group presentation 
</t>
  </si>
  <si>
    <t xml:space="preserve">• Simulations 
• case based learning </t>
  </si>
  <si>
    <t>• Group presentation  
• Peer tutoring</t>
  </si>
  <si>
    <t xml:space="preserve">problem based learninig 
Inquiry-based learning </t>
  </si>
  <si>
    <t xml:space="preserve">• Simulations 
</t>
  </si>
  <si>
    <t>case based questions ,MCQ</t>
  </si>
  <si>
    <t xml:space="preserve">• Problem based learning 
</t>
  </si>
  <si>
    <t>simulation</t>
  </si>
  <si>
    <t xml:space="preserve"> service learninig </t>
  </si>
  <si>
    <t>Student logbook /activity book+ rubric</t>
  </si>
  <si>
    <t xml:space="preserve">
-Problem  based learning (Dose calculations)
</t>
  </si>
  <si>
    <t xml:space="preserve">Case based question. (for mathematical operations)
-Observational assessment
</t>
  </si>
  <si>
    <t xml:space="preserve"> • Service-learning 
</t>
  </si>
  <si>
    <t xml:space="preserve">Observational assessment
Student logbook/ activity book+ rubric
</t>
  </si>
  <si>
    <t xml:space="preserve">•service learninig </t>
  </si>
  <si>
    <t>Observational assessment
-presentation
                                                                                                                                                                                                                                                                rubric</t>
  </si>
  <si>
    <t>• Case based question. (for mathematical operations) &amp;Observational assessment</t>
  </si>
  <si>
    <t xml:space="preserve">
•	Inquiry-based learning 
•	Problem-based learning 
•	Case-based learning </t>
  </si>
  <si>
    <t>•	Project portfolio +Rubric
•	MCQs/Short notes case based</t>
  </si>
  <si>
    <t>•	SAQ - Short Answer Question
•	MCQs-Multiple Choice items</t>
  </si>
  <si>
    <t>case bsed Questions</t>
  </si>
  <si>
    <t xml:space="preserve">
•	Case-based learning
</t>
  </si>
  <si>
    <t>Use statistical techniques in studying biological and scientific problems.</t>
  </si>
  <si>
    <t>Apply statistical and mathematical skills for integration of biological knowledge.</t>
  </si>
  <si>
    <t>Think-Pair-Share</t>
  </si>
  <si>
    <t>Case based question. (for mathematical operations)</t>
  </si>
  <si>
    <t>Direct Instruction, Graphic Organizer Summarization,   Group Presentation</t>
  </si>
  <si>
    <t>EMIs (Extended Match Items), MCQs (Multiple Choice Questions),  Classifying or categorizing cases, elements, events, etc., using established criteria, Paraphrasing documents or speeches, Finding or identifying examples or illustrations of a concept or principle</t>
  </si>
  <si>
    <t>Self-Explanation and Group Presentation</t>
  </si>
  <si>
    <t xml:space="preserve">Peers’ evaluations rubric, Observational assessments+ rubric, Presentation Rubric
</t>
  </si>
  <si>
    <t>Peers’ evaluations rubric, Observational assessments+ rubric, Presentation Rubric
Viva (oral exam) + rubric</t>
  </si>
  <si>
    <t xml:space="preserve">Peers’ evaluations rubric, Observational assessments+ rubric
</t>
  </si>
  <si>
    <t>EMIs (Extended Match Items), MCQs (Multiple Choice Questions),  Classifying or categorizing cases, elements, events, etc., using established criteria, Finding or identifying examples or illustrations of a concept or principle</t>
  </si>
  <si>
    <t xml:space="preserve">Project portfolio +Rubric, Student Portfolio assessments +rubric, Observational assessments+ rubric, Peers’ evaluations rubric
</t>
  </si>
  <si>
    <t xml:space="preserve">Identify topic-bound high-frequency biomedical words, including their spellings and pronunciations.                                                              </t>
  </si>
  <si>
    <t xml:space="preserve">Classify medical words on the basis of semantic and structural criteria.                                  </t>
  </si>
  <si>
    <t>Use familiar and topic-bound biomedical words in appropriate contexts.</t>
  </si>
  <si>
    <t>Repeat and interpret the medical expressions used in authentic audio tracks or in real-world medical settings.</t>
  </si>
  <si>
    <t>Speak on or have conversations about familiar biomedical topics or situations to demonstrate speaking skills.</t>
  </si>
  <si>
    <t>Read authentic biomedical texts loudly and for comprehension to demonstrate reading skills.</t>
  </si>
  <si>
    <t>Write clear and concise sentences and paragraphs to describe bio-medical entities and processes, and demonstrate writing skills in medical English.</t>
  </si>
  <si>
    <t>Collect, verify, and organize biomedical information to contribute to a group project.</t>
  </si>
  <si>
    <t>The hospital departments, specializations, staff, and equipment</t>
  </si>
  <si>
    <t>The classification and analysis of bio-medical terms</t>
  </si>
  <si>
    <t>Parts of the human body and different body systems</t>
  </si>
  <si>
    <t>Respiratory or breathing system</t>
  </si>
  <si>
    <t>Cardiovascular or circulatory system</t>
  </si>
  <si>
    <t>Gastrointestinal or digestive system</t>
  </si>
  <si>
    <t xml:space="preserve">First Aid and Common Abbreviations </t>
  </si>
  <si>
    <t>Measurements and Administering Medication</t>
  </si>
  <si>
    <t xml:space="preserve">Describing Frequency and Maintaining Hygiene </t>
  </si>
  <si>
    <t>Urinary or Excretory System</t>
  </si>
  <si>
    <t>Taking a History and Talking About Symptoms</t>
  </si>
  <si>
    <t>Physical Examinations, Diagnostic Tests and Equipment</t>
  </si>
  <si>
    <t>Describing Pain, Chronic and Acute Illness</t>
  </si>
  <si>
    <t>Communicating with Patients and Staff</t>
  </si>
  <si>
    <t>Direct Instruction, Graphic Organizer, Summarization,   Group Presentation</t>
  </si>
  <si>
    <t>Think-pair-share, Summarization, Self-Explanation</t>
  </si>
  <si>
    <t>Case-based questions with MCQs. Short assignments +rubric</t>
  </si>
  <si>
    <t xml:space="preserve">Project portfolio +Rubric, Observational assessments+ rubric, Peers’ evaluations rubric
</t>
  </si>
  <si>
    <t xml:space="preserve">Inquiry-based learning 
Problem-based learning 
Case-based learning 
Think-pair-share </t>
  </si>
  <si>
    <t>Presentation +Rubric
Observational assessment</t>
  </si>
  <si>
    <t>Note: inside each cell, insert the Course Contribution Factor (CCF) which indicates for the course contribution in achieving the corresponding PLO (the sum of factor in each colomun should be equal to 100)</t>
  </si>
  <si>
    <t>Assess the rules for dispensing psychiatric drugs.</t>
  </si>
  <si>
    <t>Inquiry-based learning 
Problem-based learning 
Filliped class room</t>
  </si>
  <si>
    <t xml:space="preserve">Think-pair-share
Hands on demonstration </t>
  </si>
  <si>
    <t>OSCE/Case based questions</t>
  </si>
  <si>
    <t>Think, pare and share
Case based learning</t>
  </si>
  <si>
    <t>Interpret  the types and quality of information that are available in primary, secondary, and tertiary information sources, including web-based resources.</t>
  </si>
  <si>
    <t>Recognize the appropriateness of patient specific drug therapy regimen and treatment plans.</t>
  </si>
  <si>
    <t>Demnstrate in depth and breadth knowledge in essential biomedical, pharmaceutical, social/behavioral/ administrative, and clinical sciences related to development and use of medications including natural remedies for the prevention and treatment of diseases</t>
  </si>
  <si>
    <t>Presentation + Rubric</t>
  </si>
  <si>
    <t>Presentation+ rubric
Peers’ evaluations rubric</t>
  </si>
  <si>
    <t>Dr.Hager</t>
  </si>
  <si>
    <t>OSCE/Counselling sessions</t>
  </si>
  <si>
    <t>Demonstrate  effective and complete patient centered counseling sessions.</t>
  </si>
  <si>
    <t xml:space="preserve">K1 </t>
  </si>
  <si>
    <t>OSCE, Case based questions</t>
  </si>
  <si>
    <t>Demonstrate effective and complete patient centered  counseling sessions.</t>
  </si>
  <si>
    <t xml:space="preserve">Presentation + rubric
</t>
  </si>
  <si>
    <t xml:space="preserve">Presentation + rubric
• Peers’ evaluations rubric
</t>
  </si>
  <si>
    <t>Interpret lab results and provide recommendation of medications, do dose calculation regarding the selected disease based on these value</t>
  </si>
  <si>
    <t>Group Project</t>
  </si>
  <si>
    <t>OCSE
Group projects evaluation using rubric</t>
  </si>
  <si>
    <t>•	OSCE</t>
  </si>
  <si>
    <t xml:space="preserve">Demonstrate  the skills required to manage pharmacy operations such as leadership, planning, and decision making. </t>
  </si>
  <si>
    <t>Describe the components of human resource management.</t>
  </si>
  <si>
    <t>Presentation + rubric
OSCE</t>
  </si>
  <si>
    <t>AQ - Short Answer Question
MCQs-Multiple Choice items
OSCE
Presentation + rubric</t>
  </si>
  <si>
    <t>•	Flipped classroom</t>
  </si>
  <si>
    <t>Presentation + rubric
Observational assessments+ rubric</t>
  </si>
  <si>
    <t>SAQ - Short Answer Question
MCQs-Multiple Choice items
Short assignment + rubric</t>
  </si>
  <si>
    <t xml:space="preserve">SAQ - Short Answer Question
MCQs-Multiple Choice items
Comparing and/or contrasting two or more theories, events, processes, etc.
Classifying or categorizing cases, elements, events, etc., using established criteria                                 </t>
  </si>
  <si>
    <t xml:space="preserve"> Problem base learning</t>
  </si>
  <si>
    <t>Hands on demonstration
Lab conduct                    Case based learning</t>
  </si>
  <si>
    <t xml:space="preserve">SAQ - Short Answer Question
MCQs-Multiple Choice items
Comparing and/or contrasting two or more theories, events, processes, etc.
Classifying or categorizing cases, elements, events, etc., using established criteria                           </t>
  </si>
  <si>
    <t xml:space="preserve">SAQ - Short Answer Question
MCQs-Multiple Choice items
Comparing and/or contrasting two or more theories, events, processes, etc.
Classifying or categorizing cases, elements, events, etc., using established criteria                             </t>
  </si>
  <si>
    <t xml:space="preserve">SAQ - Short Answer Question
MCQs-Multiple Choice items
Comparing and/or contrasting two or more theories, events, processes, etc.
Classifying or categorizing cases, elements, events, etc., using established criteria                               </t>
  </si>
  <si>
    <t xml:space="preserve">Case based question with MCQs           </t>
  </si>
  <si>
    <t>SAQ - Short Answer Question
MCQs-Multiple Choice items
EMI - Extended Matching Item</t>
  </si>
  <si>
    <t>SAQ - Short Answer Question
MCQs-Multiple Choice items
Short assignments +rubricEMI - Extended Matching Item</t>
  </si>
  <si>
    <t>Case based question with MCQs.
Case based question with short note.
Short assignments +rubric</t>
  </si>
  <si>
    <t>Marwa Malhis</t>
  </si>
  <si>
    <t xml:space="preserve">Case based question with MCQs.
Case based question with short note.
Short assignments +rubric    </t>
  </si>
  <si>
    <t>Introduction to biochemistry ( proteins and carbohydrate)</t>
  </si>
  <si>
    <t>Introduction to biochemistry (Nucleic acids and lipids)</t>
  </si>
  <si>
    <t>Introduction to Metabolism</t>
  </si>
  <si>
    <t>Carbohydate digestion and absorptions</t>
  </si>
  <si>
    <t>Glycolysis and fate of pyruvate</t>
  </si>
  <si>
    <t>Krebs cycle</t>
  </si>
  <si>
    <t>Gluconeugenesis and Glycogen metabolim</t>
  </si>
  <si>
    <t>Pentose Phasphate pathway</t>
  </si>
  <si>
    <t>Regulation of blood glucose level</t>
  </si>
  <si>
    <t>Oxidative phosphorylation</t>
  </si>
  <si>
    <t xml:space="preserve">lipids metabolism </t>
  </si>
  <si>
    <t xml:space="preserve">Amino acid and protein metabolism </t>
  </si>
  <si>
    <t xml:space="preserve">Nucleic acids Metabolism and protein synthesis  </t>
  </si>
  <si>
    <t>pH in physiological system</t>
  </si>
  <si>
    <t>Use the procedures of making file systems in MS Office (Word, Excel, PowerPoint, and Excel) for personal and official purposes.</t>
  </si>
  <si>
    <t>Explain the basic concepts of sets, equations and inequalities, and lines.</t>
  </si>
  <si>
    <t>Explain the functions, kinds of functions &amp; trigonometry</t>
  </si>
  <si>
    <t xml:space="preserve">Explain various aspects of communication theory, including its relevance to healthcare professionals (HCPs). </t>
  </si>
  <si>
    <t>Explain the basic concepts of statistics, biological sciences and statsical analysis of variables.</t>
  </si>
  <si>
    <t>Explain the composition and classes of familiar biomedical words.</t>
  </si>
  <si>
    <t xml:space="preserve">Explain the internal structures of human body including organs and organ system                                </t>
  </si>
  <si>
    <t>Demonstrate in-depth knowledge of different study designs, sample selection, participant recruitment</t>
  </si>
  <si>
    <t>Demonstrate knowledge of  the basic mechanisms of selected diseases and relate these mechanisms to appropriate drug therapy and pathophysiology .</t>
  </si>
  <si>
    <t>Demonstrate in depth knowledge the Cost minimization, cost effectiveness, cost utility, cost beneﬁt, and cost-of-illness analyses and Identify and classify costs associated with pharmacy products and services;</t>
  </si>
  <si>
    <t>Demonstrate in depth knowledge of different types of health informatics, health information systems</t>
  </si>
  <si>
    <t>Demonstrate in depth the Knowledge of the marketing concept and markiting environment and marketing mix (product, price, distribution, promotion) concepts and the study of their impact on pharmaceutical product marketing</t>
  </si>
  <si>
    <t>Identify and describe the essential professional roles, communication techniques, and organizational principles observed within a pharmacy practice setting, integrating introductory theoretical knowledge with practical observation.</t>
  </si>
  <si>
    <t>Diaganose in order to treat the patient with suitable drugs; or make referral for the physician when needed</t>
  </si>
  <si>
    <t>Select the optimal therapeutic agents and justify the treatment plan based on current guidelines, drug pharmacology (potency, efficacy), and anticipated therapeutic outcomes.</t>
  </si>
  <si>
    <t>Evaluate patient scenarios and optimize therapeutic regimens based on treatment guidelines and drug pharmacology which account for relative drug potencies, efficacies, and therapeutic outcomes.</t>
  </si>
  <si>
    <t>Apply dispensing and patient-interaction skills to effectively perform routine tasks within a community pharmacy practice setting, integrating theoretical knowledge with practical standards of care.</t>
  </si>
  <si>
    <t>Apply dispensing and patient-interaction skills to effectively perform routine tasks within a hospital pharmacy practice setting, integrating theoretical knowledge with practical standards of care.</t>
  </si>
  <si>
    <t>Explain a pathophysiological disease process in lay language to patients as appropriate, relate patient signs and symptoms to a pathophysiological disease process</t>
  </si>
  <si>
    <t>Formulate a focused clinical research question that directly addresses a specific issue related to the selected disease's underlying pathophysiology.</t>
  </si>
  <si>
    <t>Analyze the specific clinical manifestations that directly relate to the selected disease's underlying pathophysiology.</t>
  </si>
  <si>
    <t>Identify the appropriateness of patient specific drug therapy regimen and treatment plans.</t>
  </si>
  <si>
    <t>Select the optimal evidence-based therapeutic agents for a given disease state, justifying the choice based on treatment guidelines and basic drug pharmacology.</t>
  </si>
  <si>
    <t>Compare and contrast various therapeutic regimens for a specific disease state, analyzing relative drug potencies, efficacies, and risk profiles to anticipate patient-specific outcomes.</t>
  </si>
  <si>
    <t>Evaluate current patient management protocols, assessing the appropriateness and effectiveness of therapeutic agents based on advanced drug pharmacology, clinical data, and specific patient risk factors.</t>
  </si>
  <si>
    <t>Demonstrate the fine motor skills necessary for effective computer use, printing assignments, and media search.</t>
  </si>
  <si>
    <t>Engage with community and health care provider in various settings</t>
  </si>
  <si>
    <t>Dr Majid Ganaie</t>
  </si>
  <si>
    <t>Summer</t>
  </si>
  <si>
    <t>Dr Niyaz Ahmad</t>
  </si>
  <si>
    <t>Dr. Zabih Ullah</t>
  </si>
  <si>
    <t>•	EMI - Extended Matching Item
•	SAQ - Short Answer Question
•	MCQs-Multiple Choice items
•	Comparing and/or contrasting two or more theories
•	Finding or identifying examples or illustrations of a concept, principle
Short Assignment +Rubric</t>
  </si>
  <si>
    <t>•	Case based question.
Short Assignment +Rubric</t>
  </si>
  <si>
    <t>•	SAQ - Short Answer Question
•	Comparing and/or contrasting two or more theories, events, processes
Finding or identifying examples or illustrations of a concept, principle
Short Assignment +Rubric</t>
  </si>
  <si>
    <t>SAQ - Short Answer Question, MCQs-Multiple Choice items
Short Assignmnet+Rubric</t>
  </si>
  <si>
    <t xml:space="preserve">Case based question. </t>
  </si>
  <si>
    <t>Viva (oral exam) + rubric</t>
  </si>
  <si>
    <t>Case based question.
Case based question with MCQs
Short assignment + rubric
Presentation+rubric</t>
  </si>
  <si>
    <t>Peers’ evaluations rubric
Short assignment + rubric
Presentation+rubric</t>
  </si>
  <si>
    <t>Peers’ evaluations rubric
Presentation + Rubric
Short Assignment  + Rubric</t>
  </si>
  <si>
    <t>Case based question.
Case based question with MCQs
Presentation + Rubric
Short Assignment  + Rubric</t>
  </si>
  <si>
    <t>Demonstrate essential communication skills and self confidence</t>
  </si>
  <si>
    <t xml:space="preserve">• Inquiry-based learning 
• Problem-based learning
• Case-based learning 
• Think-pair-share 
</t>
  </si>
  <si>
    <t>Discuss lipid, protein, and nucleic acid metabolism, as well as pH balance in physiological systems, and explain their physiological significance.</t>
  </si>
  <si>
    <t>Explain how the biochemical properties of lipids, proteins, and nucleic acids influence their biological functions and metabolic roles.</t>
  </si>
  <si>
    <t>Illustrate the regulation of metabolic pathways and pH balance and their relevance to clinical conditions..</t>
  </si>
  <si>
    <t>Interpret biochemical pathways, enzyme regulation, pH balance and case scenarios.</t>
  </si>
  <si>
    <t>Analyze biochemical data and concepts to propose molecular explanations for physiological, pathological, or drug-related conditions.</t>
  </si>
  <si>
    <t xml:space="preserve">SAQ - Short Answer Question
MCQs-Multiple Choice itemsEMI - Extended Matching Item
</t>
  </si>
  <si>
    <t>Recall the biochemical principles and physiological significance of proteins, lipids, carbohydrates, and nucleic acids, including enzyme kinetics, structure–function relationship.</t>
  </si>
  <si>
    <t>Explain carbohydrate structure–function relationships, metabolic pathways, key enzymatic regulation and their physiological and pharmacological relevance.</t>
  </si>
  <si>
    <t>Analyze biochemical data related to carbohydrate metabolism and its modulation by pharmacological agents on biological systems.</t>
  </si>
  <si>
    <t>Interpret biochemical information to explain how diseases and pharmacological agents influence metabolic processes.</t>
  </si>
  <si>
    <t>Doctor of Pharmacy</t>
  </si>
  <si>
    <t>PHC 201</t>
  </si>
  <si>
    <t>PHG 301</t>
  </si>
  <si>
    <t xml:space="preserve">• Think, pare and share
• Case based learning
 </t>
  </si>
  <si>
    <t>PHG 401</t>
  </si>
  <si>
    <t>PHG 402</t>
  </si>
  <si>
    <t>Report with rubrics</t>
  </si>
  <si>
    <t>• Think, pare and share
• Case based learning</t>
  </si>
  <si>
    <t>PHL 402</t>
  </si>
  <si>
    <t>2023-24</t>
  </si>
  <si>
    <t>PHL 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</si>
</sst>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1"/>
      <color theme="1"/>
      <name val="Calibri"/>
      <family val="2"/>
      <scheme val="minor"/>
    </font>
    <font>
      <b/>
      <sz val="12"/>
      <color rgb="FFFFFFFF"/>
      <name val="Calibri"/>
      <family val="2"/>
      <scheme val="minor"/>
    </font>
    <font>
      <sz val="12"/>
      <color rgb="FFFFFFFF"/>
      <name val="Calibri"/>
      <family val="2"/>
      <scheme val="minor"/>
    </font>
    <font>
      <b/>
      <sz val="14"/>
      <color theme="1"/>
      <name val="Calibri"/>
      <family val="2"/>
      <scheme val="minor"/>
    </font>
    <font>
      <b/>
      <sz val="12"/>
      <color theme="1"/>
      <name val="Calibri"/>
      <family val="2"/>
      <scheme val="minor"/>
    </font>
    <font>
      <sz val="16"/>
      <color theme="1"/>
      <name val="Calibri"/>
      <family val="2"/>
      <scheme val="minor"/>
    </font>
    <font>
      <sz val="12"/>
      <color theme="1"/>
      <name val="Calibri"/>
      <family val="2"/>
      <scheme val="minor"/>
    </font>
    <font>
      <b/>
      <sz val="16"/>
      <color theme="1"/>
      <name val="Calibri"/>
      <family val="2"/>
      <scheme val="minor"/>
    </font>
    <font>
      <sz val="11"/>
      <color theme="1"/>
      <name val="Calibri"/>
      <family val="2"/>
      <scheme val="minor"/>
    </font>
    <font>
      <b/>
      <sz val="24"/>
      <color theme="1"/>
      <name val="Calibri"/>
      <family val="2"/>
      <scheme val="minor"/>
    </font>
    <font>
      <b/>
      <sz val="3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20"/>
      <color theme="1"/>
      <name val="Times New Roman"/>
      <family val="1"/>
    </font>
    <font>
      <b/>
      <sz val="28"/>
      <color theme="1"/>
      <name val="Times New Roman"/>
      <family val="1"/>
    </font>
    <font>
      <b/>
      <sz val="16"/>
      <color theme="1"/>
      <name val="Times New Roman"/>
      <family val="1"/>
    </font>
    <font>
      <b/>
      <sz val="18"/>
      <color rgb="FFFF0000"/>
      <name val="Times New Roman"/>
      <family val="1"/>
    </font>
    <font>
      <b/>
      <sz val="18"/>
      <color theme="1"/>
      <name val="Times New Roman"/>
      <family val="1"/>
    </font>
    <font>
      <b/>
      <sz val="12"/>
      <color theme="1"/>
      <name val="Times New Roman"/>
      <family val="1"/>
    </font>
    <font>
      <b/>
      <sz val="18"/>
      <color rgb="FFFFFFFF"/>
      <name val="Calibri"/>
      <family val="2"/>
      <scheme val="minor"/>
    </font>
    <font>
      <b/>
      <sz val="16"/>
      <color rgb="FFFFFFFF"/>
      <name val="Calibri"/>
      <family val="2"/>
      <scheme val="minor"/>
    </font>
    <font>
      <b/>
      <sz val="14"/>
      <color rgb="FFFFFFFF"/>
      <name val="Calibri"/>
      <family val="2"/>
      <scheme val="minor"/>
    </font>
    <font>
      <sz val="36"/>
      <color theme="1"/>
      <name val="Calibri"/>
      <family val="2"/>
      <scheme val="minor"/>
    </font>
    <font>
      <sz val="11"/>
      <color rgb="FF002060"/>
      <name val="Calibri"/>
      <family val="2"/>
      <scheme val="minor"/>
    </font>
    <font>
      <b/>
      <sz val="10"/>
      <color rgb="FF000000"/>
      <name val="Calibri"/>
      <family val="2"/>
      <scheme val="minor"/>
    </font>
    <font>
      <sz val="10"/>
      <color rgb="FF000000"/>
      <name val="Arial"/>
      <family val="2"/>
    </font>
    <font>
      <sz val="10"/>
      <color theme="1"/>
      <name val="Arial"/>
      <family val="2"/>
    </font>
    <font>
      <sz val="11"/>
      <color rgb="FFFF0000"/>
      <name val="Calibri"/>
      <family val="2"/>
      <scheme val="minor"/>
    </font>
    <font>
      <sz val="11"/>
      <color theme="1"/>
      <name val="Times New Roman"/>
      <family val="1"/>
    </font>
    <font>
      <b/>
      <sz val="11"/>
      <color theme="1"/>
      <name val="Calibri"/>
      <family val="2"/>
      <scheme val="minor"/>
    </font>
    <font>
      <sz val="16"/>
      <name val="Calibri"/>
      <family val="2"/>
      <scheme val="minor"/>
    </font>
    <font>
      <sz val="14"/>
      <color theme="1"/>
      <name val="Calibri"/>
      <family val="2"/>
      <scheme val="minor"/>
    </font>
    <font>
      <sz val="15"/>
      <color theme="1"/>
      <name val="Calibri"/>
      <family val="2"/>
      <scheme val="minor"/>
    </font>
    <font>
      <sz val="18"/>
      <color theme="1"/>
      <name val="Calibri"/>
      <family val="2"/>
      <scheme val="minor"/>
    </font>
    <font>
      <sz val="16"/>
      <color theme="1"/>
      <name val="Times New Roman"/>
      <family val="1"/>
    </font>
    <font>
      <sz val="10"/>
      <name val="Arial"/>
      <family val="2"/>
    </font>
  </fonts>
  <fills count="20">
    <fill>
      <patternFill patternType="none"/>
    </fill>
    <fill>
      <patternFill patternType="gray125"/>
    </fill>
    <fill>
      <patternFill patternType="solid">
        <fgColor rgb="FF9498CB"/>
        <bgColor indexed="64"/>
      </patternFill>
    </fill>
    <fill>
      <patternFill patternType="solid">
        <fgColor rgb="FF52B5C2"/>
        <bgColor indexed="64"/>
      </patternFill>
    </fill>
    <fill>
      <patternFill patternType="solid">
        <fgColor rgb="FF4C3D8E"/>
        <bgColor indexed="64"/>
      </patternFill>
    </fill>
    <fill>
      <patternFill patternType="solid">
        <fgColor rgb="FF00B0F0"/>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
      <patternFill patternType="solid">
        <fgColor theme="8" tint="0.39997558519241921"/>
        <bgColor indexed="64"/>
      </patternFill>
    </fill>
  </fills>
  <borders count="51">
    <border>
      <left/>
      <right/>
      <top/>
      <bottom/>
      <diagonal/>
    </border>
    <border>
      <left style="medium">
        <color rgb="FFFFFFFF"/>
      </left>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bottom/>
      <diagonal/>
    </border>
    <border>
      <left style="thin">
        <color indexed="64"/>
      </left>
      <right style="thin">
        <color indexed="64"/>
      </right>
      <top style="thin">
        <color indexed="64"/>
      </top>
      <bottom style="thin">
        <color indexed="64"/>
      </bottom>
      <diagonal/>
    </border>
    <border>
      <left style="medium">
        <color rgb="FFFFFFFF"/>
      </left>
      <right/>
      <top style="medium">
        <color rgb="FFFFFFFF"/>
      </top>
      <bottom/>
      <diagonal/>
    </border>
    <border>
      <left style="medium">
        <color rgb="FFFFFFFF"/>
      </left>
      <right/>
      <top/>
      <bottom style="medium">
        <color rgb="FFFFFFFF"/>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style="medium">
        <color rgb="FFFFFFFF"/>
      </left>
      <right style="thin">
        <color indexed="64"/>
      </right>
      <top style="medium">
        <color rgb="FFFFFFFF"/>
      </top>
      <bottom/>
      <diagonal/>
    </border>
    <border>
      <left style="medium">
        <color rgb="FFFFFFFF"/>
      </left>
      <right style="thin">
        <color indexed="64"/>
      </right>
      <top/>
      <bottom/>
      <diagonal/>
    </border>
    <border>
      <left style="medium">
        <color rgb="FFFFFFFF"/>
      </left>
      <right style="thin">
        <color indexed="64"/>
      </right>
      <top/>
      <bottom style="medium">
        <color rgb="FFFFFFFF"/>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medium">
        <color rgb="FFFFFFFF"/>
      </right>
      <top style="thin">
        <color indexed="64"/>
      </top>
      <bottom style="medium">
        <color rgb="FFFFFFFF"/>
      </bottom>
      <diagonal/>
    </border>
    <border>
      <left style="thin">
        <color indexed="64"/>
      </left>
      <right style="medium">
        <color rgb="FFFFFFFF"/>
      </right>
      <top style="medium">
        <color rgb="FFFFFFFF"/>
      </top>
      <bottom style="medium">
        <color rgb="FFFFFFFF"/>
      </bottom>
      <diagonal/>
    </border>
    <border>
      <left style="thin">
        <color indexed="64"/>
      </left>
      <right style="medium">
        <color rgb="FFFFFFFF"/>
      </right>
      <top style="medium">
        <color rgb="FFFFFFFF"/>
      </top>
      <bottom style="thin">
        <color indexed="64"/>
      </bottom>
      <diagonal/>
    </border>
    <border>
      <left style="medium">
        <color rgb="FFFFFFFF"/>
      </left>
      <right/>
      <top style="thin">
        <color indexed="64"/>
      </top>
      <bottom/>
      <diagonal/>
    </border>
    <border>
      <left style="thin">
        <color indexed="64"/>
      </left>
      <right style="thin">
        <color indexed="64"/>
      </right>
      <top style="thin">
        <color indexed="64"/>
      </top>
      <bottom style="medium">
        <color rgb="FFFFFFFF"/>
      </bottom>
      <diagonal/>
    </border>
    <border>
      <left style="thin">
        <color indexed="64"/>
      </left>
      <right style="thin">
        <color indexed="64"/>
      </right>
      <top style="medium">
        <color rgb="FFFFFFFF"/>
      </top>
      <bottom style="medium">
        <color rgb="FFFFFFFF"/>
      </bottom>
      <diagonal/>
    </border>
    <border>
      <left style="medium">
        <color rgb="FFFFFFFF"/>
      </left>
      <right/>
      <top/>
      <bottom style="thin">
        <color indexed="64"/>
      </bottom>
      <diagonal/>
    </border>
    <border>
      <left style="thin">
        <color indexed="64"/>
      </left>
      <right style="thin">
        <color indexed="64"/>
      </right>
      <top style="medium">
        <color rgb="FFFFFFFF"/>
      </top>
      <bottom style="thin">
        <color indexed="64"/>
      </bottom>
      <diagonal/>
    </border>
    <border>
      <left style="thin">
        <color indexed="64"/>
      </left>
      <right style="medium">
        <color rgb="FFFFFFFF"/>
      </right>
      <top style="medium">
        <color rgb="FFFFFFFF"/>
      </top>
      <bottom/>
      <diagonal/>
    </border>
    <border>
      <left style="thin">
        <color indexed="64"/>
      </left>
      <right style="medium">
        <color rgb="FFFFFFFF"/>
      </right>
      <top/>
      <bottom style="thin">
        <color indexed="64"/>
      </bottom>
      <diagonal/>
    </border>
  </borders>
  <cellStyleXfs count="3">
    <xf numFmtId="0" fontId="0" fillId="0" borderId="0"/>
    <xf numFmtId="9" fontId="8" fillId="0" borderId="0" applyFont="0" applyFill="0" applyBorder="0" applyAlignment="0" applyProtection="0"/>
    <xf numFmtId="9" fontId="8" fillId="0" borderId="0" applyFont="0" applyFill="0" applyBorder="0" applyAlignment="0" applyProtection="0"/>
  </cellStyleXfs>
  <cellXfs count="216">
    <xf numFmtId="0" fontId="0" fillId="0" borderId="0" xfId="0"/>
    <xf numFmtId="0" fontId="7" fillId="0" borderId="5" xfId="0" applyFont="1" applyBorder="1" applyAlignment="1" applyProtection="1">
      <alignment horizontal="center" vertical="center" wrapText="1"/>
      <protection locked="0"/>
    </xf>
    <xf numFmtId="0" fontId="5" fillId="0" borderId="28" xfId="0" applyFont="1" applyBorder="1" applyAlignment="1" applyProtection="1">
      <alignment horizontal="center" vertical="center"/>
      <protection locked="0"/>
    </xf>
    <xf numFmtId="9" fontId="5" fillId="0" borderId="28" xfId="1" applyFont="1" applyBorder="1" applyAlignment="1" applyProtection="1">
      <alignment horizontal="center" vertical="center"/>
      <protection locked="0"/>
    </xf>
    <xf numFmtId="9" fontId="5" fillId="0" borderId="5" xfId="0" applyNumberFormat="1" applyFont="1" applyBorder="1" applyAlignment="1" applyProtection="1">
      <alignment horizontal="center" vertical="center"/>
      <protection locked="0"/>
    </xf>
    <xf numFmtId="0" fontId="5" fillId="0" borderId="5" xfId="0" applyFont="1" applyBorder="1" applyAlignment="1" applyProtection="1">
      <alignment horizontal="center" vertical="center"/>
      <protection locked="0"/>
    </xf>
    <xf numFmtId="9" fontId="5" fillId="0" borderId="5" xfId="1" applyFont="1" applyBorder="1" applyAlignment="1" applyProtection="1">
      <alignment horizontal="center" vertical="center"/>
      <protection locked="0"/>
    </xf>
    <xf numFmtId="0" fontId="11" fillId="6" borderId="5" xfId="0" applyFont="1" applyFill="1" applyBorder="1" applyAlignment="1" applyProtection="1">
      <alignment horizontal="center" vertical="center"/>
      <protection locked="0"/>
    </xf>
    <xf numFmtId="0" fontId="17" fillId="0" borderId="21" xfId="0" applyFont="1" applyBorder="1" applyAlignment="1" applyProtection="1">
      <alignment horizontal="center" vertical="center"/>
      <protection locked="0"/>
    </xf>
    <xf numFmtId="0" fontId="16" fillId="0" borderId="20" xfId="0" applyFont="1" applyBorder="1" applyAlignment="1" applyProtection="1">
      <alignment horizontal="center" vertical="center" wrapText="1"/>
      <protection locked="0"/>
    </xf>
    <xf numFmtId="0" fontId="17" fillId="0" borderId="20" xfId="0" applyFont="1" applyBorder="1" applyAlignment="1" applyProtection="1">
      <alignment horizontal="center" vertical="center"/>
      <protection locked="0"/>
    </xf>
    <xf numFmtId="0" fontId="17" fillId="0" borderId="10"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6" fillId="0" borderId="22" xfId="0" applyFont="1" applyBorder="1" applyAlignment="1" applyProtection="1">
      <alignment horizontal="center" vertical="center" wrapText="1"/>
      <protection locked="0"/>
    </xf>
    <xf numFmtId="0" fontId="17" fillId="0" borderId="22" xfId="0" applyFont="1" applyBorder="1" applyAlignment="1" applyProtection="1">
      <alignment horizontal="center" vertical="center"/>
      <protection locked="0"/>
    </xf>
    <xf numFmtId="0" fontId="17" fillId="0" borderId="18" xfId="0" applyFont="1" applyBorder="1" applyAlignment="1" applyProtection="1">
      <alignment horizontal="center" vertical="center"/>
      <protection locked="0"/>
    </xf>
    <xf numFmtId="0" fontId="17" fillId="0" borderId="17" xfId="0" applyFont="1" applyBorder="1" applyAlignment="1" applyProtection="1">
      <alignment horizontal="center" vertical="center"/>
      <protection locked="0"/>
    </xf>
    <xf numFmtId="9" fontId="5" fillId="0" borderId="28" xfId="0" applyNumberFormat="1" applyFont="1" applyBorder="1" applyAlignment="1" applyProtection="1">
      <alignment horizontal="center" vertical="center"/>
      <protection locked="0"/>
    </xf>
    <xf numFmtId="0" fontId="2" fillId="2" borderId="1" xfId="0" applyFont="1" applyFill="1" applyBorder="1" applyAlignment="1">
      <alignment horizontal="center" vertical="center" wrapText="1"/>
    </xf>
    <xf numFmtId="0" fontId="0" fillId="0" borderId="0" xfId="0" applyProtection="1">
      <protection locked="0"/>
    </xf>
    <xf numFmtId="0" fontId="0" fillId="0" borderId="0" xfId="0" applyAlignment="1" applyProtection="1">
      <alignment horizontal="center" vertical="center"/>
      <protection locked="0"/>
    </xf>
    <xf numFmtId="0" fontId="6" fillId="9" borderId="5" xfId="0" applyFont="1" applyFill="1" applyBorder="1" applyAlignment="1" applyProtection="1">
      <alignment horizontal="center" vertical="center"/>
      <protection locked="0"/>
    </xf>
    <xf numFmtId="0" fontId="6" fillId="8" borderId="5" xfId="0" applyFont="1" applyFill="1" applyBorder="1" applyAlignment="1" applyProtection="1">
      <alignment horizontal="center" vertical="center"/>
      <protection locked="0"/>
    </xf>
    <xf numFmtId="0" fontId="6" fillId="7" borderId="5" xfId="0" applyFont="1" applyFill="1" applyBorder="1" applyAlignment="1" applyProtection="1">
      <alignment horizontal="center" vertical="center"/>
      <protection locked="0"/>
    </xf>
    <xf numFmtId="0" fontId="5" fillId="0" borderId="5" xfId="0" applyFont="1" applyBorder="1" applyAlignment="1" applyProtection="1">
      <alignment vertical="center"/>
      <protection locked="0"/>
    </xf>
    <xf numFmtId="0" fontId="0" fillId="6" borderId="5" xfId="0" applyFill="1" applyBorder="1" applyAlignment="1" applyProtection="1">
      <alignment vertical="center"/>
      <protection locked="0"/>
    </xf>
    <xf numFmtId="0" fontId="0" fillId="6" borderId="5" xfId="0" applyFill="1" applyBorder="1" applyAlignment="1" applyProtection="1">
      <alignment horizontal="center" vertical="center"/>
      <protection locked="0"/>
    </xf>
    <xf numFmtId="0" fontId="10" fillId="6" borderId="0" xfId="0" applyFont="1" applyFill="1" applyAlignment="1" applyProtection="1">
      <alignment horizontal="center" vertical="center" wrapText="1"/>
      <protection locked="0"/>
    </xf>
    <xf numFmtId="0" fontId="7" fillId="6" borderId="0" xfId="0" applyFont="1" applyFill="1" applyAlignment="1" applyProtection="1">
      <alignment horizontal="center" vertical="center"/>
      <protection locked="0"/>
    </xf>
    <xf numFmtId="0" fontId="7" fillId="6" borderId="0" xfId="0" applyFont="1" applyFill="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11" fillId="6" borderId="0" xfId="0" applyFont="1" applyFill="1" applyAlignment="1" applyProtection="1">
      <alignment vertical="center"/>
      <protection locked="0"/>
    </xf>
    <xf numFmtId="0" fontId="11" fillId="9" borderId="15" xfId="0" applyFont="1" applyFill="1" applyBorder="1" applyAlignment="1" applyProtection="1">
      <alignment horizontal="center" vertical="center" wrapText="1"/>
      <protection locked="0"/>
    </xf>
    <xf numFmtId="0" fontId="11" fillId="9" borderId="25" xfId="0" applyFont="1" applyFill="1" applyBorder="1" applyAlignment="1" applyProtection="1">
      <alignment horizontal="center" vertical="center" wrapText="1"/>
      <protection locked="0"/>
    </xf>
    <xf numFmtId="0" fontId="11" fillId="9" borderId="30" xfId="0" applyFont="1" applyFill="1" applyBorder="1" applyAlignment="1" applyProtection="1">
      <alignment horizontal="center" vertical="center"/>
      <protection locked="0"/>
    </xf>
    <xf numFmtId="0" fontId="11" fillId="9" borderId="13" xfId="0"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9" fontId="5" fillId="0" borderId="29" xfId="0" applyNumberFormat="1" applyFont="1" applyBorder="1" applyAlignment="1" applyProtection="1">
      <alignment horizontal="center" vertical="center"/>
      <protection locked="0"/>
    </xf>
    <xf numFmtId="9" fontId="5" fillId="0" borderId="10" xfId="0" applyNumberFormat="1"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4" fillId="0" borderId="0" xfId="0" applyFont="1" applyProtection="1">
      <protection locked="0"/>
    </xf>
    <xf numFmtId="0" fontId="13" fillId="6" borderId="0" xfId="0" applyFont="1" applyFill="1" applyAlignment="1" applyProtection="1">
      <alignment horizontal="center" vertical="center"/>
      <protection locked="0"/>
    </xf>
    <xf numFmtId="0" fontId="11" fillId="6" borderId="0" xfId="0" applyFont="1" applyFill="1" applyAlignment="1" applyProtection="1">
      <alignment horizontal="center" vertical="center"/>
      <protection locked="0"/>
    </xf>
    <xf numFmtId="0" fontId="7" fillId="10" borderId="5" xfId="0" applyFont="1" applyFill="1" applyBorder="1" applyAlignment="1">
      <alignment horizontal="center" vertical="center"/>
    </xf>
    <xf numFmtId="0" fontId="11" fillId="9" borderId="15" xfId="0" applyFont="1" applyFill="1" applyBorder="1" applyAlignment="1">
      <alignment horizontal="center" vertical="center" wrapText="1"/>
    </xf>
    <xf numFmtId="0" fontId="11" fillId="9" borderId="13" xfId="0" applyFont="1" applyFill="1" applyBorder="1" applyAlignment="1">
      <alignment horizontal="center" vertical="center" wrapText="1"/>
    </xf>
    <xf numFmtId="0" fontId="12" fillId="12" borderId="9" xfId="0" applyFont="1" applyFill="1" applyBorder="1" applyAlignment="1">
      <alignment vertical="center"/>
    </xf>
    <xf numFmtId="0" fontId="12" fillId="12" borderId="16" xfId="0" applyFont="1" applyFill="1" applyBorder="1" applyAlignment="1">
      <alignment vertical="center"/>
    </xf>
    <xf numFmtId="0" fontId="12" fillId="12" borderId="5" xfId="0" applyFont="1" applyFill="1" applyBorder="1" applyAlignment="1">
      <alignment horizontal="center" vertical="center"/>
    </xf>
    <xf numFmtId="0" fontId="7" fillId="13" borderId="17" xfId="0" applyFont="1" applyFill="1" applyBorder="1" applyAlignment="1">
      <alignment horizontal="center" vertical="center"/>
    </xf>
    <xf numFmtId="0" fontId="7" fillId="12" borderId="5" xfId="0" applyFont="1" applyFill="1" applyBorder="1" applyAlignment="1">
      <alignment horizontal="center" vertical="center" wrapText="1"/>
    </xf>
    <xf numFmtId="0" fontId="7" fillId="12" borderId="9" xfId="0" applyFont="1" applyFill="1" applyBorder="1" applyAlignment="1">
      <alignment horizontal="center" vertical="center"/>
    </xf>
    <xf numFmtId="0" fontId="13" fillId="14" borderId="5" xfId="0" applyFont="1" applyFill="1" applyBorder="1" applyAlignment="1">
      <alignment horizontal="center" vertical="center" wrapText="1"/>
    </xf>
    <xf numFmtId="0" fontId="7" fillId="6" borderId="5" xfId="0" applyFont="1" applyFill="1" applyBorder="1" applyAlignment="1">
      <alignment horizontal="center" vertical="center"/>
    </xf>
    <xf numFmtId="9" fontId="12" fillId="14" borderId="5" xfId="1" applyFont="1" applyFill="1" applyBorder="1" applyAlignment="1" applyProtection="1">
      <alignment horizontal="center" vertical="center"/>
    </xf>
    <xf numFmtId="0" fontId="12" fillId="6" borderId="5" xfId="0" applyFont="1" applyFill="1" applyBorder="1" applyAlignment="1">
      <alignment horizontal="center" vertical="center"/>
    </xf>
    <xf numFmtId="0" fontId="14" fillId="15" borderId="14" xfId="0" applyFont="1" applyFill="1" applyBorder="1" applyAlignment="1">
      <alignment horizontal="center" vertical="center" wrapText="1"/>
    </xf>
    <xf numFmtId="0" fontId="15" fillId="16" borderId="13" xfId="0" applyFont="1" applyFill="1" applyBorder="1" applyAlignment="1">
      <alignment horizontal="center" vertical="center" wrapText="1"/>
    </xf>
    <xf numFmtId="0" fontId="14" fillId="15" borderId="33" xfId="0" applyFont="1" applyFill="1" applyBorder="1" applyAlignment="1">
      <alignment horizontal="center" vertical="center" wrapText="1"/>
    </xf>
    <xf numFmtId="0" fontId="17" fillId="11" borderId="28" xfId="0" applyFont="1" applyFill="1" applyBorder="1" applyAlignment="1">
      <alignment horizontal="center" vertical="center"/>
    </xf>
    <xf numFmtId="0" fontId="14" fillId="17" borderId="19" xfId="0" applyFont="1" applyFill="1" applyBorder="1" applyAlignment="1">
      <alignment horizontal="center" vertical="center" wrapText="1"/>
    </xf>
    <xf numFmtId="0" fontId="18" fillId="17" borderId="11" xfId="0" applyFont="1" applyFill="1" applyBorder="1" applyAlignment="1">
      <alignment horizontal="center" vertical="center" wrapText="1"/>
    </xf>
    <xf numFmtId="0" fontId="18" fillId="17" borderId="32" xfId="0" applyFont="1" applyFill="1" applyBorder="1" applyAlignment="1">
      <alignment horizontal="center" vertical="center" wrapText="1"/>
    </xf>
    <xf numFmtId="0" fontId="18" fillId="0" borderId="12" xfId="0" applyFont="1" applyBorder="1" applyAlignment="1">
      <alignment horizontal="center" vertical="center"/>
    </xf>
    <xf numFmtId="0" fontId="16" fillId="8" borderId="24" xfId="0" applyFont="1" applyFill="1" applyBorder="1" applyAlignment="1">
      <alignment horizontal="center" vertical="center" wrapText="1"/>
    </xf>
    <xf numFmtId="0" fontId="16" fillId="8" borderId="25" xfId="0" applyFont="1" applyFill="1" applyBorder="1" applyAlignment="1">
      <alignment horizontal="center" vertical="center" wrapText="1"/>
    </xf>
    <xf numFmtId="0" fontId="19" fillId="8" borderId="2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0" fillId="0" borderId="0" xfId="0" applyAlignment="1">
      <alignment horizontal="center"/>
    </xf>
    <xf numFmtId="0" fontId="0" fillId="0" borderId="5" xfId="0" applyBorder="1" applyAlignment="1">
      <alignment wrapText="1"/>
    </xf>
    <xf numFmtId="0" fontId="0" fillId="0" borderId="5" xfId="0" applyBorder="1" applyAlignment="1">
      <alignment vertical="top" wrapText="1"/>
    </xf>
    <xf numFmtId="0" fontId="0" fillId="0" borderId="0" xfId="0" applyAlignment="1" applyProtection="1">
      <alignment horizontal="center"/>
      <protection locked="0"/>
    </xf>
    <xf numFmtId="0" fontId="5" fillId="0" borderId="28" xfId="0" applyFont="1" applyBorder="1" applyAlignment="1" applyProtection="1">
      <alignment vertical="center" wrapText="1"/>
      <protection locked="0"/>
    </xf>
    <xf numFmtId="0" fontId="5" fillId="0" borderId="5" xfId="0" applyFont="1" applyBorder="1" applyAlignment="1" applyProtection="1">
      <alignment vertical="center" wrapText="1"/>
      <protection locked="0"/>
    </xf>
    <xf numFmtId="0" fontId="5" fillId="0" borderId="28" xfId="0" applyFont="1" applyBorder="1" applyAlignment="1" applyProtection="1">
      <alignment horizontal="left" vertical="center" wrapText="1"/>
      <protection locked="0"/>
    </xf>
    <xf numFmtId="0" fontId="5" fillId="0" borderId="5" xfId="0" applyFont="1" applyBorder="1" applyAlignment="1" applyProtection="1">
      <alignment horizontal="left" vertical="center" wrapText="1"/>
      <protection locked="0"/>
    </xf>
    <xf numFmtId="0" fontId="5" fillId="0" borderId="5" xfId="0" applyFont="1" applyBorder="1" applyAlignment="1" applyProtection="1">
      <alignment horizontal="left" vertical="center"/>
      <protection locked="0"/>
    </xf>
    <xf numFmtId="0" fontId="6" fillId="0" borderId="5" xfId="0" applyFont="1" applyBorder="1" applyAlignment="1" applyProtection="1">
      <alignment vertical="center" wrapText="1"/>
      <protection locked="0"/>
    </xf>
    <xf numFmtId="0" fontId="5" fillId="0" borderId="5" xfId="0" applyFont="1" applyBorder="1" applyAlignment="1" applyProtection="1">
      <alignment horizontal="center" vertical="center" wrapText="1"/>
      <protection locked="0"/>
    </xf>
    <xf numFmtId="0" fontId="6" fillId="6" borderId="5" xfId="0" applyFont="1" applyFill="1" applyBorder="1" applyAlignment="1" applyProtection="1">
      <alignment vertical="center"/>
      <protection locked="0"/>
    </xf>
    <xf numFmtId="0" fontId="6" fillId="6" borderId="5" xfId="0" applyFont="1" applyFill="1" applyBorder="1" applyAlignment="1" applyProtection="1">
      <alignment vertical="center" wrapText="1"/>
      <protection locked="0"/>
    </xf>
    <xf numFmtId="0" fontId="17" fillId="0" borderId="29" xfId="0" applyFont="1" applyBorder="1" applyAlignment="1" applyProtection="1">
      <alignment horizontal="center" vertical="center"/>
      <protection locked="0"/>
    </xf>
    <xf numFmtId="0" fontId="0" fillId="6" borderId="5" xfId="0" applyFill="1" applyBorder="1" applyAlignment="1" applyProtection="1">
      <alignment horizontal="left" vertical="center"/>
      <protection locked="0"/>
    </xf>
    <xf numFmtId="0" fontId="5" fillId="0" borderId="28" xfId="0" applyFont="1" applyBorder="1" applyAlignment="1" applyProtection="1">
      <alignment horizontal="center" vertical="center" wrapText="1"/>
      <protection locked="0"/>
    </xf>
    <xf numFmtId="0" fontId="5" fillId="0" borderId="28" xfId="0" applyFont="1" applyBorder="1" applyAlignment="1" applyProtection="1">
      <alignment horizontal="left" vertical="top" wrapText="1"/>
      <protection locked="0"/>
    </xf>
    <xf numFmtId="0" fontId="28" fillId="6" borderId="5" xfId="0" applyFont="1" applyFill="1" applyBorder="1" applyAlignment="1" applyProtection="1">
      <alignment vertical="center"/>
      <protection locked="0"/>
    </xf>
    <xf numFmtId="0" fontId="0" fillId="6" borderId="5" xfId="0" applyFill="1" applyBorder="1" applyAlignment="1" applyProtection="1">
      <alignment vertical="center" wrapText="1"/>
      <protection locked="0"/>
    </xf>
    <xf numFmtId="9" fontId="12" fillId="14" borderId="5" xfId="1" applyFont="1" applyFill="1" applyBorder="1" applyAlignment="1">
      <alignment horizontal="center" vertical="center"/>
    </xf>
    <xf numFmtId="0" fontId="28" fillId="6" borderId="5" xfId="0" applyFont="1" applyFill="1" applyBorder="1" applyAlignment="1" applyProtection="1">
      <alignment horizontal="left" vertical="center"/>
      <protection locked="0"/>
    </xf>
    <xf numFmtId="0" fontId="29" fillId="0" borderId="0" xfId="0" applyFont="1" applyAlignment="1" applyProtection="1">
      <alignment wrapText="1"/>
      <protection locked="0"/>
    </xf>
    <xf numFmtId="0" fontId="0" fillId="0" borderId="28" xfId="0" applyBorder="1" applyAlignment="1" applyProtection="1">
      <alignment vertical="center" wrapText="1"/>
      <protection locked="0"/>
    </xf>
    <xf numFmtId="0" fontId="17" fillId="0" borderId="20" xfId="0" applyFont="1" applyBorder="1" applyAlignment="1" applyProtection="1">
      <alignment horizontal="center" vertical="center" wrapText="1"/>
      <protection locked="0"/>
    </xf>
    <xf numFmtId="2" fontId="0" fillId="0" borderId="0" xfId="0" applyNumberFormat="1" applyAlignment="1" applyProtection="1">
      <alignment horizontal="center"/>
      <protection locked="0"/>
    </xf>
    <xf numFmtId="2" fontId="0" fillId="0" borderId="0" xfId="0" applyNumberFormat="1" applyAlignment="1" applyProtection="1">
      <alignment horizontal="center" vertical="center"/>
      <protection locked="0"/>
    </xf>
    <xf numFmtId="0" fontId="30" fillId="0" borderId="0" xfId="0" applyFont="1" applyAlignment="1" applyProtection="1">
      <alignment horizontal="center"/>
      <protection locked="0"/>
    </xf>
    <xf numFmtId="0" fontId="5" fillId="0" borderId="5" xfId="0" applyFont="1" applyBorder="1" applyAlignment="1" applyProtection="1">
      <alignment horizontal="left" wrapText="1"/>
      <protection locked="0"/>
    </xf>
    <xf numFmtId="0" fontId="5" fillId="0" borderId="5" xfId="0" applyFont="1" applyBorder="1" applyAlignment="1" applyProtection="1">
      <alignment horizontal="center" wrapText="1"/>
      <protection locked="0"/>
    </xf>
    <xf numFmtId="0" fontId="31" fillId="0" borderId="5" xfId="0" applyFont="1" applyBorder="1" applyAlignment="1" applyProtection="1">
      <alignment horizontal="left" vertical="center" wrapText="1"/>
      <protection locked="0"/>
    </xf>
    <xf numFmtId="0" fontId="6" fillId="0" borderId="28" xfId="0" applyFont="1" applyBorder="1" applyAlignment="1" applyProtection="1">
      <alignment horizontal="left" vertical="center" wrapText="1"/>
      <protection locked="0"/>
    </xf>
    <xf numFmtId="0" fontId="6" fillId="6" borderId="5" xfId="0" applyFont="1" applyFill="1" applyBorder="1" applyAlignment="1" applyProtection="1">
      <alignment horizontal="left" vertical="center"/>
      <protection locked="0"/>
    </xf>
    <xf numFmtId="0" fontId="1" fillId="2" borderId="5" xfId="0" applyFont="1" applyFill="1" applyBorder="1" applyAlignment="1" applyProtection="1">
      <alignment horizontal="center" vertical="center" wrapText="1"/>
      <protection locked="0"/>
    </xf>
    <xf numFmtId="0" fontId="25" fillId="3" borderId="5" xfId="0" applyFont="1" applyFill="1" applyBorder="1" applyAlignment="1">
      <alignment horizontal="center" vertical="center" wrapText="1"/>
    </xf>
    <xf numFmtId="9" fontId="26" fillId="19" borderId="5" xfId="2" applyFont="1" applyFill="1" applyBorder="1" applyAlignment="1">
      <alignment horizontal="center" vertical="center" wrapText="1"/>
    </xf>
    <xf numFmtId="9" fontId="27" fillId="19" borderId="5" xfId="2" applyFont="1" applyFill="1" applyBorder="1" applyAlignment="1">
      <alignment horizontal="center" vertical="center" wrapText="1"/>
    </xf>
    <xf numFmtId="9" fontId="27" fillId="0" borderId="5" xfId="2" applyFont="1" applyFill="1" applyBorder="1" applyAlignment="1">
      <alignment horizontal="center" vertical="center" wrapText="1"/>
    </xf>
    <xf numFmtId="9" fontId="26" fillId="8" borderId="5" xfId="2" applyFont="1" applyFill="1" applyBorder="1" applyAlignment="1">
      <alignment horizontal="center" vertical="center" wrapText="1"/>
    </xf>
    <xf numFmtId="9" fontId="27" fillId="8" borderId="5" xfId="2" applyFont="1" applyFill="1" applyBorder="1" applyAlignment="1">
      <alignment horizontal="center" vertical="center" wrapText="1"/>
    </xf>
    <xf numFmtId="9" fontId="26" fillId="7" borderId="5" xfId="2" applyFont="1" applyFill="1" applyBorder="1" applyAlignment="1">
      <alignment horizontal="center" vertical="center" wrapText="1"/>
    </xf>
    <xf numFmtId="9" fontId="27" fillId="7" borderId="5" xfId="2" applyFont="1" applyFill="1" applyBorder="1" applyAlignment="1">
      <alignment horizontal="center" vertical="center" wrapText="1"/>
    </xf>
    <xf numFmtId="0" fontId="2" fillId="3" borderId="5" xfId="0" applyFont="1" applyFill="1" applyBorder="1" applyAlignment="1" applyProtection="1">
      <alignment horizontal="center" vertical="center" wrapText="1"/>
      <protection locked="0"/>
    </xf>
    <xf numFmtId="9" fontId="0" fillId="0" borderId="5" xfId="2" applyFont="1" applyBorder="1" applyAlignment="1" applyProtection="1">
      <alignment horizontal="center" vertical="center"/>
      <protection locked="0"/>
    </xf>
    <xf numFmtId="9" fontId="26" fillId="0" borderId="5" xfId="2" applyFont="1" applyFill="1" applyBorder="1" applyAlignment="1">
      <alignment horizontal="center" vertical="center" wrapText="1"/>
    </xf>
    <xf numFmtId="0" fontId="5" fillId="0" borderId="5" xfId="0" applyFont="1" applyBorder="1" applyAlignment="1" applyProtection="1">
      <alignment horizontal="left" vertical="top" wrapText="1"/>
      <protection locked="0"/>
    </xf>
    <xf numFmtId="0" fontId="32" fillId="0" borderId="16" xfId="0" applyFont="1" applyBorder="1" applyProtection="1">
      <protection locked="0"/>
    </xf>
    <xf numFmtId="0" fontId="32" fillId="6" borderId="5" xfId="0" applyFont="1" applyFill="1" applyBorder="1" applyAlignment="1" applyProtection="1">
      <alignment vertical="center"/>
      <protection locked="0"/>
    </xf>
    <xf numFmtId="0" fontId="32" fillId="6" borderId="5" xfId="0" applyFont="1" applyFill="1" applyBorder="1" applyAlignment="1" applyProtection="1">
      <alignment vertical="center" wrapText="1"/>
      <protection locked="0"/>
    </xf>
    <xf numFmtId="0" fontId="33" fillId="6" borderId="5" xfId="0" applyFont="1" applyFill="1" applyBorder="1" applyAlignment="1" applyProtection="1">
      <alignment vertical="center"/>
      <protection locked="0"/>
    </xf>
    <xf numFmtId="0" fontId="33" fillId="6" borderId="5" xfId="0" applyFont="1" applyFill="1" applyBorder="1" applyAlignment="1" applyProtection="1">
      <alignment vertical="center" wrapText="1"/>
      <protection locked="0"/>
    </xf>
    <xf numFmtId="0" fontId="33" fillId="6" borderId="5" xfId="0" applyFont="1" applyFill="1" applyBorder="1" applyAlignment="1" applyProtection="1">
      <alignment horizontal="left" vertical="center" wrapText="1"/>
      <protection locked="0"/>
    </xf>
    <xf numFmtId="0" fontId="34" fillId="6" borderId="5" xfId="0" applyFont="1" applyFill="1" applyBorder="1" applyAlignment="1" applyProtection="1">
      <alignment horizontal="center" vertical="center"/>
      <protection locked="0"/>
    </xf>
    <xf numFmtId="9" fontId="26" fillId="6" borderId="5" xfId="2" applyFont="1" applyFill="1" applyBorder="1" applyAlignment="1">
      <alignment horizontal="center" vertical="center" wrapText="1"/>
    </xf>
    <xf numFmtId="9" fontId="27" fillId="6" borderId="5" xfId="2" applyFont="1" applyFill="1" applyBorder="1" applyAlignment="1">
      <alignment horizontal="center" vertical="center" wrapText="1"/>
    </xf>
    <xf numFmtId="0" fontId="35" fillId="6" borderId="5" xfId="0" applyFont="1" applyFill="1" applyBorder="1" applyAlignment="1" applyProtection="1">
      <alignment vertical="center"/>
      <protection locked="0"/>
    </xf>
    <xf numFmtId="0" fontId="5" fillId="6" borderId="28" xfId="0" applyFont="1" applyFill="1" applyBorder="1" applyAlignment="1" applyProtection="1">
      <alignment horizontal="center" vertical="center"/>
      <protection locked="0"/>
    </xf>
    <xf numFmtId="0" fontId="5" fillId="6" borderId="28" xfId="0" applyFont="1" applyFill="1" applyBorder="1" applyAlignment="1" applyProtection="1">
      <alignment vertical="center" wrapText="1"/>
      <protection locked="0"/>
    </xf>
    <xf numFmtId="9" fontId="5" fillId="6" borderId="28" xfId="1" applyFont="1" applyFill="1" applyBorder="1" applyAlignment="1" applyProtection="1">
      <alignment horizontal="center" vertical="center"/>
      <protection locked="0"/>
    </xf>
    <xf numFmtId="9" fontId="5" fillId="6" borderId="28" xfId="0" applyNumberFormat="1" applyFont="1" applyFill="1" applyBorder="1" applyAlignment="1" applyProtection="1">
      <alignment horizontal="center" vertical="center"/>
      <protection locked="0"/>
    </xf>
    <xf numFmtId="0" fontId="5" fillId="6" borderId="28" xfId="0" applyFont="1" applyFill="1" applyBorder="1" applyAlignment="1" applyProtection="1">
      <alignment horizontal="left" vertical="center" wrapText="1"/>
      <protection locked="0"/>
    </xf>
    <xf numFmtId="0" fontId="5" fillId="6" borderId="5" xfId="0" applyFont="1" applyFill="1" applyBorder="1" applyAlignment="1" applyProtection="1">
      <alignment horizontal="center" vertical="center"/>
      <protection locked="0"/>
    </xf>
    <xf numFmtId="0" fontId="5" fillId="6" borderId="5" xfId="0" applyFont="1" applyFill="1" applyBorder="1" applyAlignment="1" applyProtection="1">
      <alignment vertical="center" wrapText="1"/>
      <protection locked="0"/>
    </xf>
    <xf numFmtId="9" fontId="5" fillId="6" borderId="5" xfId="1" applyFont="1" applyFill="1" applyBorder="1" applyAlignment="1" applyProtection="1">
      <alignment horizontal="center" vertical="center"/>
      <protection locked="0"/>
    </xf>
    <xf numFmtId="9" fontId="5" fillId="6" borderId="5" xfId="0" applyNumberFormat="1" applyFont="1" applyFill="1" applyBorder="1" applyAlignment="1" applyProtection="1">
      <alignment horizontal="center" vertical="center"/>
      <protection locked="0"/>
    </xf>
    <xf numFmtId="0" fontId="5" fillId="6" borderId="5" xfId="0" applyFont="1" applyFill="1" applyBorder="1" applyAlignment="1" applyProtection="1">
      <alignment horizontal="left" vertical="center" wrapText="1"/>
      <protection locked="0"/>
    </xf>
    <xf numFmtId="0" fontId="5" fillId="6" borderId="5" xfId="0" applyFont="1" applyFill="1" applyBorder="1" applyAlignment="1" applyProtection="1">
      <alignment horizontal="center" vertical="center" wrapText="1"/>
      <protection locked="0"/>
    </xf>
    <xf numFmtId="0" fontId="5" fillId="6" borderId="5" xfId="0" applyFont="1" applyFill="1" applyBorder="1" applyAlignment="1" applyProtection="1">
      <alignment horizontal="left" vertical="center"/>
      <protection locked="0"/>
    </xf>
    <xf numFmtId="9" fontId="36" fillId="6" borderId="5" xfId="2" applyFont="1" applyFill="1" applyBorder="1" applyAlignment="1">
      <alignment horizontal="center" vertical="center" wrapText="1"/>
    </xf>
    <xf numFmtId="0" fontId="5" fillId="6" borderId="5" xfId="0" applyFont="1" applyFill="1" applyBorder="1" applyAlignment="1" applyProtection="1">
      <alignment horizontal="left" wrapText="1"/>
      <protection locked="0"/>
    </xf>
    <xf numFmtId="0" fontId="5" fillId="6" borderId="5" xfId="0" applyFont="1" applyFill="1" applyBorder="1" applyAlignment="1" applyProtection="1">
      <alignment vertical="center"/>
      <protection locked="0"/>
    </xf>
    <xf numFmtId="0" fontId="24" fillId="0" borderId="18" xfId="0" applyFont="1" applyBorder="1" applyAlignment="1">
      <alignment horizontal="left" vertical="center" wrapText="1"/>
    </xf>
    <xf numFmtId="0" fontId="24" fillId="0" borderId="8" xfId="0" applyFont="1" applyBorder="1" applyAlignment="1">
      <alignment vertical="center" wrapText="1"/>
    </xf>
    <xf numFmtId="0" fontId="24" fillId="0" borderId="29" xfId="0" applyFont="1" applyBorder="1" applyAlignment="1">
      <alignment vertical="center" wrapText="1"/>
    </xf>
    <xf numFmtId="0" fontId="24" fillId="0" borderId="8" xfId="0" applyFont="1" applyBorder="1" applyAlignment="1">
      <alignment horizontal="left" vertical="center" wrapText="1"/>
    </xf>
    <xf numFmtId="0" fontId="24" fillId="0" borderId="29" xfId="0" applyFont="1" applyBorder="1" applyAlignment="1">
      <alignment horizontal="left" vertical="center" wrapText="1"/>
    </xf>
    <xf numFmtId="0" fontId="24" fillId="0" borderId="5" xfId="0" applyFont="1" applyBorder="1" applyAlignment="1">
      <alignment vertical="center" wrapText="1"/>
    </xf>
    <xf numFmtId="0" fontId="13" fillId="14" borderId="5" xfId="0" applyFont="1" applyFill="1" applyBorder="1" applyAlignment="1">
      <alignment horizontal="center" vertical="center"/>
    </xf>
    <xf numFmtId="0" fontId="13" fillId="11" borderId="5" xfId="0" applyFont="1" applyFill="1" applyBorder="1" applyAlignment="1">
      <alignment horizontal="center" vertical="center"/>
    </xf>
    <xf numFmtId="0" fontId="23" fillId="16" borderId="11" xfId="0" applyFont="1" applyFill="1" applyBorder="1" applyAlignment="1">
      <alignment horizontal="center"/>
    </xf>
    <xf numFmtId="0" fontId="23" fillId="16" borderId="27" xfId="0" applyFont="1" applyFill="1" applyBorder="1" applyAlignment="1">
      <alignment horizontal="center"/>
    </xf>
    <xf numFmtId="0" fontId="23" fillId="16" borderId="13" xfId="0" applyFont="1" applyFill="1" applyBorder="1" applyAlignment="1">
      <alignment horizontal="center"/>
    </xf>
    <xf numFmtId="0" fontId="15" fillId="16" borderId="11" xfId="0" applyFont="1" applyFill="1" applyBorder="1" applyAlignment="1">
      <alignment horizontal="center" vertical="center" wrapText="1"/>
    </xf>
    <xf numFmtId="0" fontId="15" fillId="16" borderId="27" xfId="0" applyFont="1" applyFill="1" applyBorder="1" applyAlignment="1">
      <alignment horizontal="center" vertical="center" wrapText="1"/>
    </xf>
    <xf numFmtId="0" fontId="9" fillId="11" borderId="0" xfId="0" applyFont="1" applyFill="1" applyAlignment="1">
      <alignment horizontal="center" vertical="center"/>
    </xf>
    <xf numFmtId="0" fontId="10" fillId="5" borderId="26" xfId="0" applyFont="1" applyFill="1" applyBorder="1" applyAlignment="1">
      <alignment horizontal="center" vertical="center" wrapText="1"/>
    </xf>
    <xf numFmtId="0" fontId="10" fillId="5" borderId="12" xfId="0" applyFont="1" applyFill="1" applyBorder="1" applyAlignment="1">
      <alignment horizontal="center" vertical="center" wrapText="1"/>
    </xf>
    <xf numFmtId="0" fontId="10" fillId="5" borderId="23" xfId="0" applyFont="1" applyFill="1" applyBorder="1" applyAlignment="1">
      <alignment horizontal="center" vertical="center" wrapText="1"/>
    </xf>
    <xf numFmtId="0" fontId="10" fillId="5" borderId="31" xfId="0" applyFont="1" applyFill="1" applyBorder="1" applyAlignment="1">
      <alignment horizontal="center" vertical="center" wrapText="1"/>
    </xf>
    <xf numFmtId="0" fontId="10" fillId="9" borderId="11" xfId="0" applyFont="1" applyFill="1" applyBorder="1" applyAlignment="1">
      <alignment horizontal="center" vertical="center"/>
    </xf>
    <xf numFmtId="0" fontId="10" fillId="9" borderId="27" xfId="0" applyFont="1" applyFill="1" applyBorder="1" applyAlignment="1">
      <alignment horizontal="center" vertical="center"/>
    </xf>
    <xf numFmtId="0" fontId="10" fillId="9" borderId="13" xfId="0" applyFont="1" applyFill="1" applyBorder="1" applyAlignment="1">
      <alignment horizontal="center" vertical="center"/>
    </xf>
    <xf numFmtId="0" fontId="11" fillId="9" borderId="11" xfId="0" applyFont="1" applyFill="1" applyBorder="1" applyAlignment="1">
      <alignment horizontal="center" vertical="center"/>
    </xf>
    <xf numFmtId="0" fontId="11" fillId="9" borderId="13" xfId="0" applyFont="1" applyFill="1" applyBorder="1" applyAlignment="1">
      <alignment horizontal="center" vertical="center"/>
    </xf>
    <xf numFmtId="0" fontId="11" fillId="12" borderId="9" xfId="0" applyFont="1" applyFill="1" applyBorder="1" applyAlignment="1">
      <alignment horizontal="center" vertical="center"/>
    </xf>
    <xf numFmtId="0" fontId="11" fillId="12" borderId="16" xfId="0" applyFont="1" applyFill="1" applyBorder="1" applyAlignment="1">
      <alignment horizontal="center" vertical="center"/>
    </xf>
    <xf numFmtId="0" fontId="11" fillId="12" borderId="10" xfId="0" applyFont="1" applyFill="1" applyBorder="1" applyAlignment="1">
      <alignment horizontal="center" vertical="center"/>
    </xf>
    <xf numFmtId="0" fontId="13" fillId="14" borderId="5" xfId="0" applyFont="1" applyFill="1" applyBorder="1" applyAlignment="1">
      <alignment horizontal="center" vertical="center" wrapText="1"/>
    </xf>
    <xf numFmtId="0" fontId="24" fillId="0" borderId="17" xfId="0" applyFont="1" applyBorder="1" applyAlignment="1">
      <alignment horizontal="left" vertical="center" wrapText="1"/>
    </xf>
    <xf numFmtId="0" fontId="24" fillId="0" borderId="28" xfId="0" applyFont="1" applyBorder="1" applyAlignment="1">
      <alignment horizontal="left" vertical="center" wrapText="1"/>
    </xf>
    <xf numFmtId="0" fontId="0" fillId="0" borderId="17" xfId="0" applyBorder="1" applyAlignment="1">
      <alignment horizontal="left" vertical="top" wrapText="1"/>
    </xf>
    <xf numFmtId="0" fontId="0" fillId="0" borderId="28" xfId="0" applyBorder="1" applyAlignment="1">
      <alignment horizontal="left" vertical="top" wrapText="1"/>
    </xf>
    <xf numFmtId="0" fontId="0" fillId="0" borderId="28" xfId="0" applyBorder="1" applyAlignment="1">
      <alignment horizontal="left" vertical="top"/>
    </xf>
    <xf numFmtId="0" fontId="2" fillId="2" borderId="49"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22" fillId="18" borderId="17" xfId="0" applyFont="1" applyFill="1" applyBorder="1" applyAlignment="1">
      <alignment horizontal="left" vertical="top" wrapText="1"/>
    </xf>
    <xf numFmtId="0" fontId="22" fillId="18" borderId="34" xfId="0" applyFont="1" applyFill="1" applyBorder="1" applyAlignment="1">
      <alignment horizontal="left" vertical="top" wrapText="1"/>
    </xf>
    <xf numFmtId="0" fontId="22" fillId="18" borderId="28" xfId="0" applyFont="1" applyFill="1" applyBorder="1" applyAlignment="1">
      <alignment horizontal="left" vertical="top" wrapText="1"/>
    </xf>
    <xf numFmtId="0" fontId="3" fillId="5" borderId="5" xfId="0" applyFont="1" applyFill="1" applyBorder="1" applyAlignment="1">
      <alignment horizontal="center" vertical="center"/>
    </xf>
    <xf numFmtId="0" fontId="20" fillId="3" borderId="4" xfId="0" applyFont="1" applyFill="1" applyBorder="1" applyAlignment="1">
      <alignment horizontal="center" vertical="center" wrapText="1"/>
    </xf>
    <xf numFmtId="0" fontId="20" fillId="3" borderId="0" xfId="0" applyFont="1" applyFill="1" applyAlignment="1">
      <alignment horizontal="center" vertical="center" wrapText="1"/>
    </xf>
    <xf numFmtId="0" fontId="20" fillId="3" borderId="8" xfId="0" applyFont="1" applyFill="1" applyBorder="1" applyAlignment="1">
      <alignment horizontal="center" vertical="center" wrapText="1"/>
    </xf>
    <xf numFmtId="0" fontId="20" fillId="13" borderId="4" xfId="0" applyFont="1" applyFill="1" applyBorder="1" applyAlignment="1">
      <alignment horizontal="center" vertical="center" wrapText="1"/>
    </xf>
    <xf numFmtId="0" fontId="20" fillId="13" borderId="0" xfId="0" applyFont="1" applyFill="1" applyAlignment="1">
      <alignment horizontal="center" vertical="center" wrapText="1"/>
    </xf>
    <xf numFmtId="0" fontId="20" fillId="13" borderId="8" xfId="0" applyFont="1" applyFill="1" applyBorder="1" applyAlignment="1">
      <alignment horizontal="center" vertical="center" wrapText="1"/>
    </xf>
    <xf numFmtId="0" fontId="21" fillId="18" borderId="4" xfId="0" applyFont="1" applyFill="1" applyBorder="1" applyAlignment="1">
      <alignment horizontal="center" vertical="center" wrapText="1"/>
    </xf>
    <xf numFmtId="0" fontId="21" fillId="18" borderId="0" xfId="0" applyFont="1" applyFill="1" applyAlignment="1">
      <alignment horizontal="center" vertical="center" wrapText="1"/>
    </xf>
    <xf numFmtId="0" fontId="21" fillId="18" borderId="8" xfId="0" applyFont="1" applyFill="1" applyBorder="1" applyAlignment="1">
      <alignment horizontal="center" vertical="center" wrapText="1"/>
    </xf>
    <xf numFmtId="0" fontId="22" fillId="3" borderId="44" xfId="0" applyFont="1" applyFill="1" applyBorder="1" applyAlignment="1">
      <alignment horizontal="left" vertical="center" wrapText="1"/>
    </xf>
    <xf numFmtId="0" fontId="22" fillId="3" borderId="4" xfId="0" applyFont="1" applyFill="1" applyBorder="1" applyAlignment="1">
      <alignment horizontal="left" vertical="center" wrapText="1"/>
    </xf>
    <xf numFmtId="0" fontId="22" fillId="3" borderId="47" xfId="0" applyFont="1" applyFill="1" applyBorder="1" applyAlignment="1">
      <alignment horizontal="left" vertical="center" wrapText="1"/>
    </xf>
    <xf numFmtId="0" fontId="1" fillId="4" borderId="3"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22" fillId="13" borderId="39" xfId="0" applyFont="1" applyFill="1" applyBorder="1" applyAlignment="1">
      <alignment horizontal="left" vertical="top" wrapText="1"/>
    </xf>
    <xf numFmtId="0" fontId="22" fillId="13" borderId="40" xfId="0" applyFont="1" applyFill="1" applyBorder="1" applyAlignment="1">
      <alignment horizontal="left" vertical="top" wrapText="1"/>
    </xf>
    <xf numFmtId="0" fontId="22" fillId="13" borderId="38" xfId="0" applyFont="1" applyFill="1" applyBorder="1" applyAlignment="1">
      <alignment horizontal="left" vertical="top" wrapText="1"/>
    </xf>
    <xf numFmtId="0" fontId="2" fillId="2" borderId="35"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0" fillId="0" borderId="17" xfId="0" applyBorder="1" applyAlignment="1">
      <alignment horizontal="left" vertical="center" wrapText="1"/>
    </xf>
    <xf numFmtId="0" fontId="0" fillId="0" borderId="34" xfId="0" applyBorder="1" applyAlignment="1">
      <alignment horizontal="left" vertical="center"/>
    </xf>
    <xf numFmtId="0" fontId="0" fillId="0" borderId="28" xfId="0" applyBorder="1" applyAlignment="1">
      <alignment horizontal="left" vertical="center"/>
    </xf>
    <xf numFmtId="0" fontId="30" fillId="0" borderId="0" xfId="0" applyFont="1" applyAlignment="1" applyProtection="1">
      <alignment horizontal="center" vertical="center" wrapText="1"/>
      <protection locked="0"/>
    </xf>
    <xf numFmtId="0" fontId="30" fillId="0" borderId="0" xfId="0" applyFont="1" applyAlignment="1" applyProtection="1">
      <alignment horizontal="center" vertical="center"/>
      <protection locked="0"/>
    </xf>
    <xf numFmtId="0" fontId="4" fillId="10" borderId="0" xfId="0" applyFont="1" applyFill="1" applyAlignment="1" applyProtection="1">
      <alignment horizontal="left" vertical="center" wrapText="1"/>
      <protection locked="0"/>
    </xf>
    <xf numFmtId="0" fontId="6" fillId="0" borderId="5" xfId="0" applyFont="1" applyBorder="1" applyAlignment="1" applyProtection="1">
      <alignment horizontal="center" vertical="center" wrapText="1"/>
      <protection locked="0"/>
    </xf>
    <xf numFmtId="0" fontId="21" fillId="4" borderId="5" xfId="0" applyFont="1" applyFill="1" applyBorder="1" applyAlignment="1" applyProtection="1">
      <alignment horizontal="center" vertical="center" wrapText="1"/>
      <protection locked="0"/>
    </xf>
    <xf numFmtId="0" fontId="1" fillId="3" borderId="5"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29" xfId="0" applyBorder="1" applyAlignment="1" applyProtection="1">
      <alignment horizontal="center" vertical="center"/>
      <protection locked="0"/>
    </xf>
  </cellXfs>
  <cellStyles count="3">
    <cellStyle name="Normal" xfId="0" builtinId="0"/>
    <cellStyle name="Percent" xfId="2" builtinId="5"/>
    <cellStyle name="Percent 2" xfId="1" xr:uid="{00000000-0005-0000-0000-000001000000}"/>
  </cellStyles>
  <dxfs count="1673">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alignment horizontal="center" vertical="bottom" textRotation="0" wrapText="0" indent="0" justifyLastLine="0" shrinkToFit="0" readingOrder="0"/>
    </dxf>
  </dxfs>
  <tableStyles count="1" defaultTableStyle="TableStyleMedium2" defaultPivotStyle="PivotStyleLight16">
    <tableStyle name="Invisible" pivot="0" table="0" count="0" xr9:uid="{00000000-0011-0000-FFFF-FFFF00000000}"/>
  </tableStyles>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76" totalsRowShown="0">
  <autoFilter ref="A1:B76" xr:uid="{00000000-0009-0000-0100-000001000000}"/>
  <tableColumns count="2">
    <tableColumn id="1" xr3:uid="{00000000-0010-0000-0000-000001000000}" name="course code" dataDxfId="1672"/>
    <tableColumn id="2" xr3:uid="{00000000-0010-0000-0000-000002000000}" name="course name "/>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3:G21"/>
  <sheetViews>
    <sheetView topLeftCell="A10" zoomScale="80" zoomScaleNormal="80" workbookViewId="0">
      <selection activeCell="E13" sqref="E13"/>
    </sheetView>
  </sheetViews>
  <sheetFormatPr defaultRowHeight="15" x14ac:dyDescent="0.25"/>
  <cols>
    <col min="3" max="3" width="121.7109375" customWidth="1"/>
    <col min="4" max="4" width="7.140625" customWidth="1"/>
    <col min="5" max="5" width="85.140625" customWidth="1"/>
    <col min="6" max="6" width="47.5703125" customWidth="1"/>
    <col min="7" max="7" width="64.5703125" customWidth="1"/>
  </cols>
  <sheetData>
    <row r="3" spans="2:7" ht="15.75" thickBot="1" x14ac:dyDescent="0.3"/>
    <row r="4" spans="2:7" ht="15.4" customHeight="1" x14ac:dyDescent="0.25">
      <c r="B4" s="194" t="s">
        <v>0</v>
      </c>
      <c r="C4" s="194" t="s">
        <v>1</v>
      </c>
      <c r="D4" s="194" t="s">
        <v>0</v>
      </c>
      <c r="E4" s="196" t="s">
        <v>2</v>
      </c>
      <c r="F4" s="181" t="s">
        <v>3</v>
      </c>
      <c r="G4" s="181" t="s">
        <v>4</v>
      </c>
    </row>
    <row r="5" spans="2:7" ht="15.75" thickBot="1" x14ac:dyDescent="0.3">
      <c r="B5" s="195"/>
      <c r="C5" s="195"/>
      <c r="D5" s="195"/>
      <c r="E5" s="197"/>
      <c r="F5" s="181"/>
      <c r="G5" s="181"/>
    </row>
    <row r="6" spans="2:7" ht="27.4" customHeight="1" x14ac:dyDescent="0.25">
      <c r="B6" s="182" t="s">
        <v>5</v>
      </c>
      <c r="C6" s="183"/>
      <c r="D6" s="183"/>
      <c r="E6" s="183"/>
      <c r="F6" s="183"/>
      <c r="G6" s="184"/>
    </row>
    <row r="7" spans="2:7" ht="135.75" thickBot="1" x14ac:dyDescent="0.3">
      <c r="B7" s="68"/>
      <c r="C7" s="191" t="s">
        <v>6</v>
      </c>
      <c r="D7" s="71" t="s">
        <v>7</v>
      </c>
      <c r="E7" s="144" t="s">
        <v>1663</v>
      </c>
      <c r="F7" s="76" t="s">
        <v>8</v>
      </c>
      <c r="G7" s="204" t="s">
        <v>9</v>
      </c>
    </row>
    <row r="8" spans="2:7" ht="147.6" customHeight="1" thickBot="1" x14ac:dyDescent="0.3">
      <c r="B8" s="69"/>
      <c r="C8" s="192"/>
      <c r="D8" s="72" t="s">
        <v>10</v>
      </c>
      <c r="E8" s="145" t="s">
        <v>11</v>
      </c>
      <c r="F8" s="76" t="s">
        <v>12</v>
      </c>
      <c r="G8" s="205"/>
    </row>
    <row r="9" spans="2:7" ht="72.75" customHeight="1" x14ac:dyDescent="0.25">
      <c r="B9" s="70"/>
      <c r="C9" s="193"/>
      <c r="D9" s="73" t="s">
        <v>13</v>
      </c>
      <c r="E9" s="146" t="s">
        <v>14</v>
      </c>
      <c r="F9" s="76" t="s">
        <v>15</v>
      </c>
      <c r="G9" s="206"/>
    </row>
    <row r="10" spans="2:7" ht="25.15" customHeight="1" thickBot="1" x14ac:dyDescent="0.3">
      <c r="B10" s="185" t="s">
        <v>16</v>
      </c>
      <c r="C10" s="186"/>
      <c r="D10" s="186"/>
      <c r="E10" s="186"/>
      <c r="F10" s="186"/>
      <c r="G10" s="187"/>
    </row>
    <row r="11" spans="2:7" ht="147" customHeight="1" thickBot="1" x14ac:dyDescent="0.3">
      <c r="B11" s="201"/>
      <c r="C11" s="198" t="s">
        <v>17</v>
      </c>
      <c r="D11" s="68" t="s">
        <v>18</v>
      </c>
      <c r="E11" s="144" t="s">
        <v>19</v>
      </c>
      <c r="F11" s="76" t="s">
        <v>20</v>
      </c>
      <c r="G11" s="76" t="s">
        <v>21</v>
      </c>
    </row>
    <row r="12" spans="2:7" ht="123" customHeight="1" thickBot="1" x14ac:dyDescent="0.3">
      <c r="B12" s="202"/>
      <c r="C12" s="199"/>
      <c r="D12" s="69" t="s">
        <v>22</v>
      </c>
      <c r="E12" s="147" t="s">
        <v>23</v>
      </c>
      <c r="F12" s="75" t="s">
        <v>1505</v>
      </c>
      <c r="G12" s="76" t="s">
        <v>1506</v>
      </c>
    </row>
    <row r="13" spans="2:7" ht="118.9" customHeight="1" thickBot="1" x14ac:dyDescent="0.3">
      <c r="B13" s="203"/>
      <c r="C13" s="200"/>
      <c r="D13" s="70" t="s">
        <v>24</v>
      </c>
      <c r="E13" s="148" t="s">
        <v>25</v>
      </c>
      <c r="F13" s="76" t="s">
        <v>1505</v>
      </c>
      <c r="G13" s="76" t="s">
        <v>1507</v>
      </c>
    </row>
    <row r="14" spans="2:7" ht="93" customHeight="1" thickBot="1" x14ac:dyDescent="0.3">
      <c r="B14" s="67"/>
      <c r="C14" s="198" t="s">
        <v>26</v>
      </c>
      <c r="D14" s="68" t="s">
        <v>27</v>
      </c>
      <c r="E14" s="144" t="s">
        <v>28</v>
      </c>
      <c r="F14" s="76" t="s">
        <v>29</v>
      </c>
      <c r="G14" s="76" t="s">
        <v>30</v>
      </c>
    </row>
    <row r="15" spans="2:7" ht="104.45" customHeight="1" thickBot="1" x14ac:dyDescent="0.3">
      <c r="B15" s="18"/>
      <c r="C15" s="200"/>
      <c r="D15" s="70" t="s">
        <v>31</v>
      </c>
      <c r="E15" s="148" t="s">
        <v>32</v>
      </c>
      <c r="F15" s="76" t="s">
        <v>1509</v>
      </c>
      <c r="G15" s="76" t="s">
        <v>33</v>
      </c>
    </row>
    <row r="16" spans="2:7" ht="92.45" customHeight="1" thickBot="1" x14ac:dyDescent="0.3">
      <c r="B16" s="18"/>
      <c r="C16" s="198" t="s">
        <v>34</v>
      </c>
      <c r="D16" s="68" t="s">
        <v>35</v>
      </c>
      <c r="E16" s="144" t="s">
        <v>36</v>
      </c>
      <c r="F16" s="76" t="s">
        <v>37</v>
      </c>
      <c r="G16" s="76" t="s">
        <v>38</v>
      </c>
    </row>
    <row r="17" spans="2:7" ht="135" customHeight="1" thickBot="1" x14ac:dyDescent="0.3">
      <c r="B17" s="18"/>
      <c r="C17" s="200"/>
      <c r="D17" s="70" t="s">
        <v>39</v>
      </c>
      <c r="E17" s="148" t="s">
        <v>40</v>
      </c>
      <c r="F17" s="76" t="s">
        <v>1508</v>
      </c>
      <c r="G17" s="76" t="s">
        <v>41</v>
      </c>
    </row>
    <row r="18" spans="2:7" ht="25.5" customHeight="1" thickBot="1" x14ac:dyDescent="0.3">
      <c r="B18" s="188" t="s">
        <v>42</v>
      </c>
      <c r="C18" s="189"/>
      <c r="D18" s="189"/>
      <c r="E18" s="189"/>
      <c r="F18" s="189"/>
      <c r="G18" s="190"/>
    </row>
    <row r="19" spans="2:7" ht="153" customHeight="1" thickBot="1" x14ac:dyDescent="0.3">
      <c r="B19" s="18"/>
      <c r="C19" s="178" t="s">
        <v>43</v>
      </c>
      <c r="D19" s="70" t="s">
        <v>44</v>
      </c>
      <c r="E19" s="149" t="s">
        <v>45</v>
      </c>
      <c r="F19" s="76" t="s">
        <v>46</v>
      </c>
      <c r="G19" s="76" t="s">
        <v>47</v>
      </c>
    </row>
    <row r="20" spans="2:7" ht="78.75" customHeight="1" thickBot="1" x14ac:dyDescent="0.3">
      <c r="B20" s="18"/>
      <c r="C20" s="179"/>
      <c r="D20" s="176" t="s">
        <v>48</v>
      </c>
      <c r="E20" s="171" t="s">
        <v>49</v>
      </c>
      <c r="F20" s="173" t="s">
        <v>50</v>
      </c>
      <c r="G20" s="173" t="s">
        <v>47</v>
      </c>
    </row>
    <row r="21" spans="2:7" ht="56.45" customHeight="1" thickBot="1" x14ac:dyDescent="0.3">
      <c r="B21" s="18"/>
      <c r="C21" s="180"/>
      <c r="D21" s="177"/>
      <c r="E21" s="172"/>
      <c r="F21" s="174"/>
      <c r="G21" s="175"/>
    </row>
  </sheetData>
  <mergeCells count="20">
    <mergeCell ref="G4:G5"/>
    <mergeCell ref="B6:G6"/>
    <mergeCell ref="B10:G10"/>
    <mergeCell ref="B18:G18"/>
    <mergeCell ref="C7:C9"/>
    <mergeCell ref="B4:B5"/>
    <mergeCell ref="E4:E5"/>
    <mergeCell ref="F4:F5"/>
    <mergeCell ref="C4:C5"/>
    <mergeCell ref="D4:D5"/>
    <mergeCell ref="C11:C13"/>
    <mergeCell ref="B11:B13"/>
    <mergeCell ref="G7:G9"/>
    <mergeCell ref="C14:C15"/>
    <mergeCell ref="C16:C17"/>
    <mergeCell ref="E20:E21"/>
    <mergeCell ref="F20:F21"/>
    <mergeCell ref="G20:G21"/>
    <mergeCell ref="D20:D21"/>
    <mergeCell ref="C19:C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2:T82"/>
  <sheetViews>
    <sheetView zoomScaleNormal="100" workbookViewId="0">
      <pane ySplit="6" topLeftCell="A15" activePane="bottomLeft" state="frozen"/>
      <selection pane="bottomLeft" activeCell="I23" sqref="I23"/>
    </sheetView>
  </sheetViews>
  <sheetFormatPr defaultColWidth="8.85546875" defaultRowHeight="15" x14ac:dyDescent="0.25"/>
  <cols>
    <col min="1" max="1" width="7.85546875" style="19" customWidth="1"/>
    <col min="2" max="2" width="8.85546875" style="19" bestFit="1" customWidth="1"/>
    <col min="3" max="3" width="22.140625" style="19" customWidth="1"/>
    <col min="4" max="4" width="10.7109375" style="77" customWidth="1"/>
    <col min="5" max="5" width="9.85546875" style="77" customWidth="1"/>
    <col min="6" max="6" width="9.42578125" style="77" customWidth="1"/>
    <col min="7" max="7" width="9.7109375" style="77" customWidth="1"/>
    <col min="8" max="8" width="9" style="19" customWidth="1"/>
    <col min="9" max="9" width="8.85546875" style="19" customWidth="1"/>
    <col min="10" max="10" width="8.28515625" style="19" customWidth="1"/>
    <col min="11" max="11" width="8.85546875" style="19" customWidth="1"/>
    <col min="12" max="12" width="9.7109375" style="19" customWidth="1"/>
    <col min="13" max="13" width="8.85546875" style="19" customWidth="1"/>
    <col min="14" max="14" width="10.28515625" style="19" customWidth="1"/>
    <col min="15" max="15" width="10.7109375" style="19" customWidth="1"/>
    <col min="16" max="17" width="8.85546875" style="19"/>
    <col min="18" max="18" width="11.5703125" style="20" customWidth="1"/>
    <col min="19" max="19" width="13.140625" style="20" customWidth="1"/>
    <col min="20" max="16384" width="8.85546875" style="19"/>
  </cols>
  <sheetData>
    <row r="2" spans="2:20" ht="40.9" customHeight="1" x14ac:dyDescent="0.25">
      <c r="C2" s="209" t="s">
        <v>1655</v>
      </c>
      <c r="D2" s="209"/>
      <c r="E2" s="209"/>
      <c r="F2" s="209"/>
      <c r="G2" s="209"/>
      <c r="H2" s="209"/>
      <c r="I2" s="209"/>
      <c r="J2" s="209"/>
      <c r="K2" s="209"/>
      <c r="L2" s="209"/>
      <c r="M2" s="209"/>
      <c r="N2" s="209"/>
      <c r="O2" s="209"/>
    </row>
    <row r="4" spans="2:20" ht="28.9" customHeight="1" x14ac:dyDescent="0.25">
      <c r="C4" s="211" t="s">
        <v>51</v>
      </c>
      <c r="D4" s="211" t="s">
        <v>2</v>
      </c>
      <c r="E4" s="211"/>
      <c r="F4" s="211"/>
      <c r="G4" s="211"/>
      <c r="H4" s="211"/>
      <c r="I4" s="211"/>
      <c r="J4" s="211"/>
      <c r="K4" s="211"/>
      <c r="L4" s="211"/>
      <c r="M4" s="211"/>
      <c r="N4" s="211"/>
      <c r="O4" s="211"/>
    </row>
    <row r="5" spans="2:20" ht="41.65" customHeight="1" x14ac:dyDescent="0.25">
      <c r="C5" s="211"/>
      <c r="D5" s="212" t="s">
        <v>52</v>
      </c>
      <c r="E5" s="212"/>
      <c r="F5" s="212"/>
      <c r="G5" s="212" t="s">
        <v>16</v>
      </c>
      <c r="H5" s="212"/>
      <c r="I5" s="212"/>
      <c r="J5" s="212"/>
      <c r="K5" s="212"/>
      <c r="L5" s="212"/>
      <c r="M5" s="212"/>
      <c r="N5" s="212" t="s">
        <v>53</v>
      </c>
      <c r="O5" s="212"/>
    </row>
    <row r="6" spans="2:20" ht="26.25" customHeight="1" x14ac:dyDescent="0.25">
      <c r="C6" s="211"/>
      <c r="D6" s="106" t="s">
        <v>7</v>
      </c>
      <c r="E6" s="106" t="s">
        <v>10</v>
      </c>
      <c r="F6" s="106" t="s">
        <v>13</v>
      </c>
      <c r="G6" s="106" t="s">
        <v>18</v>
      </c>
      <c r="H6" s="106" t="s">
        <v>22</v>
      </c>
      <c r="I6" s="106" t="s">
        <v>24</v>
      </c>
      <c r="J6" s="106" t="s">
        <v>35</v>
      </c>
      <c r="K6" s="106" t="s">
        <v>27</v>
      </c>
      <c r="L6" s="106" t="s">
        <v>39</v>
      </c>
      <c r="M6" s="106" t="s">
        <v>31</v>
      </c>
      <c r="N6" s="106" t="s">
        <v>44</v>
      </c>
      <c r="O6" s="106" t="s">
        <v>48</v>
      </c>
      <c r="R6" s="210" t="s">
        <v>54</v>
      </c>
      <c r="S6" s="210"/>
    </row>
    <row r="7" spans="2:20" ht="21.4" customHeight="1" x14ac:dyDescent="0.25">
      <c r="B7" s="213">
        <v>1</v>
      </c>
      <c r="C7" s="107" t="s">
        <v>55</v>
      </c>
      <c r="D7" s="108">
        <f>D80</f>
        <v>1.5384615384615385E-2</v>
      </c>
      <c r="E7" s="110"/>
      <c r="F7" s="110"/>
      <c r="G7" s="110"/>
      <c r="H7" s="110"/>
      <c r="I7" s="110"/>
      <c r="J7" s="110"/>
      <c r="K7" s="110"/>
      <c r="L7" s="108">
        <f>L80</f>
        <v>3.3333333333333333E-2</v>
      </c>
      <c r="M7" s="108">
        <f>M80</f>
        <v>2.5000000000000001E-2</v>
      </c>
      <c r="N7" s="109">
        <v>0.04</v>
      </c>
      <c r="O7" s="110"/>
      <c r="R7" s="21"/>
      <c r="S7" s="5" t="s">
        <v>56</v>
      </c>
      <c r="T7" s="19">
        <v>20</v>
      </c>
    </row>
    <row r="8" spans="2:20" ht="21.4" customHeight="1" x14ac:dyDescent="0.25">
      <c r="B8" s="213"/>
      <c r="C8" s="107" t="s">
        <v>57</v>
      </c>
      <c r="D8" s="108">
        <f>D80</f>
        <v>1.5384615384615385E-2</v>
      </c>
      <c r="E8" s="110"/>
      <c r="F8" s="110"/>
      <c r="G8" s="110"/>
      <c r="H8" s="110"/>
      <c r="I8" s="110"/>
      <c r="J8" s="108">
        <f>J80</f>
        <v>0.05</v>
      </c>
      <c r="K8" s="110"/>
      <c r="L8" s="110"/>
      <c r="M8" s="110"/>
      <c r="N8" s="110"/>
      <c r="O8" s="110"/>
      <c r="R8" s="22"/>
      <c r="S8" s="5" t="s">
        <v>58</v>
      </c>
      <c r="T8" s="19">
        <v>40</v>
      </c>
    </row>
    <row r="9" spans="2:20" ht="21.4" customHeight="1" x14ac:dyDescent="0.25">
      <c r="B9" s="213"/>
      <c r="C9" s="107" t="s">
        <v>59</v>
      </c>
      <c r="D9" s="108">
        <f>D80</f>
        <v>1.5384615384615385E-2</v>
      </c>
      <c r="E9" s="110"/>
      <c r="F9" s="110"/>
      <c r="G9" s="110"/>
      <c r="H9" s="110"/>
      <c r="I9" s="110"/>
      <c r="J9" s="110"/>
      <c r="K9" s="110"/>
      <c r="L9" s="108">
        <f>L80</f>
        <v>3.3333333333333333E-2</v>
      </c>
      <c r="M9" s="110"/>
      <c r="N9" s="110"/>
      <c r="O9" s="127"/>
      <c r="R9" s="23"/>
      <c r="S9" s="5" t="s">
        <v>60</v>
      </c>
      <c r="T9" s="19">
        <v>40</v>
      </c>
    </row>
    <row r="10" spans="2:20" ht="21.4" customHeight="1" x14ac:dyDescent="0.25">
      <c r="B10" s="213"/>
      <c r="C10" s="107" t="s">
        <v>61</v>
      </c>
      <c r="D10" s="108">
        <f>D80</f>
        <v>1.5384615384615385E-2</v>
      </c>
      <c r="E10" s="110"/>
      <c r="F10" s="110"/>
      <c r="G10" s="110"/>
      <c r="H10" s="110"/>
      <c r="I10" s="110"/>
      <c r="J10" s="108">
        <f>J80</f>
        <v>0.05</v>
      </c>
      <c r="K10" s="110"/>
      <c r="L10" s="110"/>
      <c r="M10" s="110"/>
      <c r="N10" s="108">
        <f>N80</f>
        <v>0.04</v>
      </c>
      <c r="O10" s="127"/>
    </row>
    <row r="11" spans="2:20" ht="21.4" customHeight="1" x14ac:dyDescent="0.25">
      <c r="B11" s="213"/>
      <c r="C11" s="107" t="s">
        <v>62</v>
      </c>
      <c r="D11" s="108">
        <f>D80</f>
        <v>1.5384615384615385E-2</v>
      </c>
      <c r="E11" s="110"/>
      <c r="F11" s="110"/>
      <c r="G11" s="110"/>
      <c r="H11" s="110"/>
      <c r="I11" s="108">
        <f>I80</f>
        <v>2.5000000000000001E-2</v>
      </c>
      <c r="J11" s="110"/>
      <c r="K11" s="110"/>
      <c r="L11" s="108">
        <f>L80</f>
        <v>3.3333333333333333E-2</v>
      </c>
      <c r="M11" s="117"/>
      <c r="N11" s="110"/>
      <c r="O11" s="110"/>
    </row>
    <row r="12" spans="2:20" ht="21.4" customHeight="1" x14ac:dyDescent="0.25">
      <c r="B12" s="213"/>
      <c r="C12" s="107" t="s">
        <v>63</v>
      </c>
      <c r="D12" s="110"/>
      <c r="E12" s="108">
        <f>E80</f>
        <v>2.2222222222222223E-2</v>
      </c>
      <c r="F12" s="110"/>
      <c r="G12" s="110"/>
      <c r="H12" s="110"/>
      <c r="I12" s="110"/>
      <c r="J12" s="110"/>
      <c r="K12" s="110"/>
      <c r="L12" s="110"/>
      <c r="M12" s="108">
        <f>M80</f>
        <v>2.5000000000000001E-2</v>
      </c>
      <c r="N12" s="110"/>
      <c r="O12" s="110"/>
    </row>
    <row r="13" spans="2:20" ht="21.4" customHeight="1" x14ac:dyDescent="0.25">
      <c r="B13" s="213"/>
      <c r="C13" s="107" t="s">
        <v>64</v>
      </c>
      <c r="D13" s="110"/>
      <c r="E13" s="108">
        <f>E80</f>
        <v>2.2222222222222223E-2</v>
      </c>
      <c r="F13" s="110"/>
      <c r="G13" s="110"/>
      <c r="H13" s="117"/>
      <c r="I13" s="110"/>
      <c r="J13" s="110"/>
      <c r="K13" s="110"/>
      <c r="L13" s="108">
        <f>L80</f>
        <v>3.3333333333333333E-2</v>
      </c>
      <c r="M13" s="108">
        <f>M80</f>
        <v>2.5000000000000001E-2</v>
      </c>
      <c r="N13" s="110"/>
      <c r="O13" s="110"/>
    </row>
    <row r="14" spans="2:20" ht="21.4" customHeight="1" x14ac:dyDescent="0.25">
      <c r="B14" s="213"/>
      <c r="C14" s="107" t="s">
        <v>65</v>
      </c>
      <c r="D14" s="110"/>
      <c r="E14" s="108">
        <f>E80</f>
        <v>2.2222222222222223E-2</v>
      </c>
      <c r="F14" s="110"/>
      <c r="G14" s="110"/>
      <c r="H14" s="110"/>
      <c r="I14" s="108">
        <f>I80</f>
        <v>2.5000000000000001E-2</v>
      </c>
      <c r="J14" s="110"/>
      <c r="K14" s="110"/>
      <c r="L14" s="108">
        <f>L80</f>
        <v>3.3333333333333333E-2</v>
      </c>
      <c r="M14" s="108">
        <f>M80</f>
        <v>2.5000000000000001E-2</v>
      </c>
      <c r="N14" s="110"/>
      <c r="O14" s="110"/>
    </row>
    <row r="15" spans="2:20" ht="21.4" customHeight="1" x14ac:dyDescent="0.25">
      <c r="B15" s="213"/>
      <c r="C15" s="107" t="s">
        <v>66</v>
      </c>
      <c r="D15" s="108">
        <f>D80</f>
        <v>1.5384615384615385E-2</v>
      </c>
      <c r="E15" s="110"/>
      <c r="F15" s="110"/>
      <c r="G15" s="108">
        <f>G80</f>
        <v>0.05</v>
      </c>
      <c r="H15" s="110"/>
      <c r="I15" s="110"/>
      <c r="J15" s="108">
        <f>J80</f>
        <v>0.05</v>
      </c>
      <c r="K15" s="110"/>
      <c r="L15" s="110"/>
      <c r="M15" s="110"/>
      <c r="N15" s="108">
        <f>N80</f>
        <v>0.04</v>
      </c>
      <c r="O15" s="117"/>
    </row>
    <row r="16" spans="2:20" ht="21.4" customHeight="1" x14ac:dyDescent="0.25">
      <c r="B16" s="213"/>
      <c r="C16" s="107" t="s">
        <v>67</v>
      </c>
      <c r="D16" s="108">
        <f>D80</f>
        <v>1.5384615384615385E-2</v>
      </c>
      <c r="E16" s="110"/>
      <c r="F16" s="110"/>
      <c r="G16" s="110"/>
      <c r="H16" s="117"/>
      <c r="I16" s="110"/>
      <c r="J16" s="108">
        <f>J80</f>
        <v>0.05</v>
      </c>
      <c r="K16" s="110"/>
      <c r="L16" s="110"/>
      <c r="M16" s="110"/>
      <c r="N16" s="108">
        <f>N80</f>
        <v>0.04</v>
      </c>
      <c r="O16" s="110"/>
    </row>
    <row r="17" spans="2:15" ht="21.4" customHeight="1" x14ac:dyDescent="0.25">
      <c r="B17" s="214">
        <v>2</v>
      </c>
      <c r="C17" s="107" t="s">
        <v>68</v>
      </c>
      <c r="D17" s="108">
        <f>D80</f>
        <v>1.5384615384615385E-2</v>
      </c>
      <c r="E17" s="108">
        <f>E80</f>
        <v>2.2222222222222223E-2</v>
      </c>
      <c r="F17" s="110"/>
      <c r="G17" s="110"/>
      <c r="H17" s="110"/>
      <c r="I17" s="108">
        <f>I80</f>
        <v>2.5000000000000001E-2</v>
      </c>
      <c r="J17" s="110"/>
      <c r="K17" s="110"/>
      <c r="L17" s="110"/>
      <c r="M17" s="108">
        <f>M80</f>
        <v>2.5000000000000001E-2</v>
      </c>
      <c r="N17" s="110"/>
      <c r="O17" s="110"/>
    </row>
    <row r="18" spans="2:15" ht="21.4" customHeight="1" x14ac:dyDescent="0.25">
      <c r="B18" s="213"/>
      <c r="C18" s="107" t="s">
        <v>69</v>
      </c>
      <c r="D18" s="110"/>
      <c r="E18" s="108">
        <f>E80</f>
        <v>2.2222222222222223E-2</v>
      </c>
      <c r="F18" s="110"/>
      <c r="G18" s="110"/>
      <c r="H18" s="110"/>
      <c r="I18" s="108">
        <f>I80</f>
        <v>2.5000000000000001E-2</v>
      </c>
      <c r="J18" s="110"/>
      <c r="K18" s="110"/>
      <c r="L18" s="110"/>
      <c r="M18" s="110"/>
      <c r="N18" s="110"/>
      <c r="O18" s="110"/>
    </row>
    <row r="19" spans="2:15" ht="21.4" customHeight="1" x14ac:dyDescent="0.25">
      <c r="B19" s="213"/>
      <c r="C19" s="107" t="s">
        <v>70</v>
      </c>
      <c r="D19" s="108">
        <f>D80</f>
        <v>1.5384615384615385E-2</v>
      </c>
      <c r="E19" s="110"/>
      <c r="F19" s="110"/>
      <c r="G19" s="110"/>
      <c r="H19" s="141"/>
      <c r="I19" s="109">
        <f>L80</f>
        <v>3.3333333333333333E-2</v>
      </c>
      <c r="J19" s="110"/>
      <c r="K19" s="110"/>
      <c r="L19" s="110"/>
      <c r="M19" s="110"/>
      <c r="N19" s="110"/>
      <c r="O19" s="110"/>
    </row>
    <row r="20" spans="2:15" ht="21.4" customHeight="1" x14ac:dyDescent="0.25">
      <c r="B20" s="213"/>
      <c r="C20" s="107" t="s">
        <v>71</v>
      </c>
      <c r="D20" s="117"/>
      <c r="E20" s="108">
        <f>E80</f>
        <v>2.2222222222222223E-2</v>
      </c>
      <c r="F20" s="110"/>
      <c r="G20" s="110"/>
      <c r="H20" s="110"/>
      <c r="I20" s="108">
        <f>I80</f>
        <v>2.5000000000000001E-2</v>
      </c>
      <c r="J20" s="110"/>
      <c r="K20" s="110"/>
      <c r="L20" s="110"/>
      <c r="M20" s="110"/>
      <c r="N20" s="110"/>
      <c r="O20" s="110"/>
    </row>
    <row r="21" spans="2:15" ht="21.4" customHeight="1" x14ac:dyDescent="0.25">
      <c r="B21" s="213"/>
      <c r="C21" s="107" t="s">
        <v>72</v>
      </c>
      <c r="D21" s="108">
        <f>D80</f>
        <v>1.5384615384615385E-2</v>
      </c>
      <c r="E21" s="110"/>
      <c r="F21" s="108">
        <f>F80</f>
        <v>0.1</v>
      </c>
      <c r="G21" s="110"/>
      <c r="H21" s="108">
        <f>H80</f>
        <v>0.04</v>
      </c>
      <c r="I21" s="110"/>
      <c r="J21" s="126"/>
      <c r="K21" s="110"/>
      <c r="L21" s="110"/>
      <c r="M21" s="109">
        <f>M80</f>
        <v>2.5000000000000001E-2</v>
      </c>
      <c r="N21" s="110"/>
      <c r="O21" s="109">
        <f>O80</f>
        <v>6.6666666666666666E-2</v>
      </c>
    </row>
    <row r="22" spans="2:15" ht="21.4" customHeight="1" x14ac:dyDescent="0.25">
      <c r="B22" s="213"/>
      <c r="C22" s="107" t="s">
        <v>165</v>
      </c>
      <c r="D22" s="108">
        <f>D80</f>
        <v>1.5384615384615385E-2</v>
      </c>
      <c r="E22" s="108">
        <f>E80</f>
        <v>2.2222222222222223E-2</v>
      </c>
      <c r="F22" s="110"/>
      <c r="G22" s="110"/>
      <c r="H22" s="110"/>
      <c r="I22" s="117"/>
      <c r="J22" s="110"/>
      <c r="K22" s="108">
        <f>K80</f>
        <v>6.6666666666666666E-2</v>
      </c>
      <c r="L22" s="110"/>
      <c r="M22" s="109">
        <f>M80</f>
        <v>2.5000000000000001E-2</v>
      </c>
      <c r="N22" s="110"/>
      <c r="O22" s="110"/>
    </row>
    <row r="23" spans="2:15" ht="21.4" customHeight="1" x14ac:dyDescent="0.25">
      <c r="B23" s="213"/>
      <c r="C23" s="107" t="s">
        <v>74</v>
      </c>
      <c r="D23" s="117"/>
      <c r="E23" s="108">
        <f>E80</f>
        <v>2.2222222222222223E-2</v>
      </c>
      <c r="F23" s="110"/>
      <c r="G23" s="110"/>
      <c r="H23" s="108">
        <f>H80</f>
        <v>0.04</v>
      </c>
      <c r="I23" s="109">
        <f>L80</f>
        <v>3.3333333333333333E-2</v>
      </c>
      <c r="J23" s="110"/>
      <c r="K23" s="110"/>
      <c r="L23" s="110"/>
      <c r="M23" s="110"/>
      <c r="N23" s="110"/>
      <c r="O23" s="110"/>
    </row>
    <row r="24" spans="2:15" ht="21.4" customHeight="1" x14ac:dyDescent="0.25">
      <c r="B24" s="213"/>
      <c r="C24" s="107" t="s">
        <v>75</v>
      </c>
      <c r="D24" s="108">
        <f>D80</f>
        <v>1.5384615384615385E-2</v>
      </c>
      <c r="E24" s="117"/>
      <c r="F24" s="110"/>
      <c r="G24" s="110"/>
      <c r="H24" s="110"/>
      <c r="I24" s="108">
        <f>I80</f>
        <v>2.5000000000000001E-2</v>
      </c>
      <c r="J24" s="110"/>
      <c r="K24" s="110"/>
      <c r="L24" s="110"/>
      <c r="M24" s="110"/>
      <c r="N24" s="110"/>
      <c r="O24" s="110"/>
    </row>
    <row r="25" spans="2:15" ht="21" customHeight="1" x14ac:dyDescent="0.25">
      <c r="B25" s="213"/>
      <c r="C25" s="107" t="s">
        <v>76</v>
      </c>
      <c r="D25" s="117"/>
      <c r="E25" s="108">
        <f>E80</f>
        <v>2.2222222222222223E-2</v>
      </c>
      <c r="F25" s="110"/>
      <c r="G25" s="110"/>
      <c r="H25" s="110"/>
      <c r="I25" s="110"/>
      <c r="J25" s="110"/>
      <c r="K25" s="110"/>
      <c r="L25" s="109">
        <f>L80</f>
        <v>3.3333333333333333E-2</v>
      </c>
      <c r="M25" s="109">
        <f>M80</f>
        <v>2.5000000000000001E-2</v>
      </c>
      <c r="N25" s="110"/>
      <c r="O25" s="110"/>
    </row>
    <row r="26" spans="2:15" ht="19.5" customHeight="1" x14ac:dyDescent="0.25">
      <c r="B26" s="213"/>
      <c r="C26" s="107" t="s">
        <v>77</v>
      </c>
      <c r="D26" s="117"/>
      <c r="E26" s="117"/>
      <c r="F26" s="108">
        <f>F80</f>
        <v>0.1</v>
      </c>
      <c r="G26" s="108">
        <f>G80</f>
        <v>0.05</v>
      </c>
      <c r="H26" s="110"/>
      <c r="I26" s="110"/>
      <c r="J26" s="110"/>
      <c r="K26" s="108">
        <f>K80</f>
        <v>6.6666666666666666E-2</v>
      </c>
      <c r="L26" s="112">
        <f>L81</f>
        <v>6.6666666666666666E-2</v>
      </c>
      <c r="M26" s="110"/>
      <c r="N26" s="108">
        <f>N80</f>
        <v>0.04</v>
      </c>
      <c r="O26" s="109">
        <f>O80</f>
        <v>6.6666666666666666E-2</v>
      </c>
    </row>
    <row r="27" spans="2:15" ht="23.25" customHeight="1" x14ac:dyDescent="0.25">
      <c r="B27" s="215"/>
      <c r="C27" s="107" t="s">
        <v>78</v>
      </c>
      <c r="D27" s="117"/>
      <c r="E27" s="111">
        <f>E81</f>
        <v>3.6363636363636369E-2</v>
      </c>
      <c r="F27" s="110"/>
      <c r="G27" s="110"/>
      <c r="H27" s="110"/>
      <c r="I27" s="110"/>
      <c r="J27" s="110"/>
      <c r="K27" s="110"/>
      <c r="L27" s="112">
        <f>L81</f>
        <v>6.6666666666666666E-2</v>
      </c>
      <c r="M27" s="110"/>
      <c r="N27" s="110"/>
      <c r="O27" s="110"/>
    </row>
    <row r="28" spans="2:15" ht="22.5" customHeight="1" x14ac:dyDescent="0.25">
      <c r="B28" s="213">
        <v>3</v>
      </c>
      <c r="C28" s="107" t="s">
        <v>79</v>
      </c>
      <c r="D28" s="111">
        <f>D81</f>
        <v>2.2222222222222223E-2</v>
      </c>
      <c r="E28" s="111">
        <f>E81</f>
        <v>3.6363636363636369E-2</v>
      </c>
      <c r="F28" s="110"/>
      <c r="G28" s="110"/>
      <c r="H28" s="110"/>
      <c r="I28" s="111">
        <f>I81</f>
        <v>2.3529411764705882E-2</v>
      </c>
      <c r="J28" s="110"/>
      <c r="K28" s="109">
        <f>K80</f>
        <v>6.6666666666666666E-2</v>
      </c>
      <c r="L28" s="110"/>
      <c r="M28" s="117"/>
      <c r="N28" s="110"/>
      <c r="O28" s="110"/>
    </row>
    <row r="29" spans="2:15" ht="21.75" customHeight="1" x14ac:dyDescent="0.25">
      <c r="B29" s="213"/>
      <c r="C29" s="107" t="s">
        <v>80</v>
      </c>
      <c r="D29" s="110"/>
      <c r="E29" s="111">
        <f>E81</f>
        <v>3.6363636363636369E-2</v>
      </c>
      <c r="F29" s="110"/>
      <c r="G29" s="110"/>
      <c r="H29" s="110"/>
      <c r="I29" s="111">
        <f>I81</f>
        <v>2.3529411764705882E-2</v>
      </c>
      <c r="J29" s="110"/>
      <c r="K29" s="110"/>
      <c r="L29" s="110"/>
      <c r="M29" s="110"/>
      <c r="N29" s="110"/>
      <c r="O29" s="110"/>
    </row>
    <row r="30" spans="2:15" ht="24" customHeight="1" x14ac:dyDescent="0.25">
      <c r="B30" s="213"/>
      <c r="C30" s="107" t="s">
        <v>81</v>
      </c>
      <c r="D30" s="111">
        <f>D81</f>
        <v>2.2222222222222223E-2</v>
      </c>
      <c r="E30" s="111">
        <f>E81</f>
        <v>3.6363636363636369E-2</v>
      </c>
      <c r="F30" s="110"/>
      <c r="G30" s="110"/>
      <c r="H30" s="110"/>
      <c r="I30" s="111">
        <f>I81</f>
        <v>2.3529411764705882E-2</v>
      </c>
      <c r="J30" s="110"/>
      <c r="K30" s="110"/>
      <c r="L30" s="110"/>
      <c r="M30" s="111">
        <f>M81</f>
        <v>6.6666666666666666E-2</v>
      </c>
      <c r="N30" s="110"/>
      <c r="O30" s="110"/>
    </row>
    <row r="31" spans="2:15" ht="21" customHeight="1" x14ac:dyDescent="0.25">
      <c r="B31" s="213"/>
      <c r="C31" s="107" t="s">
        <v>82</v>
      </c>
      <c r="D31" s="111">
        <f>D81</f>
        <v>2.2222222222222223E-2</v>
      </c>
      <c r="E31" s="110"/>
      <c r="F31" s="110"/>
      <c r="G31" s="110"/>
      <c r="H31" s="108">
        <f>H80</f>
        <v>0.04</v>
      </c>
      <c r="I31" s="110"/>
      <c r="J31" s="111">
        <f>J81</f>
        <v>0.04</v>
      </c>
      <c r="K31" s="110"/>
      <c r="L31" s="110"/>
      <c r="M31" s="112">
        <f>M81</f>
        <v>6.6666666666666666E-2</v>
      </c>
      <c r="N31" s="110"/>
      <c r="O31" s="110"/>
    </row>
    <row r="32" spans="2:15" ht="19.5" customHeight="1" x14ac:dyDescent="0.25">
      <c r="B32" s="213"/>
      <c r="C32" s="107" t="s">
        <v>83</v>
      </c>
      <c r="D32" s="110"/>
      <c r="E32" s="111">
        <f>E81</f>
        <v>3.6363636363636369E-2</v>
      </c>
      <c r="F32" s="110"/>
      <c r="G32" s="110"/>
      <c r="H32" s="110"/>
      <c r="I32" s="111">
        <f>I81</f>
        <v>2.3529411764705882E-2</v>
      </c>
      <c r="J32" s="110"/>
      <c r="K32" s="110"/>
      <c r="L32" s="110"/>
      <c r="M32" s="110"/>
      <c r="N32" s="110"/>
      <c r="O32" s="110"/>
    </row>
    <row r="33" spans="2:15" ht="21" customHeight="1" x14ac:dyDescent="0.25">
      <c r="B33" s="213"/>
      <c r="C33" s="107" t="s">
        <v>84</v>
      </c>
      <c r="D33" s="111">
        <f>D81</f>
        <v>2.2222222222222223E-2</v>
      </c>
      <c r="E33" s="110"/>
      <c r="F33" s="110"/>
      <c r="G33" s="108">
        <f>G80</f>
        <v>0.05</v>
      </c>
      <c r="H33" s="108">
        <f>H80</f>
        <v>0.04</v>
      </c>
      <c r="I33" s="111">
        <f>I81</f>
        <v>2.3529411764705882E-2</v>
      </c>
      <c r="J33" s="117"/>
      <c r="K33" s="110"/>
      <c r="L33" s="110"/>
      <c r="M33" s="110"/>
      <c r="N33" s="110"/>
      <c r="O33" s="110"/>
    </row>
    <row r="34" spans="2:15" ht="21" customHeight="1" x14ac:dyDescent="0.25">
      <c r="B34" s="213"/>
      <c r="C34" s="107" t="s">
        <v>85</v>
      </c>
      <c r="D34" s="111">
        <f>D81</f>
        <v>2.2222222222222223E-2</v>
      </c>
      <c r="E34" s="110"/>
      <c r="F34" s="110"/>
      <c r="G34" s="117"/>
      <c r="H34" s="108">
        <f>H80</f>
        <v>0.04</v>
      </c>
      <c r="I34" s="110"/>
      <c r="J34" s="111">
        <f>J81</f>
        <v>0.04</v>
      </c>
      <c r="K34" s="110"/>
      <c r="L34" s="110"/>
      <c r="M34" s="111">
        <f>M81</f>
        <v>6.6666666666666666E-2</v>
      </c>
      <c r="N34" s="111">
        <f>N81</f>
        <v>0.05</v>
      </c>
      <c r="O34" s="110"/>
    </row>
    <row r="35" spans="2:15" ht="18.75" customHeight="1" x14ac:dyDescent="0.25">
      <c r="B35" s="213"/>
      <c r="C35" s="107" t="s">
        <v>86</v>
      </c>
      <c r="D35" s="111">
        <f>D81</f>
        <v>2.2222222222222223E-2</v>
      </c>
      <c r="E35" s="110"/>
      <c r="F35" s="110"/>
      <c r="G35" s="108">
        <f>G80</f>
        <v>0.05</v>
      </c>
      <c r="H35" s="110"/>
      <c r="I35" s="126"/>
      <c r="J35" s="111">
        <f>J81</f>
        <v>0.04</v>
      </c>
      <c r="K35" s="112">
        <f>K81</f>
        <v>5.7142857142857148E-2</v>
      </c>
      <c r="L35" s="126"/>
      <c r="M35" s="110"/>
      <c r="N35" s="111">
        <f>N81</f>
        <v>0.05</v>
      </c>
      <c r="O35" s="108">
        <f>O80</f>
        <v>6.6666666666666666E-2</v>
      </c>
    </row>
    <row r="36" spans="2:15" ht="21.75" customHeight="1" x14ac:dyDescent="0.25">
      <c r="B36" s="213"/>
      <c r="C36" s="107" t="s">
        <v>87</v>
      </c>
      <c r="D36" s="112">
        <f>D81</f>
        <v>2.2222222222222223E-2</v>
      </c>
      <c r="E36" s="117"/>
      <c r="F36" s="110"/>
      <c r="G36" s="110"/>
      <c r="H36" s="112">
        <f>H81</f>
        <v>3.3333333333333333E-2</v>
      </c>
      <c r="I36" s="111">
        <f>I81</f>
        <v>2.3529411764705882E-2</v>
      </c>
      <c r="J36" s="112">
        <f>J81</f>
        <v>0.04</v>
      </c>
      <c r="K36" s="110"/>
      <c r="L36" s="110"/>
      <c r="M36" s="110"/>
      <c r="N36" s="110"/>
      <c r="O36" s="110"/>
    </row>
    <row r="37" spans="2:15" ht="21.75" customHeight="1" x14ac:dyDescent="0.25">
      <c r="B37" s="213"/>
      <c r="C37" s="107" t="s">
        <v>88</v>
      </c>
      <c r="D37" s="117"/>
      <c r="E37" s="111">
        <f>E81</f>
        <v>3.6363636363636369E-2</v>
      </c>
      <c r="F37" s="110"/>
      <c r="G37" s="110"/>
      <c r="H37" s="110"/>
      <c r="I37" s="111">
        <f>I81</f>
        <v>2.3529411764705882E-2</v>
      </c>
      <c r="J37" s="110"/>
      <c r="K37" s="110"/>
      <c r="L37" s="110"/>
      <c r="M37" s="117"/>
      <c r="N37" s="110"/>
      <c r="O37" s="110"/>
    </row>
    <row r="38" spans="2:15" ht="21.75" customHeight="1" x14ac:dyDescent="0.25">
      <c r="B38" s="213"/>
      <c r="C38" s="107" t="s">
        <v>89</v>
      </c>
      <c r="D38" s="111">
        <f>D81</f>
        <v>2.2222222222222223E-2</v>
      </c>
      <c r="E38" s="110"/>
      <c r="F38" s="127"/>
      <c r="G38" s="111">
        <f>G81</f>
        <v>4.4444444444444446E-2</v>
      </c>
      <c r="H38" s="111">
        <f>H81</f>
        <v>3.3333333333333333E-2</v>
      </c>
      <c r="I38" s="111">
        <v>0.02</v>
      </c>
      <c r="J38" s="127"/>
      <c r="K38" s="110"/>
      <c r="L38" s="117"/>
      <c r="M38" s="127"/>
      <c r="N38" s="110"/>
      <c r="O38" s="127"/>
    </row>
    <row r="39" spans="2:15" ht="21.75" customHeight="1" x14ac:dyDescent="0.25">
      <c r="B39" s="213"/>
      <c r="C39" s="107" t="s">
        <v>90</v>
      </c>
      <c r="D39" s="117"/>
      <c r="E39" s="110"/>
      <c r="F39" s="112">
        <f>F81</f>
        <v>5.7142857142857148E-2</v>
      </c>
      <c r="G39" s="126"/>
      <c r="H39" s="111">
        <f>H81</f>
        <v>3.3333333333333333E-2</v>
      </c>
      <c r="I39" s="110"/>
      <c r="J39" s="111">
        <f>J81</f>
        <v>0.04</v>
      </c>
      <c r="K39" s="110"/>
      <c r="L39" s="126"/>
      <c r="M39" s="111">
        <f>M81</f>
        <v>6.6666666666666666E-2</v>
      </c>
      <c r="N39" s="110"/>
      <c r="O39" s="112">
        <f>O81</f>
        <v>0.05</v>
      </c>
    </row>
    <row r="40" spans="2:15" ht="21.75" customHeight="1" x14ac:dyDescent="0.25">
      <c r="B40" s="213"/>
      <c r="C40" s="107" t="s">
        <v>91</v>
      </c>
      <c r="D40" s="111">
        <f>D81</f>
        <v>2.2222222222222223E-2</v>
      </c>
      <c r="E40" s="110"/>
      <c r="F40" s="110"/>
      <c r="G40" s="111">
        <f>G81</f>
        <v>4.4444444444444446E-2</v>
      </c>
      <c r="H40" s="111">
        <f>H81</f>
        <v>3.3333333333333333E-2</v>
      </c>
      <c r="I40" s="111">
        <f>I81</f>
        <v>2.3529411764705882E-2</v>
      </c>
      <c r="J40" s="110"/>
      <c r="K40" s="110"/>
      <c r="L40" s="117"/>
      <c r="M40" s="110"/>
      <c r="N40" s="110"/>
      <c r="O40" s="110"/>
    </row>
    <row r="41" spans="2:15" ht="21.75" customHeight="1" x14ac:dyDescent="0.25">
      <c r="B41" s="213"/>
      <c r="C41" s="107" t="s">
        <v>92</v>
      </c>
      <c r="D41" s="110"/>
      <c r="E41" s="111">
        <f>E81</f>
        <v>3.6363636363636369E-2</v>
      </c>
      <c r="F41" s="110"/>
      <c r="G41" s="110"/>
      <c r="H41" s="110"/>
      <c r="I41" s="110"/>
      <c r="J41" s="110"/>
      <c r="K41" s="110"/>
      <c r="L41" s="111">
        <f>L81</f>
        <v>6.6666666666666666E-2</v>
      </c>
      <c r="M41" s="111">
        <f>M81</f>
        <v>6.6666666666666666E-2</v>
      </c>
      <c r="N41" s="110"/>
      <c r="O41" s="110"/>
    </row>
    <row r="42" spans="2:15" ht="21.75" customHeight="1" x14ac:dyDescent="0.25">
      <c r="B42" s="213"/>
      <c r="C42" s="107" t="s">
        <v>93</v>
      </c>
      <c r="D42" s="110"/>
      <c r="E42" s="110"/>
      <c r="F42" s="111">
        <f>F81</f>
        <v>5.7142857142857148E-2</v>
      </c>
      <c r="G42" s="111">
        <f>G81</f>
        <v>4.4444444444444446E-2</v>
      </c>
      <c r="H42" s="110"/>
      <c r="I42" s="110"/>
      <c r="J42" s="112">
        <f>J81</f>
        <v>0.04</v>
      </c>
      <c r="K42" s="117"/>
      <c r="L42" s="111">
        <f>L81</f>
        <v>6.6666666666666666E-2</v>
      </c>
      <c r="M42" s="110"/>
      <c r="N42" s="111">
        <f>N81</f>
        <v>0.05</v>
      </c>
      <c r="O42" s="112">
        <f>O81</f>
        <v>0.05</v>
      </c>
    </row>
    <row r="43" spans="2:15" ht="21.75" customHeight="1" x14ac:dyDescent="0.25">
      <c r="B43" s="213">
        <v>4</v>
      </c>
      <c r="C43" s="107" t="s">
        <v>94</v>
      </c>
      <c r="D43" s="110"/>
      <c r="E43" s="111">
        <f>E81</f>
        <v>3.6363636363636369E-2</v>
      </c>
      <c r="F43" s="110"/>
      <c r="G43" s="110"/>
      <c r="H43" s="110"/>
      <c r="I43" s="117"/>
      <c r="J43" s="110"/>
      <c r="K43" s="111">
        <f>K81</f>
        <v>5.7142857142857148E-2</v>
      </c>
      <c r="L43" s="110"/>
      <c r="M43" s="110"/>
      <c r="N43" s="110"/>
      <c r="O43" s="112">
        <f>O81</f>
        <v>0.05</v>
      </c>
    </row>
    <row r="44" spans="2:15" ht="21.75" customHeight="1" x14ac:dyDescent="0.25">
      <c r="B44" s="213"/>
      <c r="C44" s="107" t="s">
        <v>95</v>
      </c>
      <c r="D44" s="111">
        <f>D81</f>
        <v>2.2222222222222223E-2</v>
      </c>
      <c r="E44" s="110"/>
      <c r="F44" s="110"/>
      <c r="G44" s="111">
        <f>G81</f>
        <v>4.4444444444444446E-2</v>
      </c>
      <c r="H44" s="111">
        <f>H81</f>
        <v>3.3333333333333333E-2</v>
      </c>
      <c r="I44" s="111">
        <f>I81</f>
        <v>2.3529411764705882E-2</v>
      </c>
      <c r="J44" s="110"/>
      <c r="K44" s="110"/>
      <c r="L44" s="117"/>
      <c r="M44" s="110"/>
      <c r="N44" s="110"/>
      <c r="O44" s="110"/>
    </row>
    <row r="45" spans="2:15" ht="21.75" customHeight="1" x14ac:dyDescent="0.25">
      <c r="B45" s="213"/>
      <c r="C45" s="107" t="s">
        <v>96</v>
      </c>
      <c r="D45" s="117"/>
      <c r="E45" s="110"/>
      <c r="F45" s="112">
        <f>F81</f>
        <v>5.7142857142857148E-2</v>
      </c>
      <c r="G45" s="117"/>
      <c r="H45" s="111">
        <f>H81</f>
        <v>3.3333333333333333E-2</v>
      </c>
      <c r="I45" s="110"/>
      <c r="J45" s="111">
        <f>J81</f>
        <v>0.04</v>
      </c>
      <c r="K45" s="110"/>
      <c r="L45" s="117"/>
      <c r="M45" s="111">
        <f>M81</f>
        <v>6.6666666666666666E-2</v>
      </c>
      <c r="N45" s="110"/>
      <c r="O45" s="112">
        <f>O81</f>
        <v>0.05</v>
      </c>
    </row>
    <row r="46" spans="2:15" ht="21.75" customHeight="1" x14ac:dyDescent="0.25">
      <c r="B46" s="213"/>
      <c r="C46" s="107" t="s">
        <v>97</v>
      </c>
      <c r="D46" s="111">
        <f>D81</f>
        <v>2.2222222222222223E-2</v>
      </c>
      <c r="E46" s="110"/>
      <c r="F46" s="110"/>
      <c r="G46" s="111">
        <f>G81</f>
        <v>4.4444444444444446E-2</v>
      </c>
      <c r="H46" s="111">
        <f>H81</f>
        <v>3.3333333333333333E-2</v>
      </c>
      <c r="I46" s="111">
        <f>I81</f>
        <v>2.3529411764705882E-2</v>
      </c>
      <c r="J46" s="110"/>
      <c r="K46" s="110"/>
      <c r="L46" s="117"/>
      <c r="M46" s="110"/>
      <c r="N46" s="110"/>
      <c r="O46" s="117"/>
    </row>
    <row r="47" spans="2:15" ht="21.75" customHeight="1" x14ac:dyDescent="0.25">
      <c r="B47" s="213"/>
      <c r="C47" s="107" t="s">
        <v>98</v>
      </c>
      <c r="D47" s="111">
        <f>D81</f>
        <v>2.2222222222222223E-2</v>
      </c>
      <c r="E47" s="110"/>
      <c r="F47" s="110"/>
      <c r="G47" s="110"/>
      <c r="H47" s="111">
        <f>H81</f>
        <v>3.3333333333333333E-2</v>
      </c>
      <c r="I47" s="112">
        <f>I81</f>
        <v>2.3529411764705882E-2</v>
      </c>
      <c r="J47" s="111">
        <f>J81</f>
        <v>0.04</v>
      </c>
      <c r="K47" s="110"/>
      <c r="L47" s="110"/>
      <c r="M47" s="110"/>
      <c r="N47" s="110"/>
      <c r="O47" s="110"/>
    </row>
    <row r="48" spans="2:15" ht="21.75" customHeight="1" x14ac:dyDescent="0.25">
      <c r="B48" s="213"/>
      <c r="C48" s="107" t="s">
        <v>99</v>
      </c>
      <c r="D48" s="110"/>
      <c r="E48" s="111">
        <f>E81</f>
        <v>3.6363636363636369E-2</v>
      </c>
      <c r="F48" s="110"/>
      <c r="G48" s="110"/>
      <c r="H48" s="110"/>
      <c r="I48" s="111">
        <f>I81</f>
        <v>2.3529411764705882E-2</v>
      </c>
      <c r="J48" s="110"/>
      <c r="K48" s="110"/>
      <c r="L48" s="110"/>
      <c r="M48" s="110"/>
      <c r="N48" s="110"/>
      <c r="O48" s="110"/>
    </row>
    <row r="49" spans="2:19" ht="21.75" customHeight="1" x14ac:dyDescent="0.25">
      <c r="B49" s="213"/>
      <c r="C49" s="107" t="s">
        <v>100</v>
      </c>
      <c r="D49" s="110"/>
      <c r="E49" s="111">
        <f>E81</f>
        <v>3.6363636363636369E-2</v>
      </c>
      <c r="F49" s="111">
        <f>F81</f>
        <v>5.7142857142857148E-2</v>
      </c>
      <c r="G49" s="110"/>
      <c r="H49" s="110"/>
      <c r="I49" s="111">
        <f>I81</f>
        <v>2.3529411764705882E-2</v>
      </c>
      <c r="J49" s="110"/>
      <c r="K49" s="110"/>
      <c r="L49" s="110"/>
      <c r="M49" s="110"/>
      <c r="N49" s="110"/>
      <c r="O49" s="110"/>
    </row>
    <row r="50" spans="2:19" ht="21.75" customHeight="1" x14ac:dyDescent="0.25">
      <c r="B50" s="213"/>
      <c r="C50" s="107" t="s">
        <v>101</v>
      </c>
      <c r="D50" s="111">
        <f>D81</f>
        <v>2.2222222222222223E-2</v>
      </c>
      <c r="E50" s="110"/>
      <c r="F50" s="110"/>
      <c r="G50" s="117"/>
      <c r="H50" s="117"/>
      <c r="I50" s="111">
        <f>I81</f>
        <v>2.3529411764705882E-2</v>
      </c>
      <c r="J50" s="110"/>
      <c r="K50" s="110"/>
      <c r="L50" s="111">
        <f>L81</f>
        <v>6.6666666666666666E-2</v>
      </c>
      <c r="M50" s="117"/>
      <c r="N50" s="111">
        <f>N81</f>
        <v>0.05</v>
      </c>
      <c r="O50" s="112">
        <f>O81</f>
        <v>0.05</v>
      </c>
    </row>
    <row r="51" spans="2:19" ht="21.75" customHeight="1" x14ac:dyDescent="0.25">
      <c r="B51" s="213"/>
      <c r="C51" s="107" t="s">
        <v>102</v>
      </c>
      <c r="D51" s="110"/>
      <c r="E51" s="111">
        <f>E81</f>
        <v>3.6363636363636369E-2</v>
      </c>
      <c r="F51" s="110"/>
      <c r="G51" s="110"/>
      <c r="H51" s="110"/>
      <c r="I51" s="111">
        <f>I81</f>
        <v>2.3529411764705882E-2</v>
      </c>
      <c r="J51" s="110"/>
      <c r="K51" s="112">
        <f>K81</f>
        <v>5.7142857142857148E-2</v>
      </c>
      <c r="L51" s="110"/>
      <c r="M51" s="110"/>
      <c r="N51" s="110"/>
      <c r="O51" s="110"/>
    </row>
    <row r="52" spans="2:19" ht="21.75" customHeight="1" x14ac:dyDescent="0.25">
      <c r="B52" s="213"/>
      <c r="C52" s="107" t="s">
        <v>103</v>
      </c>
      <c r="D52" s="111">
        <f>D81</f>
        <v>2.2222222222222223E-2</v>
      </c>
      <c r="E52" s="110"/>
      <c r="F52" s="111">
        <f>F81</f>
        <v>5.7142857142857148E-2</v>
      </c>
      <c r="G52" s="111">
        <f>G81</f>
        <v>4.4444444444444446E-2</v>
      </c>
      <c r="H52" s="111">
        <f>H81</f>
        <v>3.3333333333333333E-2</v>
      </c>
      <c r="I52" s="110"/>
      <c r="J52" s="110"/>
      <c r="K52" s="110"/>
      <c r="L52" s="110"/>
      <c r="M52" s="110"/>
      <c r="N52" s="110"/>
      <c r="O52" s="110"/>
    </row>
    <row r="53" spans="2:19" ht="21.75" customHeight="1" x14ac:dyDescent="0.25">
      <c r="B53" s="213"/>
      <c r="C53" s="107" t="s">
        <v>104</v>
      </c>
      <c r="D53" s="111">
        <f>D81</f>
        <v>2.2222222222222223E-2</v>
      </c>
      <c r="E53" s="110"/>
      <c r="F53" s="110"/>
      <c r="G53" s="111">
        <f>G81</f>
        <v>4.4444444444444446E-2</v>
      </c>
      <c r="H53" s="117"/>
      <c r="I53" s="111">
        <f>I81</f>
        <v>2.3529411764705882E-2</v>
      </c>
      <c r="J53" s="110"/>
      <c r="K53" s="110"/>
      <c r="L53" s="117"/>
      <c r="M53" s="110"/>
      <c r="N53" s="110"/>
      <c r="O53" s="111">
        <f>O81</f>
        <v>0.05</v>
      </c>
    </row>
    <row r="54" spans="2:19" ht="21.75" customHeight="1" x14ac:dyDescent="0.25">
      <c r="B54" s="213"/>
      <c r="C54" s="107" t="s">
        <v>105</v>
      </c>
      <c r="D54" s="117"/>
      <c r="E54" s="110"/>
      <c r="F54" s="112">
        <f>F81</f>
        <v>5.7142857142857148E-2</v>
      </c>
      <c r="G54" s="117"/>
      <c r="H54" s="111">
        <f>H81</f>
        <v>3.3333333333333333E-2</v>
      </c>
      <c r="I54" s="110"/>
      <c r="J54" s="111">
        <f>J81</f>
        <v>0.04</v>
      </c>
      <c r="K54" s="110"/>
      <c r="L54" s="117"/>
      <c r="M54" s="113">
        <f>M82</f>
        <v>0.13333333333333333</v>
      </c>
      <c r="N54" s="110"/>
      <c r="O54" s="112">
        <f>O81</f>
        <v>0.05</v>
      </c>
    </row>
    <row r="55" spans="2:19" ht="21.75" customHeight="1" x14ac:dyDescent="0.25">
      <c r="B55" s="213"/>
      <c r="C55" s="107" t="s">
        <v>106</v>
      </c>
      <c r="D55" s="111">
        <f>D81</f>
        <v>2.2222222222222223E-2</v>
      </c>
      <c r="E55" s="110"/>
      <c r="F55" s="110"/>
      <c r="G55" s="111">
        <f>G81</f>
        <v>4.4444444444444446E-2</v>
      </c>
      <c r="H55" s="117"/>
      <c r="I55" s="117"/>
      <c r="J55" s="110"/>
      <c r="K55" s="110"/>
      <c r="L55" s="111">
        <f>L81</f>
        <v>6.6666666666666666E-2</v>
      </c>
      <c r="M55" s="110"/>
      <c r="N55" s="110"/>
      <c r="O55" s="111">
        <f>O81</f>
        <v>0.05</v>
      </c>
      <c r="S55" s="99"/>
    </row>
    <row r="56" spans="2:19" ht="21.75" customHeight="1" x14ac:dyDescent="0.25">
      <c r="B56" s="213"/>
      <c r="C56" s="107" t="s">
        <v>107</v>
      </c>
      <c r="D56" s="111">
        <f>D81</f>
        <v>2.2222222222222223E-2</v>
      </c>
      <c r="E56" s="110"/>
      <c r="F56" s="110"/>
      <c r="G56" s="111">
        <f>G81</f>
        <v>4.4444444444444446E-2</v>
      </c>
      <c r="H56" s="111">
        <f>H81</f>
        <v>3.3333333333333333E-2</v>
      </c>
      <c r="I56" s="110"/>
      <c r="J56" s="110"/>
      <c r="K56" s="110"/>
      <c r="L56" s="110"/>
      <c r="M56" s="110"/>
      <c r="N56" s="110"/>
      <c r="O56" s="110"/>
    </row>
    <row r="57" spans="2:19" ht="21.75" customHeight="1" x14ac:dyDescent="0.25">
      <c r="B57" s="213"/>
      <c r="C57" s="107" t="s">
        <v>108</v>
      </c>
      <c r="D57" s="111">
        <f>D81</f>
        <v>2.2222222222222223E-2</v>
      </c>
      <c r="E57" s="110"/>
      <c r="F57" s="111">
        <f>F81</f>
        <v>5.7142857142857148E-2</v>
      </c>
      <c r="G57" s="110"/>
      <c r="H57" s="111">
        <f>H81</f>
        <v>3.3333333333333333E-2</v>
      </c>
      <c r="I57" s="110"/>
      <c r="J57" s="111">
        <f>J81</f>
        <v>0.04</v>
      </c>
      <c r="K57" s="110"/>
      <c r="L57" s="110"/>
      <c r="M57" s="110"/>
      <c r="N57" s="112">
        <f>N81</f>
        <v>0.05</v>
      </c>
      <c r="O57" s="110"/>
    </row>
    <row r="58" spans="2:19" ht="21.75" customHeight="1" x14ac:dyDescent="0.25">
      <c r="B58" s="213"/>
      <c r="C58" s="107" t="s">
        <v>109</v>
      </c>
      <c r="D58" s="110"/>
      <c r="E58" s="110"/>
      <c r="F58" s="113">
        <f>F82</f>
        <v>0.08</v>
      </c>
      <c r="G58" s="113">
        <f>G82</f>
        <v>0.08</v>
      </c>
      <c r="H58" s="117"/>
      <c r="I58" s="110"/>
      <c r="J58" s="114">
        <f>J82</f>
        <v>6.6666666666666666E-2</v>
      </c>
      <c r="K58" s="110"/>
      <c r="L58" s="113">
        <f>L82</f>
        <v>0.13333333333333333</v>
      </c>
      <c r="M58" s="117"/>
      <c r="N58" s="111">
        <f>N81</f>
        <v>0.05</v>
      </c>
      <c r="O58" s="113">
        <f>O82</f>
        <v>5.7142857142857148E-2</v>
      </c>
    </row>
    <row r="59" spans="2:19" ht="21.75" customHeight="1" x14ac:dyDescent="0.25">
      <c r="B59" s="213">
        <v>5</v>
      </c>
      <c r="C59" s="107" t="s">
        <v>110</v>
      </c>
      <c r="D59" s="111">
        <f>D81</f>
        <v>2.2222222222222223E-2</v>
      </c>
      <c r="E59" s="110"/>
      <c r="F59" s="110"/>
      <c r="G59" s="113">
        <f>G82</f>
        <v>0.08</v>
      </c>
      <c r="H59" s="117"/>
      <c r="I59" s="110"/>
      <c r="J59" s="110"/>
      <c r="K59" s="111">
        <f>K81</f>
        <v>5.7142857142857148E-2</v>
      </c>
      <c r="L59" s="113">
        <f>L82</f>
        <v>0.13333333333333333</v>
      </c>
      <c r="M59" s="110"/>
      <c r="N59" s="111">
        <f>N81</f>
        <v>0.05</v>
      </c>
      <c r="O59" s="110"/>
    </row>
    <row r="60" spans="2:19" ht="21.75" customHeight="1" x14ac:dyDescent="0.25">
      <c r="B60" s="213"/>
      <c r="C60" s="107" t="s">
        <v>111</v>
      </c>
      <c r="D60" s="110"/>
      <c r="E60" s="110"/>
      <c r="F60" s="113">
        <f>F82</f>
        <v>0.08</v>
      </c>
      <c r="G60" s="113">
        <f>G82</f>
        <v>0.08</v>
      </c>
      <c r="H60" s="110"/>
      <c r="I60" s="110"/>
      <c r="J60" s="110"/>
      <c r="K60" s="111">
        <f>K81</f>
        <v>5.7142857142857148E-2</v>
      </c>
      <c r="L60" s="110"/>
      <c r="M60" s="110"/>
      <c r="N60" s="111">
        <f>N81</f>
        <v>0.05</v>
      </c>
      <c r="O60" s="110"/>
    </row>
    <row r="61" spans="2:19" ht="21.75" customHeight="1" x14ac:dyDescent="0.25">
      <c r="B61" s="213"/>
      <c r="C61" s="107" t="s">
        <v>112</v>
      </c>
      <c r="D61" s="113">
        <f>D82</f>
        <v>5.7142857142857148E-2</v>
      </c>
      <c r="E61" s="110"/>
      <c r="F61" s="110"/>
      <c r="G61" s="110"/>
      <c r="H61" s="113">
        <f>H82</f>
        <v>0.08</v>
      </c>
      <c r="I61" s="114">
        <f>I82</f>
        <v>0.05</v>
      </c>
      <c r="J61" s="113">
        <f>J82</f>
        <v>6.6666666666666666E-2</v>
      </c>
      <c r="K61" s="110"/>
      <c r="L61" s="110"/>
      <c r="M61" s="110"/>
      <c r="N61" s="110"/>
      <c r="O61" s="110"/>
    </row>
    <row r="62" spans="2:19" ht="21.75" customHeight="1" x14ac:dyDescent="0.25">
      <c r="B62" s="213"/>
      <c r="C62" s="107" t="s">
        <v>113</v>
      </c>
      <c r="D62" s="110"/>
      <c r="E62" s="113">
        <f>E82</f>
        <v>0.08</v>
      </c>
      <c r="F62" s="113">
        <f>F82</f>
        <v>0.08</v>
      </c>
      <c r="G62" s="110"/>
      <c r="H62" s="110"/>
      <c r="I62" s="117"/>
      <c r="J62" s="110"/>
      <c r="K62" s="112">
        <f>K81</f>
        <v>5.7142857142857148E-2</v>
      </c>
      <c r="L62" s="110"/>
      <c r="M62" s="110"/>
      <c r="N62" s="110"/>
      <c r="O62" s="114">
        <f>O82</f>
        <v>5.7142857142857148E-2</v>
      </c>
    </row>
    <row r="63" spans="2:19" ht="21.75" customHeight="1" x14ac:dyDescent="0.25">
      <c r="B63" s="213"/>
      <c r="C63" s="107" t="s">
        <v>114</v>
      </c>
      <c r="D63" s="110"/>
      <c r="E63" s="113">
        <f>E82</f>
        <v>0.08</v>
      </c>
      <c r="F63" s="113">
        <f>F82</f>
        <v>0.08</v>
      </c>
      <c r="G63" s="110"/>
      <c r="H63" s="110"/>
      <c r="I63" s="113">
        <f>I82</f>
        <v>0.05</v>
      </c>
      <c r="J63" s="110"/>
      <c r="K63" s="110"/>
      <c r="L63" s="110"/>
      <c r="M63" s="110"/>
      <c r="N63" s="110"/>
      <c r="O63" s="110"/>
    </row>
    <row r="64" spans="2:19" ht="21.75" customHeight="1" x14ac:dyDescent="0.25">
      <c r="B64" s="213"/>
      <c r="C64" s="107" t="s">
        <v>115</v>
      </c>
      <c r="D64" s="113">
        <f>D82</f>
        <v>5.7142857142857148E-2</v>
      </c>
      <c r="E64" s="110"/>
      <c r="F64" s="117"/>
      <c r="G64" s="117"/>
      <c r="H64" s="113">
        <f>H82</f>
        <v>0.08</v>
      </c>
      <c r="I64" s="110"/>
      <c r="J64" s="110"/>
      <c r="K64" s="112">
        <f>K81</f>
        <v>5.7142857142857148E-2</v>
      </c>
      <c r="L64" s="117"/>
      <c r="M64" s="117"/>
      <c r="N64" s="114">
        <f>N82</f>
        <v>6.6666666666666666E-2</v>
      </c>
      <c r="O64" s="114">
        <f>O82</f>
        <v>5.7142857142857148E-2</v>
      </c>
    </row>
    <row r="65" spans="2:15" ht="21.75" customHeight="1" x14ac:dyDescent="0.25">
      <c r="B65" s="213"/>
      <c r="C65" s="107" t="s">
        <v>116</v>
      </c>
      <c r="D65" s="113">
        <f>D82</f>
        <v>5.7142857142857148E-2</v>
      </c>
      <c r="E65" s="110"/>
      <c r="F65" s="110"/>
      <c r="G65" s="113">
        <f>G82</f>
        <v>0.08</v>
      </c>
      <c r="H65" s="110"/>
      <c r="I65" s="110"/>
      <c r="J65" s="110"/>
      <c r="K65" s="113">
        <f>K82</f>
        <v>0.1</v>
      </c>
      <c r="L65" s="110"/>
      <c r="M65" s="113">
        <f>M82</f>
        <v>0.13333333333333333</v>
      </c>
      <c r="N65" s="113">
        <f>N82</f>
        <v>6.6666666666666666E-2</v>
      </c>
      <c r="O65" s="110"/>
    </row>
    <row r="66" spans="2:15" ht="21.75" customHeight="1" x14ac:dyDescent="0.25">
      <c r="B66" s="213"/>
      <c r="C66" s="107" t="s">
        <v>117</v>
      </c>
      <c r="D66" s="114">
        <f>D82</f>
        <v>5.7142857142857148E-2</v>
      </c>
      <c r="E66" s="110"/>
      <c r="F66" s="110"/>
      <c r="G66" s="110"/>
      <c r="H66" s="110"/>
      <c r="I66" s="114">
        <f>I82</f>
        <v>0.05</v>
      </c>
      <c r="J66" s="114">
        <f>J82</f>
        <v>6.6666666666666666E-2</v>
      </c>
      <c r="K66" s="110"/>
      <c r="L66" s="110"/>
      <c r="M66" s="110"/>
      <c r="N66" s="114">
        <f>N82</f>
        <v>6.6666666666666666E-2</v>
      </c>
      <c r="O66" s="114">
        <f>O82</f>
        <v>5.7142857142857148E-2</v>
      </c>
    </row>
    <row r="67" spans="2:15" ht="21.75" customHeight="1" x14ac:dyDescent="0.25">
      <c r="B67" s="213"/>
      <c r="C67" s="107" t="s">
        <v>118</v>
      </c>
      <c r="D67" s="110"/>
      <c r="E67" s="113">
        <f>E82</f>
        <v>0.08</v>
      </c>
      <c r="F67" s="113">
        <f>F82</f>
        <v>0.08</v>
      </c>
      <c r="G67" s="110"/>
      <c r="H67" s="110"/>
      <c r="I67" s="113">
        <f>I82</f>
        <v>0.05</v>
      </c>
      <c r="J67" s="110"/>
      <c r="K67" s="113">
        <f>K82</f>
        <v>0.1</v>
      </c>
      <c r="L67" s="110"/>
      <c r="M67" s="110"/>
      <c r="N67" s="110"/>
      <c r="O67" s="110"/>
    </row>
    <row r="68" spans="2:15" ht="21.75" customHeight="1" x14ac:dyDescent="0.25">
      <c r="B68" s="213"/>
      <c r="C68" s="107" t="s">
        <v>119</v>
      </c>
      <c r="D68" s="113">
        <f>D82</f>
        <v>5.7142857142857148E-2</v>
      </c>
      <c r="E68" s="110"/>
      <c r="F68" s="110"/>
      <c r="G68" s="114">
        <f>G82</f>
        <v>0.08</v>
      </c>
      <c r="H68" s="113">
        <f>H82</f>
        <v>0.08</v>
      </c>
      <c r="I68" s="110"/>
      <c r="J68" s="110"/>
      <c r="K68" s="110"/>
      <c r="L68" s="110"/>
      <c r="M68" s="110"/>
      <c r="N68" s="110"/>
      <c r="O68" s="110"/>
    </row>
    <row r="69" spans="2:15" ht="21.75" customHeight="1" x14ac:dyDescent="0.25">
      <c r="B69" s="213"/>
      <c r="C69" s="107" t="s">
        <v>120</v>
      </c>
      <c r="D69" s="110"/>
      <c r="E69" s="113">
        <f>E82</f>
        <v>0.08</v>
      </c>
      <c r="F69" s="110"/>
      <c r="G69" s="110"/>
      <c r="H69" s="110"/>
      <c r="I69" s="113">
        <f>I82</f>
        <v>0.05</v>
      </c>
      <c r="J69" s="110"/>
      <c r="K69" s="113">
        <f>K82</f>
        <v>0.1</v>
      </c>
      <c r="L69" s="110"/>
      <c r="M69" s="110"/>
      <c r="N69" s="110"/>
      <c r="O69" s="114">
        <f>O82</f>
        <v>5.7142857142857148E-2</v>
      </c>
    </row>
    <row r="70" spans="2:15" ht="21.75" customHeight="1" x14ac:dyDescent="0.25">
      <c r="B70" s="213"/>
      <c r="C70" s="107" t="s">
        <v>121</v>
      </c>
      <c r="D70" s="110"/>
      <c r="E70" s="113">
        <f>E82</f>
        <v>0.08</v>
      </c>
      <c r="F70" s="110"/>
      <c r="G70" s="110"/>
      <c r="H70" s="110"/>
      <c r="I70" s="113">
        <f>I82</f>
        <v>0.05</v>
      </c>
      <c r="J70" s="110"/>
      <c r="K70" s="110"/>
      <c r="L70" s="113">
        <f>L82</f>
        <v>0.13333333333333333</v>
      </c>
      <c r="M70" s="113">
        <f>M82</f>
        <v>0.13333333333333333</v>
      </c>
      <c r="N70" s="110"/>
      <c r="O70" s="110"/>
    </row>
    <row r="71" spans="2:15" ht="21.75" customHeight="1" x14ac:dyDescent="0.25">
      <c r="B71" s="213"/>
      <c r="C71" s="107" t="s">
        <v>122</v>
      </c>
      <c r="D71" s="113">
        <f>D82</f>
        <v>5.7142857142857148E-2</v>
      </c>
      <c r="E71" s="110"/>
      <c r="F71" s="110"/>
      <c r="G71" s="110"/>
      <c r="H71" s="113">
        <f>H82</f>
        <v>0.08</v>
      </c>
      <c r="I71" s="117"/>
      <c r="J71" s="113">
        <f>J82</f>
        <v>6.6666666666666666E-2</v>
      </c>
      <c r="K71" s="113">
        <f>K82</f>
        <v>0.1</v>
      </c>
      <c r="L71" s="110"/>
      <c r="M71" s="110"/>
      <c r="N71" s="113">
        <f>N82</f>
        <v>6.6666666666666666E-2</v>
      </c>
      <c r="O71" s="110"/>
    </row>
    <row r="72" spans="2:15" ht="21.75" customHeight="1" x14ac:dyDescent="0.25">
      <c r="B72" s="213"/>
      <c r="C72" s="107" t="s">
        <v>123</v>
      </c>
      <c r="D72" s="110"/>
      <c r="E72" s="110"/>
      <c r="F72" s="110"/>
      <c r="G72" s="110"/>
      <c r="H72" s="113">
        <f>H82</f>
        <v>0.08</v>
      </c>
      <c r="I72" s="113">
        <f>I82</f>
        <v>0.05</v>
      </c>
      <c r="J72" s="113">
        <f>J82</f>
        <v>6.6666666666666666E-2</v>
      </c>
      <c r="K72" s="110"/>
      <c r="L72" s="110"/>
      <c r="M72" s="110"/>
      <c r="N72" s="113">
        <f>N82</f>
        <v>6.6666666666666666E-2</v>
      </c>
      <c r="O72" s="113">
        <f>O82</f>
        <v>5.7142857142857148E-2</v>
      </c>
    </row>
    <row r="73" spans="2:15" ht="21.75" customHeight="1" x14ac:dyDescent="0.25">
      <c r="B73" s="213"/>
      <c r="C73" s="107" t="s">
        <v>117</v>
      </c>
      <c r="D73" s="114">
        <f>D82</f>
        <v>5.7142857142857148E-2</v>
      </c>
      <c r="E73" s="110"/>
      <c r="F73" s="110"/>
      <c r="G73" s="110"/>
      <c r="H73" s="110"/>
      <c r="I73" s="114">
        <f>I82</f>
        <v>0.05</v>
      </c>
      <c r="J73" s="114">
        <f>J82</f>
        <v>6.6666666666666666E-2</v>
      </c>
      <c r="K73" s="110"/>
      <c r="L73" s="110"/>
      <c r="M73" s="110"/>
      <c r="N73" s="114">
        <f>N82</f>
        <v>6.6666666666666666E-2</v>
      </c>
      <c r="O73" s="114">
        <f>O82</f>
        <v>5.7142857142857148E-2</v>
      </c>
    </row>
    <row r="74" spans="2:15" ht="21" customHeight="1" x14ac:dyDescent="0.25">
      <c r="C74" s="115" t="s">
        <v>124</v>
      </c>
      <c r="D74" s="116">
        <f>SUM(D7:D73)</f>
        <v>1.0068376068376068</v>
      </c>
      <c r="E74" s="116">
        <f>SUM(E7:E73)</f>
        <v>0.99999999999999989</v>
      </c>
      <c r="F74" s="116">
        <f>SUM(F7:F73)</f>
        <v>0.99999999999999989</v>
      </c>
      <c r="G74" s="116">
        <f t="shared" ref="G74:O74" si="0">SUM(G7:G73)</f>
        <v>0.99999999999999978</v>
      </c>
      <c r="H74" s="116">
        <f t="shared" si="0"/>
        <v>0.99999999999999978</v>
      </c>
      <c r="I74" s="116">
        <f t="shared" si="0"/>
        <v>1.0131372549019615</v>
      </c>
      <c r="J74" s="116">
        <f t="shared" si="0"/>
        <v>0.99999999999999989</v>
      </c>
      <c r="K74" s="116">
        <f t="shared" si="0"/>
        <v>1</v>
      </c>
      <c r="L74" s="116">
        <f t="shared" si="0"/>
        <v>0.99999999999999989</v>
      </c>
      <c r="M74" s="116">
        <f t="shared" si="0"/>
        <v>0.99999999999999989</v>
      </c>
      <c r="N74" s="116">
        <f t="shared" si="0"/>
        <v>0.99999999999999989</v>
      </c>
      <c r="O74" s="116">
        <f t="shared" si="0"/>
        <v>1</v>
      </c>
    </row>
    <row r="76" spans="2:15" x14ac:dyDescent="0.25">
      <c r="B76" s="207" t="s">
        <v>125</v>
      </c>
      <c r="C76" s="100" t="s">
        <v>56</v>
      </c>
      <c r="D76" s="77">
        <v>13</v>
      </c>
      <c r="E76" s="77">
        <v>9</v>
      </c>
      <c r="F76" s="77">
        <v>2</v>
      </c>
      <c r="G76" s="77">
        <v>4</v>
      </c>
      <c r="H76" s="77">
        <v>5</v>
      </c>
      <c r="I76" s="77">
        <v>8</v>
      </c>
      <c r="J76" s="77">
        <v>4</v>
      </c>
      <c r="K76" s="77">
        <v>3</v>
      </c>
      <c r="L76" s="77">
        <v>6</v>
      </c>
      <c r="M76" s="77">
        <v>8</v>
      </c>
      <c r="N76" s="77">
        <v>5</v>
      </c>
      <c r="O76" s="77">
        <v>3</v>
      </c>
    </row>
    <row r="77" spans="2:15" x14ac:dyDescent="0.25">
      <c r="B77" s="207"/>
      <c r="C77" s="100" t="s">
        <v>58</v>
      </c>
      <c r="D77" s="77">
        <v>18</v>
      </c>
      <c r="E77" s="77">
        <v>11</v>
      </c>
      <c r="F77" s="77">
        <v>7</v>
      </c>
      <c r="G77" s="77">
        <v>9</v>
      </c>
      <c r="H77" s="77">
        <v>12</v>
      </c>
      <c r="I77" s="77">
        <v>17</v>
      </c>
      <c r="J77" s="77">
        <v>10</v>
      </c>
      <c r="K77" s="77">
        <v>7</v>
      </c>
      <c r="L77" s="77">
        <v>6</v>
      </c>
      <c r="M77" s="77">
        <v>6</v>
      </c>
      <c r="N77" s="77">
        <v>8</v>
      </c>
      <c r="O77" s="77">
        <v>8</v>
      </c>
    </row>
    <row r="78" spans="2:15" x14ac:dyDescent="0.25">
      <c r="B78" s="207"/>
      <c r="C78" s="100" t="s">
        <v>60</v>
      </c>
      <c r="D78" s="77">
        <v>7</v>
      </c>
      <c r="E78" s="77">
        <v>5</v>
      </c>
      <c r="F78" s="77">
        <v>5</v>
      </c>
      <c r="G78" s="77">
        <v>5</v>
      </c>
      <c r="H78" s="77">
        <v>5</v>
      </c>
      <c r="I78" s="77">
        <v>8</v>
      </c>
      <c r="J78" s="77">
        <v>6</v>
      </c>
      <c r="K78" s="77">
        <v>4</v>
      </c>
      <c r="L78" s="77">
        <v>3</v>
      </c>
      <c r="M78" s="77">
        <v>3</v>
      </c>
      <c r="N78" s="77">
        <v>6</v>
      </c>
      <c r="O78" s="77">
        <v>7</v>
      </c>
    </row>
    <row r="79" spans="2:15" x14ac:dyDescent="0.25">
      <c r="B79" s="100"/>
      <c r="C79" s="100"/>
      <c r="H79" s="77"/>
      <c r="I79" s="77"/>
      <c r="J79" s="77"/>
      <c r="K79" s="77"/>
      <c r="L79" s="77"/>
      <c r="M79" s="77"/>
      <c r="N79" s="77"/>
      <c r="O79" s="77"/>
    </row>
    <row r="80" spans="2:15" x14ac:dyDescent="0.25">
      <c r="B80" s="207" t="s">
        <v>126</v>
      </c>
      <c r="C80" s="100" t="s">
        <v>56</v>
      </c>
      <c r="D80" s="98">
        <f>0.2/D76</f>
        <v>1.5384615384615385E-2</v>
      </c>
      <c r="E80" s="98">
        <f>0.2/E76</f>
        <v>2.2222222222222223E-2</v>
      </c>
      <c r="F80" s="98">
        <f t="shared" ref="F80:O80" si="1">0.2/F76</f>
        <v>0.1</v>
      </c>
      <c r="G80" s="98">
        <f t="shared" si="1"/>
        <v>0.05</v>
      </c>
      <c r="H80" s="98">
        <f t="shared" si="1"/>
        <v>0.04</v>
      </c>
      <c r="I80" s="98">
        <f t="shared" si="1"/>
        <v>2.5000000000000001E-2</v>
      </c>
      <c r="J80" s="98">
        <f t="shared" si="1"/>
        <v>0.05</v>
      </c>
      <c r="K80" s="98">
        <f t="shared" si="1"/>
        <v>6.6666666666666666E-2</v>
      </c>
      <c r="L80" s="98">
        <f t="shared" si="1"/>
        <v>3.3333333333333333E-2</v>
      </c>
      <c r="M80" s="98">
        <f>0.2/M76</f>
        <v>2.5000000000000001E-2</v>
      </c>
      <c r="N80" s="98">
        <f t="shared" si="1"/>
        <v>0.04</v>
      </c>
      <c r="O80" s="98">
        <f t="shared" si="1"/>
        <v>6.6666666666666666E-2</v>
      </c>
    </row>
    <row r="81" spans="2:15" x14ac:dyDescent="0.25">
      <c r="B81" s="208"/>
      <c r="C81" s="100" t="s">
        <v>58</v>
      </c>
      <c r="D81" s="98">
        <f>0.4/D77</f>
        <v>2.2222222222222223E-2</v>
      </c>
      <c r="E81" s="98">
        <f>0.4/E77</f>
        <v>3.6363636363636369E-2</v>
      </c>
      <c r="F81" s="98">
        <f t="shared" ref="F81:O81" si="2">0.4/F77</f>
        <v>5.7142857142857148E-2</v>
      </c>
      <c r="G81" s="98">
        <f t="shared" si="2"/>
        <v>4.4444444444444446E-2</v>
      </c>
      <c r="H81" s="98">
        <f t="shared" si="2"/>
        <v>3.3333333333333333E-2</v>
      </c>
      <c r="I81" s="98">
        <f t="shared" si="2"/>
        <v>2.3529411764705882E-2</v>
      </c>
      <c r="J81" s="98">
        <f t="shared" si="2"/>
        <v>0.04</v>
      </c>
      <c r="K81" s="98">
        <f t="shared" si="2"/>
        <v>5.7142857142857148E-2</v>
      </c>
      <c r="L81" s="98">
        <f t="shared" si="2"/>
        <v>6.6666666666666666E-2</v>
      </c>
      <c r="M81" s="98">
        <f t="shared" si="2"/>
        <v>6.6666666666666666E-2</v>
      </c>
      <c r="N81" s="98">
        <f t="shared" si="2"/>
        <v>0.05</v>
      </c>
      <c r="O81" s="98">
        <f t="shared" si="2"/>
        <v>0.05</v>
      </c>
    </row>
    <row r="82" spans="2:15" x14ac:dyDescent="0.25">
      <c r="B82" s="208"/>
      <c r="C82" s="100" t="s">
        <v>60</v>
      </c>
      <c r="D82" s="98">
        <f>0.4/D78</f>
        <v>5.7142857142857148E-2</v>
      </c>
      <c r="E82" s="98">
        <f>0.4/E78</f>
        <v>0.08</v>
      </c>
      <c r="F82" s="98">
        <f t="shared" ref="F82:O82" si="3">0.4/F78</f>
        <v>0.08</v>
      </c>
      <c r="G82" s="98">
        <f t="shared" si="3"/>
        <v>0.08</v>
      </c>
      <c r="H82" s="98">
        <f t="shared" si="3"/>
        <v>0.08</v>
      </c>
      <c r="I82" s="98">
        <f t="shared" si="3"/>
        <v>0.05</v>
      </c>
      <c r="J82" s="98">
        <f t="shared" si="3"/>
        <v>6.6666666666666666E-2</v>
      </c>
      <c r="K82" s="98">
        <f t="shared" si="3"/>
        <v>0.1</v>
      </c>
      <c r="L82" s="98">
        <f t="shared" si="3"/>
        <v>0.13333333333333333</v>
      </c>
      <c r="M82" s="98">
        <f t="shared" si="3"/>
        <v>0.13333333333333333</v>
      </c>
      <c r="N82" s="98">
        <f t="shared" si="3"/>
        <v>6.6666666666666666E-2</v>
      </c>
      <c r="O82" s="98">
        <f t="shared" si="3"/>
        <v>5.7142857142857148E-2</v>
      </c>
    </row>
  </sheetData>
  <mergeCells count="14">
    <mergeCell ref="B76:B78"/>
    <mergeCell ref="B80:B82"/>
    <mergeCell ref="C2:O2"/>
    <mergeCell ref="R6:S6"/>
    <mergeCell ref="C4:C6"/>
    <mergeCell ref="D4:O4"/>
    <mergeCell ref="D5:F5"/>
    <mergeCell ref="G5:M5"/>
    <mergeCell ref="N5:O5"/>
    <mergeCell ref="B7:B16"/>
    <mergeCell ref="B17:B27"/>
    <mergeCell ref="B28:B42"/>
    <mergeCell ref="B43:B58"/>
    <mergeCell ref="B59:B73"/>
  </mergeCells>
  <pageMargins left="0.7" right="0.7" top="0.75" bottom="0.75" header="0.3" footer="0.3"/>
  <pageSetup scale="2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B74"/>
  <sheetViews>
    <sheetView workbookViewId="0">
      <selection activeCell="D36" sqref="D36"/>
    </sheetView>
  </sheetViews>
  <sheetFormatPr defaultRowHeight="15" x14ac:dyDescent="0.25"/>
  <cols>
    <col min="1" max="1" width="13.7109375" style="74" customWidth="1"/>
    <col min="2" max="2" width="59.42578125" customWidth="1"/>
  </cols>
  <sheetData>
    <row r="1" spans="1:2" x14ac:dyDescent="0.25">
      <c r="A1" s="74" t="s">
        <v>127</v>
      </c>
      <c r="B1" t="s">
        <v>128</v>
      </c>
    </row>
    <row r="2" spans="1:2" x14ac:dyDescent="0.25">
      <c r="A2" s="74" t="s">
        <v>129</v>
      </c>
      <c r="B2" t="s">
        <v>130</v>
      </c>
    </row>
    <row r="3" spans="1:2" x14ac:dyDescent="0.25">
      <c r="A3" s="74" t="s">
        <v>131</v>
      </c>
      <c r="B3" t="s">
        <v>132</v>
      </c>
    </row>
    <row r="4" spans="1:2" x14ac:dyDescent="0.25">
      <c r="A4" s="74" t="s">
        <v>133</v>
      </c>
      <c r="B4" t="s">
        <v>134</v>
      </c>
    </row>
    <row r="5" spans="1:2" x14ac:dyDescent="0.25">
      <c r="A5" s="74" t="s">
        <v>135</v>
      </c>
      <c r="B5" t="s">
        <v>136</v>
      </c>
    </row>
    <row r="6" spans="1:2" x14ac:dyDescent="0.25">
      <c r="A6" s="74" t="s">
        <v>137</v>
      </c>
      <c r="B6" t="s">
        <v>138</v>
      </c>
    </row>
    <row r="7" spans="1:2" x14ac:dyDescent="0.25">
      <c r="A7" s="74" t="s">
        <v>139</v>
      </c>
      <c r="B7" t="s">
        <v>140</v>
      </c>
    </row>
    <row r="8" spans="1:2" x14ac:dyDescent="0.25">
      <c r="A8" s="74" t="s">
        <v>141</v>
      </c>
      <c r="B8" t="s">
        <v>142</v>
      </c>
    </row>
    <row r="9" spans="1:2" x14ac:dyDescent="0.25">
      <c r="A9" s="74" t="s">
        <v>143</v>
      </c>
      <c r="B9" t="s">
        <v>144</v>
      </c>
    </row>
    <row r="10" spans="1:2" x14ac:dyDescent="0.25">
      <c r="A10" s="74" t="s">
        <v>145</v>
      </c>
      <c r="B10" t="s">
        <v>146</v>
      </c>
    </row>
    <row r="11" spans="1:2" x14ac:dyDescent="0.25">
      <c r="A11" s="74" t="s">
        <v>147</v>
      </c>
      <c r="B11" t="s">
        <v>148</v>
      </c>
    </row>
    <row r="12" spans="1:2" x14ac:dyDescent="0.25">
      <c r="A12" s="74" t="s">
        <v>149</v>
      </c>
      <c r="B12" t="s">
        <v>150</v>
      </c>
    </row>
    <row r="13" spans="1:2" x14ac:dyDescent="0.25">
      <c r="A13" s="74" t="s">
        <v>151</v>
      </c>
      <c r="B13" t="s">
        <v>152</v>
      </c>
    </row>
    <row r="14" spans="1:2" x14ac:dyDescent="0.25">
      <c r="A14" s="74" t="s">
        <v>153</v>
      </c>
      <c r="B14" t="s">
        <v>154</v>
      </c>
    </row>
    <row r="15" spans="1:2" x14ac:dyDescent="0.25">
      <c r="A15" s="74" t="s">
        <v>155</v>
      </c>
      <c r="B15" t="s">
        <v>156</v>
      </c>
    </row>
    <row r="16" spans="1:2" x14ac:dyDescent="0.25">
      <c r="A16" s="74" t="s">
        <v>157</v>
      </c>
      <c r="B16" t="s">
        <v>158</v>
      </c>
    </row>
    <row r="17" spans="1:2" x14ac:dyDescent="0.25">
      <c r="A17" s="74" t="s">
        <v>159</v>
      </c>
      <c r="B17" t="s">
        <v>160</v>
      </c>
    </row>
    <row r="18" spans="1:2" x14ac:dyDescent="0.25">
      <c r="A18" s="74" t="s">
        <v>161</v>
      </c>
      <c r="B18" t="s">
        <v>162</v>
      </c>
    </row>
    <row r="19" spans="1:2" x14ac:dyDescent="0.25">
      <c r="A19" s="74" t="s">
        <v>163</v>
      </c>
      <c r="B19" t="s">
        <v>164</v>
      </c>
    </row>
    <row r="20" spans="1:2" x14ac:dyDescent="0.25">
      <c r="A20" s="74" t="s">
        <v>165</v>
      </c>
      <c r="B20" t="s">
        <v>166</v>
      </c>
    </row>
    <row r="21" spans="1:2" x14ac:dyDescent="0.25">
      <c r="A21" s="74" t="s">
        <v>167</v>
      </c>
      <c r="B21" t="s">
        <v>168</v>
      </c>
    </row>
    <row r="22" spans="1:2" x14ac:dyDescent="0.25">
      <c r="A22" s="74" t="s">
        <v>169</v>
      </c>
      <c r="B22" t="s">
        <v>170</v>
      </c>
    </row>
    <row r="23" spans="1:2" x14ac:dyDescent="0.25">
      <c r="A23" s="74" t="s">
        <v>171</v>
      </c>
      <c r="B23" t="s">
        <v>172</v>
      </c>
    </row>
    <row r="24" spans="1:2" x14ac:dyDescent="0.25">
      <c r="A24" s="74" t="s">
        <v>173</v>
      </c>
      <c r="B24" t="s">
        <v>174</v>
      </c>
    </row>
    <row r="25" spans="1:2" x14ac:dyDescent="0.25">
      <c r="A25" s="74" t="s">
        <v>175</v>
      </c>
      <c r="B25" t="s">
        <v>176</v>
      </c>
    </row>
    <row r="26" spans="1:2" x14ac:dyDescent="0.25">
      <c r="A26" s="74" t="s">
        <v>177</v>
      </c>
      <c r="B26" t="s">
        <v>178</v>
      </c>
    </row>
    <row r="27" spans="1:2" x14ac:dyDescent="0.25">
      <c r="A27" s="74" t="s">
        <v>179</v>
      </c>
      <c r="B27" t="s">
        <v>180</v>
      </c>
    </row>
    <row r="28" spans="1:2" x14ac:dyDescent="0.25">
      <c r="A28" s="74" t="s">
        <v>181</v>
      </c>
      <c r="B28" t="s">
        <v>182</v>
      </c>
    </row>
    <row r="29" spans="1:2" x14ac:dyDescent="0.25">
      <c r="A29" s="74" t="s">
        <v>183</v>
      </c>
      <c r="B29" t="s">
        <v>184</v>
      </c>
    </row>
    <row r="30" spans="1:2" x14ac:dyDescent="0.25">
      <c r="A30" s="74" t="s">
        <v>185</v>
      </c>
      <c r="B30" t="s">
        <v>186</v>
      </c>
    </row>
    <row r="31" spans="1:2" x14ac:dyDescent="0.25">
      <c r="A31" s="74" t="s">
        <v>187</v>
      </c>
      <c r="B31" t="s">
        <v>188</v>
      </c>
    </row>
    <row r="32" spans="1:2" x14ac:dyDescent="0.25">
      <c r="A32" s="74" t="s">
        <v>189</v>
      </c>
      <c r="B32" t="s">
        <v>190</v>
      </c>
    </row>
    <row r="33" spans="1:2" x14ac:dyDescent="0.25">
      <c r="A33" s="74" t="s">
        <v>191</v>
      </c>
      <c r="B33" t="s">
        <v>192</v>
      </c>
    </row>
    <row r="34" spans="1:2" x14ac:dyDescent="0.25">
      <c r="A34" s="74" t="s">
        <v>193</v>
      </c>
      <c r="B34" t="s">
        <v>194</v>
      </c>
    </row>
    <row r="35" spans="1:2" x14ac:dyDescent="0.25">
      <c r="A35" s="74" t="s">
        <v>195</v>
      </c>
      <c r="B35" t="s">
        <v>196</v>
      </c>
    </row>
    <row r="36" spans="1:2" x14ac:dyDescent="0.25">
      <c r="A36" s="74" t="s">
        <v>197</v>
      </c>
      <c r="B36" t="s">
        <v>198</v>
      </c>
    </row>
    <row r="37" spans="1:2" x14ac:dyDescent="0.25">
      <c r="A37" s="74" t="s">
        <v>199</v>
      </c>
      <c r="B37" t="s">
        <v>200</v>
      </c>
    </row>
    <row r="38" spans="1:2" x14ac:dyDescent="0.25">
      <c r="A38" s="74" t="s">
        <v>201</v>
      </c>
      <c r="B38" t="s">
        <v>202</v>
      </c>
    </row>
    <row r="39" spans="1:2" x14ac:dyDescent="0.25">
      <c r="A39" s="74" t="s">
        <v>203</v>
      </c>
      <c r="B39" t="s">
        <v>204</v>
      </c>
    </row>
    <row r="40" spans="1:2" x14ac:dyDescent="0.25">
      <c r="A40" s="74" t="s">
        <v>205</v>
      </c>
      <c r="B40" t="s">
        <v>206</v>
      </c>
    </row>
    <row r="41" spans="1:2" x14ac:dyDescent="0.25">
      <c r="A41" s="74" t="s">
        <v>207</v>
      </c>
      <c r="B41" t="s">
        <v>208</v>
      </c>
    </row>
    <row r="42" spans="1:2" x14ac:dyDescent="0.25">
      <c r="A42" s="74" t="s">
        <v>209</v>
      </c>
      <c r="B42" t="s">
        <v>210</v>
      </c>
    </row>
    <row r="43" spans="1:2" x14ac:dyDescent="0.25">
      <c r="A43" s="74" t="s">
        <v>211</v>
      </c>
      <c r="B43" t="s">
        <v>212</v>
      </c>
    </row>
    <row r="44" spans="1:2" x14ac:dyDescent="0.25">
      <c r="A44" s="74" t="s">
        <v>213</v>
      </c>
      <c r="B44" t="s">
        <v>214</v>
      </c>
    </row>
    <row r="45" spans="1:2" x14ac:dyDescent="0.25">
      <c r="A45" s="74" t="s">
        <v>215</v>
      </c>
      <c r="B45" t="s">
        <v>216</v>
      </c>
    </row>
    <row r="46" spans="1:2" x14ac:dyDescent="0.25">
      <c r="A46" s="74" t="s">
        <v>217</v>
      </c>
      <c r="B46" t="s">
        <v>218</v>
      </c>
    </row>
    <row r="47" spans="1:2" x14ac:dyDescent="0.25">
      <c r="A47" s="74" t="s">
        <v>219</v>
      </c>
      <c r="B47" t="s">
        <v>220</v>
      </c>
    </row>
    <row r="48" spans="1:2" x14ac:dyDescent="0.25">
      <c r="A48" s="74" t="s">
        <v>221</v>
      </c>
      <c r="B48" t="s">
        <v>222</v>
      </c>
    </row>
    <row r="49" spans="1:2" x14ac:dyDescent="0.25">
      <c r="A49" s="74" t="s">
        <v>223</v>
      </c>
      <c r="B49" t="s">
        <v>224</v>
      </c>
    </row>
    <row r="50" spans="1:2" x14ac:dyDescent="0.25">
      <c r="A50" s="74" t="s">
        <v>225</v>
      </c>
      <c r="B50" t="s">
        <v>226</v>
      </c>
    </row>
    <row r="51" spans="1:2" x14ac:dyDescent="0.25">
      <c r="A51" s="74" t="s">
        <v>227</v>
      </c>
      <c r="B51" t="s">
        <v>228</v>
      </c>
    </row>
    <row r="52" spans="1:2" x14ac:dyDescent="0.25">
      <c r="A52" s="74" t="s">
        <v>229</v>
      </c>
      <c r="B52" t="s">
        <v>230</v>
      </c>
    </row>
    <row r="53" spans="1:2" x14ac:dyDescent="0.25">
      <c r="A53" s="74" t="s">
        <v>231</v>
      </c>
      <c r="B53" t="s">
        <v>232</v>
      </c>
    </row>
    <row r="54" spans="1:2" x14ac:dyDescent="0.25">
      <c r="A54" s="74" t="s">
        <v>233</v>
      </c>
      <c r="B54" t="s">
        <v>234</v>
      </c>
    </row>
    <row r="55" spans="1:2" x14ac:dyDescent="0.25">
      <c r="A55" s="74" t="s">
        <v>235</v>
      </c>
      <c r="B55" t="s">
        <v>236</v>
      </c>
    </row>
    <row r="56" spans="1:2" x14ac:dyDescent="0.25">
      <c r="A56" s="74" t="s">
        <v>237</v>
      </c>
      <c r="B56" t="s">
        <v>238</v>
      </c>
    </row>
    <row r="57" spans="1:2" x14ac:dyDescent="0.25">
      <c r="A57" s="74" t="s">
        <v>239</v>
      </c>
      <c r="B57" t="s">
        <v>240</v>
      </c>
    </row>
    <row r="58" spans="1:2" x14ac:dyDescent="0.25">
      <c r="A58" s="74" t="s">
        <v>241</v>
      </c>
      <c r="B58" t="s">
        <v>242</v>
      </c>
    </row>
    <row r="59" spans="1:2" x14ac:dyDescent="0.25">
      <c r="A59" s="74" t="s">
        <v>243</v>
      </c>
      <c r="B59" t="s">
        <v>244</v>
      </c>
    </row>
    <row r="60" spans="1:2" x14ac:dyDescent="0.25">
      <c r="A60" s="74" t="s">
        <v>245</v>
      </c>
      <c r="B60" t="s">
        <v>246</v>
      </c>
    </row>
    <row r="61" spans="1:2" x14ac:dyDescent="0.25">
      <c r="A61" s="74" t="s">
        <v>247</v>
      </c>
      <c r="B61" t="s">
        <v>248</v>
      </c>
    </row>
    <row r="62" spans="1:2" x14ac:dyDescent="0.25">
      <c r="A62" s="74" t="s">
        <v>249</v>
      </c>
      <c r="B62" t="s">
        <v>250</v>
      </c>
    </row>
    <row r="63" spans="1:2" x14ac:dyDescent="0.25">
      <c r="A63" s="74" t="s">
        <v>251</v>
      </c>
      <c r="B63" t="s">
        <v>252</v>
      </c>
    </row>
    <row r="64" spans="1:2" x14ac:dyDescent="0.25">
      <c r="A64" s="74" t="s">
        <v>253</v>
      </c>
      <c r="B64" t="s">
        <v>254</v>
      </c>
    </row>
    <row r="65" spans="1:2" x14ac:dyDescent="0.25">
      <c r="A65" s="74" t="s">
        <v>255</v>
      </c>
      <c r="B65" t="s">
        <v>256</v>
      </c>
    </row>
    <row r="66" spans="1:2" x14ac:dyDescent="0.25">
      <c r="A66" s="74" t="s">
        <v>257</v>
      </c>
      <c r="B66" t="s">
        <v>258</v>
      </c>
    </row>
    <row r="67" spans="1:2" x14ac:dyDescent="0.25">
      <c r="A67" s="74" t="s">
        <v>117</v>
      </c>
      <c r="B67" t="s">
        <v>117</v>
      </c>
    </row>
    <row r="68" spans="1:2" x14ac:dyDescent="0.25">
      <c r="A68" s="74" t="s">
        <v>259</v>
      </c>
      <c r="B68" t="s">
        <v>260</v>
      </c>
    </row>
    <row r="69" spans="1:2" x14ac:dyDescent="0.25">
      <c r="A69" s="74" t="s">
        <v>261</v>
      </c>
      <c r="B69" t="s">
        <v>262</v>
      </c>
    </row>
    <row r="70" spans="1:2" x14ac:dyDescent="0.25">
      <c r="A70" s="74" t="s">
        <v>263</v>
      </c>
      <c r="B70" t="s">
        <v>264</v>
      </c>
    </row>
    <row r="71" spans="1:2" x14ac:dyDescent="0.25">
      <c r="A71" s="74" t="s">
        <v>265</v>
      </c>
      <c r="B71" t="s">
        <v>266</v>
      </c>
    </row>
    <row r="72" spans="1:2" x14ac:dyDescent="0.25">
      <c r="A72" s="74" t="s">
        <v>267</v>
      </c>
      <c r="B72" t="s">
        <v>268</v>
      </c>
    </row>
    <row r="73" spans="1:2" x14ac:dyDescent="0.25">
      <c r="A73" s="74" t="s">
        <v>269</v>
      </c>
      <c r="B73" t="s">
        <v>270</v>
      </c>
    </row>
    <row r="74" spans="1:2" x14ac:dyDescent="0.25">
      <c r="A74" s="74" t="s">
        <v>117</v>
      </c>
      <c r="B74" t="s">
        <v>117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92DC-22BC-4189-BC09-2379D93715CD}">
  <sheetPr>
    <tabColor rgb="FFFFFF00"/>
  </sheetPr>
  <dimension ref="B2:AB57"/>
  <sheetViews>
    <sheetView zoomScale="50" zoomScaleNormal="50" workbookViewId="0">
      <selection activeCell="L6" sqref="L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1764</v>
      </c>
      <c r="H6" s="43" t="s">
        <v>277</v>
      </c>
      <c r="I6" s="1" t="s">
        <v>160</v>
      </c>
      <c r="J6" s="43" t="s">
        <v>278</v>
      </c>
      <c r="K6" s="1" t="s">
        <v>1765</v>
      </c>
    </row>
    <row r="7" spans="2:26" ht="72.599999999999994" customHeight="1" thickBot="1" x14ac:dyDescent="0.3">
      <c r="B7" s="160"/>
      <c r="C7" s="161"/>
      <c r="D7" s="43" t="s">
        <v>279</v>
      </c>
      <c r="E7" s="1">
        <v>2023</v>
      </c>
      <c r="F7" s="43" t="s">
        <v>280</v>
      </c>
      <c r="G7" s="1">
        <v>451</v>
      </c>
      <c r="H7" s="43" t="s">
        <v>281</v>
      </c>
      <c r="I7" s="1" t="s">
        <v>282</v>
      </c>
      <c r="J7" s="43" t="s">
        <v>283</v>
      </c>
      <c r="K7" s="1" t="s">
        <v>434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9" x14ac:dyDescent="0.25">
      <c r="B11" s="36"/>
      <c r="C11" s="89" t="s">
        <v>415</v>
      </c>
      <c r="D11" s="78" t="s">
        <v>532</v>
      </c>
      <c r="E11" s="89" t="s">
        <v>533</v>
      </c>
      <c r="F11" s="3"/>
      <c r="G11" s="17"/>
      <c r="H11" s="17">
        <v>0.6</v>
      </c>
      <c r="I11" s="17">
        <v>1</v>
      </c>
      <c r="J11" s="89" t="s">
        <v>534</v>
      </c>
      <c r="K11" s="90" t="s">
        <v>535</v>
      </c>
      <c r="U11" s="3">
        <f>F11</f>
        <v>0</v>
      </c>
      <c r="V11" s="2" t="str">
        <f>C11</f>
        <v>K2.1</v>
      </c>
      <c r="W11" s="2"/>
      <c r="X11" s="17"/>
      <c r="Y11" s="37"/>
      <c r="Z11" s="37"/>
    </row>
    <row r="12" spans="2:26" ht="58.9" customHeight="1" x14ac:dyDescent="0.25">
      <c r="B12" s="36"/>
      <c r="C12" s="84" t="s">
        <v>536</v>
      </c>
      <c r="D12" s="79" t="s">
        <v>537</v>
      </c>
      <c r="E12" s="84" t="s">
        <v>24</v>
      </c>
      <c r="F12" s="6"/>
      <c r="G12" s="4"/>
      <c r="H12" s="17">
        <v>0.6</v>
      </c>
      <c r="I12" s="17">
        <v>1</v>
      </c>
      <c r="J12" s="84" t="s">
        <v>538</v>
      </c>
      <c r="K12" s="81" t="s">
        <v>539</v>
      </c>
      <c r="U12" s="6">
        <f>F12</f>
        <v>0</v>
      </c>
      <c r="V12" s="2" t="str">
        <f>C12</f>
        <v xml:space="preserve">S3.1 </v>
      </c>
      <c r="W12" s="5"/>
      <c r="X12" s="4"/>
      <c r="Y12" s="38"/>
      <c r="Z12" s="38"/>
    </row>
    <row r="13" spans="2:26" ht="58.9" customHeight="1" x14ac:dyDescent="0.25">
      <c r="B13" s="36"/>
      <c r="C13" s="84" t="s">
        <v>437</v>
      </c>
      <c r="D13" s="79" t="s">
        <v>540</v>
      </c>
      <c r="E13" s="84" t="s">
        <v>541</v>
      </c>
      <c r="F13" s="6"/>
      <c r="G13" s="4"/>
      <c r="H13" s="17">
        <v>0.6</v>
      </c>
      <c r="I13" s="17">
        <v>1</v>
      </c>
      <c r="J13" s="84" t="s">
        <v>542</v>
      </c>
      <c r="K13" s="82" t="s">
        <v>543</v>
      </c>
      <c r="U13" s="6">
        <f>F13</f>
        <v>0</v>
      </c>
      <c r="V13" s="2" t="str">
        <f>C13</f>
        <v>S3.2</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 xml:space="preserve">S3.1 </v>
      </c>
      <c r="H25" s="49" t="str">
        <f>C13</f>
        <v>S3.2</v>
      </c>
      <c r="I25" s="49">
        <f>C14</f>
        <v>0</v>
      </c>
      <c r="J25" s="49">
        <f>C15</f>
        <v>0</v>
      </c>
      <c r="K25" s="49">
        <f>C16</f>
        <v>0</v>
      </c>
      <c r="L25" s="49">
        <f>C17</f>
        <v>0</v>
      </c>
      <c r="M25" s="49">
        <f>C18</f>
        <v>0</v>
      </c>
      <c r="N25" s="49">
        <f>C19</f>
        <v>0</v>
      </c>
      <c r="O25" s="50" t="s">
        <v>305</v>
      </c>
    </row>
    <row r="26" spans="2:26" ht="30.4" customHeight="1" thickBot="1" x14ac:dyDescent="0.3">
      <c r="C26" s="51" t="s">
        <v>306</v>
      </c>
      <c r="D26" s="25" t="s">
        <v>544</v>
      </c>
      <c r="E26" s="8">
        <v>4</v>
      </c>
      <c r="F26" s="8">
        <v>4</v>
      </c>
      <c r="G26" s="8"/>
      <c r="H26" s="8"/>
      <c r="I26" s="8"/>
      <c r="J26" s="8"/>
      <c r="K26" s="8"/>
      <c r="L26" s="8"/>
      <c r="M26" s="8"/>
      <c r="N26" s="8"/>
      <c r="O26" s="53" t="b">
        <f t="shared" ref="O26:O40" si="0">IF(SUM(F26:N26)=E26,TRUE,"false")</f>
        <v>1</v>
      </c>
    </row>
    <row r="27" spans="2:26" ht="30.4" customHeight="1" thickBot="1" x14ac:dyDescent="0.3">
      <c r="C27" s="51" t="s">
        <v>307</v>
      </c>
      <c r="D27" s="25" t="s">
        <v>545</v>
      </c>
      <c r="E27" s="8">
        <v>6</v>
      </c>
      <c r="F27" s="8">
        <v>2</v>
      </c>
      <c r="G27" s="8">
        <v>2</v>
      </c>
      <c r="H27" s="8">
        <v>2</v>
      </c>
      <c r="I27" s="8"/>
      <c r="J27" s="8"/>
      <c r="K27" s="8"/>
      <c r="L27" s="8"/>
      <c r="M27" s="8"/>
      <c r="N27" s="8"/>
      <c r="O27" s="53" t="b">
        <f t="shared" si="0"/>
        <v>1</v>
      </c>
    </row>
    <row r="28" spans="2:26" ht="30.4" customHeight="1" thickBot="1" x14ac:dyDescent="0.3">
      <c r="C28" s="51" t="s">
        <v>308</v>
      </c>
      <c r="D28" s="25" t="s">
        <v>546</v>
      </c>
      <c r="E28" s="8">
        <v>6</v>
      </c>
      <c r="F28" s="8">
        <v>2</v>
      </c>
      <c r="G28" s="8">
        <v>2</v>
      </c>
      <c r="H28" s="8">
        <v>2</v>
      </c>
      <c r="I28" s="8"/>
      <c r="J28" s="8"/>
      <c r="K28" s="8"/>
      <c r="L28" s="8"/>
      <c r="M28" s="8"/>
      <c r="N28" s="8"/>
      <c r="O28" s="53" t="b">
        <f t="shared" si="0"/>
        <v>1</v>
      </c>
    </row>
    <row r="29" spans="2:26" ht="30.4" customHeight="1" thickBot="1" x14ac:dyDescent="0.3">
      <c r="C29" s="51" t="s">
        <v>309</v>
      </c>
      <c r="D29" s="25" t="s">
        <v>547</v>
      </c>
      <c r="E29" s="8">
        <v>2</v>
      </c>
      <c r="F29" s="8">
        <v>2</v>
      </c>
      <c r="G29" s="8"/>
      <c r="H29" s="8"/>
      <c r="I29" s="8"/>
      <c r="J29" s="8"/>
      <c r="K29" s="8"/>
      <c r="L29" s="8"/>
      <c r="M29" s="8"/>
      <c r="N29" s="8"/>
      <c r="O29" s="53" t="b">
        <f t="shared" si="0"/>
        <v>1</v>
      </c>
    </row>
    <row r="30" spans="2:26" ht="30.4" customHeight="1" thickBot="1" x14ac:dyDescent="0.3">
      <c r="C30" s="51" t="s">
        <v>310</v>
      </c>
      <c r="D30" s="25" t="s">
        <v>548</v>
      </c>
      <c r="E30" s="8">
        <v>6</v>
      </c>
      <c r="F30" s="8">
        <v>2</v>
      </c>
      <c r="G30" s="8">
        <v>2</v>
      </c>
      <c r="H30" s="8">
        <v>2</v>
      </c>
      <c r="I30" s="8"/>
      <c r="J30" s="8"/>
      <c r="K30" s="8"/>
      <c r="L30" s="8"/>
      <c r="M30" s="8"/>
      <c r="N30" s="8"/>
      <c r="O30" s="53" t="b">
        <f t="shared" si="0"/>
        <v>1</v>
      </c>
    </row>
    <row r="31" spans="2:26" ht="30.4" customHeight="1" thickBot="1" x14ac:dyDescent="0.3">
      <c r="C31" s="51" t="s">
        <v>311</v>
      </c>
      <c r="D31" s="25" t="s">
        <v>549</v>
      </c>
      <c r="E31" s="8">
        <v>6</v>
      </c>
      <c r="F31" s="8">
        <v>2</v>
      </c>
      <c r="G31" s="8">
        <v>2</v>
      </c>
      <c r="H31" s="8">
        <v>2</v>
      </c>
      <c r="I31" s="8"/>
      <c r="J31" s="8"/>
      <c r="K31" s="8"/>
      <c r="L31" s="8"/>
      <c r="M31" s="8"/>
      <c r="N31" s="8"/>
      <c r="O31" s="53" t="b">
        <f t="shared" si="0"/>
        <v>1</v>
      </c>
    </row>
    <row r="32" spans="2:26" ht="30.4" customHeight="1" thickBot="1" x14ac:dyDescent="0.3">
      <c r="C32" s="51" t="s">
        <v>312</v>
      </c>
      <c r="D32" s="25" t="s">
        <v>550</v>
      </c>
      <c r="E32" s="8">
        <v>6</v>
      </c>
      <c r="F32" s="8">
        <v>2</v>
      </c>
      <c r="G32" s="8">
        <v>2</v>
      </c>
      <c r="H32" s="8">
        <v>2</v>
      </c>
      <c r="I32" s="8"/>
      <c r="J32" s="8"/>
      <c r="K32" s="8"/>
      <c r="L32" s="8"/>
      <c r="M32" s="8"/>
      <c r="N32" s="8"/>
      <c r="O32" s="53" t="b">
        <f t="shared" si="0"/>
        <v>1</v>
      </c>
    </row>
    <row r="33" spans="2:15" ht="30.4" customHeight="1" thickBot="1" x14ac:dyDescent="0.3">
      <c r="C33" s="51" t="s">
        <v>313</v>
      </c>
      <c r="D33" s="25" t="s">
        <v>551</v>
      </c>
      <c r="E33" s="8">
        <v>6</v>
      </c>
      <c r="F33" s="8">
        <v>2</v>
      </c>
      <c r="G33" s="8">
        <v>2</v>
      </c>
      <c r="H33" s="8">
        <v>2</v>
      </c>
      <c r="I33" s="8"/>
      <c r="J33" s="8"/>
      <c r="K33" s="8"/>
      <c r="L33" s="8"/>
      <c r="M33" s="8"/>
      <c r="N33" s="8"/>
      <c r="O33" s="53" t="b">
        <f t="shared" si="0"/>
        <v>1</v>
      </c>
    </row>
    <row r="34" spans="2:15" ht="30.4" customHeight="1" thickBot="1" x14ac:dyDescent="0.3">
      <c r="C34" s="51" t="s">
        <v>314</v>
      </c>
      <c r="D34" s="25" t="s">
        <v>552</v>
      </c>
      <c r="E34" s="8">
        <v>6</v>
      </c>
      <c r="F34" s="8">
        <v>4</v>
      </c>
      <c r="G34" s="8">
        <v>2</v>
      </c>
      <c r="H34" s="8"/>
      <c r="I34" s="8"/>
      <c r="J34" s="8"/>
      <c r="K34" s="8"/>
      <c r="L34" s="8"/>
      <c r="M34" s="8"/>
      <c r="N34" s="8"/>
      <c r="O34" s="53" t="b">
        <f t="shared" si="0"/>
        <v>1</v>
      </c>
    </row>
    <row r="35" spans="2:15" ht="30.4" customHeight="1" thickBot="1" x14ac:dyDescent="0.3">
      <c r="C35" s="51" t="s">
        <v>315</v>
      </c>
      <c r="D35" s="25" t="s">
        <v>553</v>
      </c>
      <c r="E35" s="8">
        <v>6</v>
      </c>
      <c r="F35" s="8">
        <v>4</v>
      </c>
      <c r="G35" s="8">
        <v>2</v>
      </c>
      <c r="H35" s="8"/>
      <c r="I35" s="8"/>
      <c r="J35" s="8"/>
      <c r="K35" s="8"/>
      <c r="L35" s="8"/>
      <c r="M35" s="8"/>
      <c r="N35" s="8"/>
      <c r="O35" s="53" t="b">
        <f t="shared" si="0"/>
        <v>1</v>
      </c>
    </row>
    <row r="36" spans="2:15" ht="30.4" customHeight="1" thickBot="1" x14ac:dyDescent="0.3">
      <c r="C36" s="51" t="s">
        <v>316</v>
      </c>
      <c r="D36" s="25" t="s">
        <v>554</v>
      </c>
      <c r="E36" s="8">
        <v>6</v>
      </c>
      <c r="F36" s="8">
        <v>4</v>
      </c>
      <c r="G36" s="8">
        <v>2</v>
      </c>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30</v>
      </c>
      <c r="G40" s="52">
        <f t="shared" si="1"/>
        <v>18</v>
      </c>
      <c r="H40" s="52">
        <f t="shared" si="1"/>
        <v>12</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0.5</v>
      </c>
      <c r="G41" s="54">
        <f>ROUND(G40/E40,2)</f>
        <v>0.3</v>
      </c>
      <c r="H41" s="54">
        <f>ROUND(H40/E40,2)</f>
        <v>0.2</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50</v>
      </c>
      <c r="G42" s="7">
        <v>30</v>
      </c>
      <c r="H42" s="7">
        <v>20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 xml:space="preserve">S3.1 </v>
      </c>
      <c r="G46" s="59" t="str">
        <f>C13</f>
        <v>S3.2</v>
      </c>
      <c r="H46" s="59">
        <f>C14</f>
        <v>0</v>
      </c>
      <c r="I46" s="59">
        <f>C15</f>
        <v>0</v>
      </c>
      <c r="J46" s="59">
        <f>C16</f>
        <v>0</v>
      </c>
      <c r="K46" s="59">
        <f>C17</f>
        <v>0</v>
      </c>
      <c r="L46" s="59">
        <f>C18</f>
        <v>0</v>
      </c>
      <c r="M46" s="59">
        <f>C19</f>
        <v>0</v>
      </c>
      <c r="N46" s="60" t="s">
        <v>327</v>
      </c>
    </row>
    <row r="47" spans="2:15" ht="55.15" customHeight="1" x14ac:dyDescent="0.25">
      <c r="C47" s="9" t="s">
        <v>331</v>
      </c>
      <c r="D47" s="10">
        <v>5</v>
      </c>
      <c r="E47" s="8"/>
      <c r="F47" s="8">
        <v>5</v>
      </c>
      <c r="G47" s="8"/>
      <c r="H47" s="8"/>
      <c r="I47" s="8"/>
      <c r="J47" s="8"/>
      <c r="K47" s="8"/>
      <c r="L47" s="8"/>
      <c r="M47" s="8"/>
      <c r="N47" s="55" t="b">
        <f t="shared" ref="N47:N54" si="2">IF(SUM(E47:M47)=D47,TRUE,"false")</f>
        <v>1</v>
      </c>
    </row>
    <row r="48" spans="2:15" ht="55.15" customHeight="1" x14ac:dyDescent="0.25">
      <c r="C48" s="9" t="s">
        <v>328</v>
      </c>
      <c r="D48" s="10">
        <v>25</v>
      </c>
      <c r="E48" s="11">
        <v>20</v>
      </c>
      <c r="F48" s="12">
        <v>5</v>
      </c>
      <c r="G48" s="12"/>
      <c r="H48" s="12"/>
      <c r="I48" s="12"/>
      <c r="J48" s="12"/>
      <c r="K48" s="12"/>
      <c r="L48" s="12"/>
      <c r="M48" s="12"/>
      <c r="N48" s="55" t="b">
        <f t="shared" si="2"/>
        <v>1</v>
      </c>
    </row>
    <row r="49" spans="3:14" ht="55.15" customHeight="1" x14ac:dyDescent="0.25">
      <c r="C49" s="9" t="s">
        <v>555</v>
      </c>
      <c r="D49" s="10">
        <v>20</v>
      </c>
      <c r="E49" s="11"/>
      <c r="F49" s="12"/>
      <c r="G49" s="12">
        <v>20</v>
      </c>
      <c r="H49" s="12"/>
      <c r="I49" s="12"/>
      <c r="J49" s="12"/>
      <c r="K49" s="12"/>
      <c r="L49" s="12"/>
      <c r="M49" s="12"/>
      <c r="N49" s="55" t="b">
        <f t="shared" si="2"/>
        <v>1</v>
      </c>
    </row>
    <row r="50" spans="3:14" ht="55.15" customHeight="1" x14ac:dyDescent="0.25">
      <c r="C50" s="9" t="s">
        <v>460</v>
      </c>
      <c r="D50" s="10">
        <v>50</v>
      </c>
      <c r="E50" s="11">
        <v>30</v>
      </c>
      <c r="F50" s="12">
        <v>20</v>
      </c>
      <c r="G50" s="12"/>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50</v>
      </c>
      <c r="F56" s="65">
        <f t="shared" si="4"/>
        <v>30</v>
      </c>
      <c r="G56" s="65">
        <f t="shared" si="4"/>
        <v>20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43" priority="11">
      <formula>LEN(TRIM(D47))=0</formula>
    </cfRule>
    <cfRule type="cellIs" dxfId="142" priority="12" operator="equal">
      <formula>0</formula>
    </cfRule>
  </conditionalFormatting>
  <conditionalFormatting sqref="E50">
    <cfRule type="containsBlanks" dxfId="141" priority="21">
      <formula>LEN(TRIM(E50))=0</formula>
    </cfRule>
    <cfRule type="cellIs" dxfId="140" priority="22" operator="equal">
      <formula>0</formula>
    </cfRule>
  </conditionalFormatting>
  <conditionalFormatting sqref="E47:M51 E52">
    <cfRule type="containsBlanks" dxfId="139" priority="17">
      <formula>LEN(TRIM(E47))=0</formula>
    </cfRule>
    <cfRule type="cellIs" dxfId="138" priority="18" operator="equal">
      <formula>0</formula>
    </cfRule>
  </conditionalFormatting>
  <conditionalFormatting sqref="E53:M54">
    <cfRule type="containsBlanks" dxfId="137" priority="15">
      <formula>LEN(TRIM(E53))=0</formula>
    </cfRule>
    <cfRule type="cellIs" dxfId="136" priority="16" operator="equal">
      <formula>0</formula>
    </cfRule>
  </conditionalFormatting>
  <conditionalFormatting sqref="E55:M55">
    <cfRule type="containsText" dxfId="135" priority="5" operator="containsText" text="false">
      <formula>NOT(ISERROR(SEARCH("false",E55)))</formula>
    </cfRule>
    <cfRule type="containsText" dxfId="134" priority="6" operator="containsText" text="true">
      <formula>NOT(ISERROR(SEARCH("true",E55)))</formula>
    </cfRule>
  </conditionalFormatting>
  <conditionalFormatting sqref="E26:N39">
    <cfRule type="containsBlanks" dxfId="133" priority="3">
      <formula>LEN(TRIM(E26))=0</formula>
    </cfRule>
    <cfRule type="cellIs" dxfId="132" priority="4" operator="equal">
      <formula>0</formula>
    </cfRule>
  </conditionalFormatting>
  <conditionalFormatting sqref="F48:M48">
    <cfRule type="containsBlanks" dxfId="131" priority="23">
      <formula>LEN(TRIM(F48))=0</formula>
    </cfRule>
    <cfRule type="cellIs" dxfId="130" priority="24" operator="equal">
      <formula>0</formula>
    </cfRule>
  </conditionalFormatting>
  <conditionalFormatting sqref="F50:M52">
    <cfRule type="containsBlanks" dxfId="129" priority="19">
      <formula>LEN(TRIM(F50))=0</formula>
    </cfRule>
    <cfRule type="cellIs" dxfId="128" priority="20" operator="equal">
      <formula>0</formula>
    </cfRule>
  </conditionalFormatting>
  <conditionalFormatting sqref="N47:N54">
    <cfRule type="containsText" dxfId="127" priority="7" operator="containsText" text="false">
      <formula>NOT(ISERROR(SEARCH("false",N47)))</formula>
    </cfRule>
    <cfRule type="containsText" dxfId="126" priority="8" operator="containsText" text="true">
      <formula>NOT(ISERROR(SEARCH("true",N47)))</formula>
    </cfRule>
  </conditionalFormatting>
  <conditionalFormatting sqref="N55">
    <cfRule type="containsBlanks" dxfId="125" priority="13">
      <formula>LEN(TRIM(N55))=0</formula>
    </cfRule>
    <cfRule type="cellIs" dxfId="124" priority="14" operator="equal">
      <formula>0</formula>
    </cfRule>
  </conditionalFormatting>
  <conditionalFormatting sqref="O26:O40">
    <cfRule type="containsText" dxfId="123" priority="9" operator="containsText" text="false">
      <formula>NOT(ISERROR(SEARCH("false",O26)))</formula>
    </cfRule>
    <cfRule type="containsText" dxfId="122" priority="10" operator="containsText" text="true">
      <formula>NOT(ISERROR(SEARCH("true",O26)))</formula>
    </cfRule>
  </conditionalFormatting>
  <conditionalFormatting sqref="O42">
    <cfRule type="cellIs" dxfId="121" priority="1" operator="notEqual">
      <formula>100</formula>
    </cfRule>
    <cfRule type="cellIs" dxfId="120" priority="2" operator="equal">
      <formula>100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0000"/>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160</v>
      </c>
      <c r="J6" s="43" t="s">
        <v>278</v>
      </c>
      <c r="K6" s="1" t="s">
        <v>71</v>
      </c>
    </row>
    <row r="7" spans="2:26" ht="72.599999999999994" customHeight="1" thickBot="1" x14ac:dyDescent="0.3">
      <c r="B7" s="160"/>
      <c r="C7" s="161"/>
      <c r="D7" s="43" t="s">
        <v>279</v>
      </c>
      <c r="E7" s="1">
        <v>2</v>
      </c>
      <c r="F7" s="43" t="s">
        <v>280</v>
      </c>
      <c r="G7" s="1">
        <v>3</v>
      </c>
      <c r="H7" s="43" t="s">
        <v>281</v>
      </c>
      <c r="I7" s="1" t="s">
        <v>282</v>
      </c>
      <c r="J7" s="43" t="s">
        <v>283</v>
      </c>
      <c r="K7" s="1" t="s">
        <v>434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9" x14ac:dyDescent="0.25">
      <c r="B11" s="36"/>
      <c r="C11" s="89" t="s">
        <v>415</v>
      </c>
      <c r="D11" s="78" t="s">
        <v>532</v>
      </c>
      <c r="E11" s="89" t="s">
        <v>533</v>
      </c>
      <c r="F11" s="3"/>
      <c r="G11" s="17"/>
      <c r="H11" s="17">
        <v>0.6</v>
      </c>
      <c r="I11" s="17">
        <v>1</v>
      </c>
      <c r="J11" s="89" t="s">
        <v>534</v>
      </c>
      <c r="K11" s="90" t="s">
        <v>535</v>
      </c>
      <c r="U11" s="3">
        <f>F11</f>
        <v>0</v>
      </c>
      <c r="V11" s="2" t="str">
        <f>C11</f>
        <v>K2.1</v>
      </c>
      <c r="W11" s="2"/>
      <c r="X11" s="17"/>
      <c r="Y11" s="37"/>
      <c r="Z11" s="37"/>
    </row>
    <row r="12" spans="2:26" ht="58.9" customHeight="1" x14ac:dyDescent="0.25">
      <c r="B12" s="36"/>
      <c r="C12" s="84" t="s">
        <v>536</v>
      </c>
      <c r="D12" s="79" t="s">
        <v>537</v>
      </c>
      <c r="E12" s="84" t="s">
        <v>24</v>
      </c>
      <c r="F12" s="6"/>
      <c r="G12" s="4"/>
      <c r="H12" s="17">
        <v>0.6</v>
      </c>
      <c r="I12" s="17">
        <v>1</v>
      </c>
      <c r="J12" s="84" t="s">
        <v>538</v>
      </c>
      <c r="K12" s="81" t="s">
        <v>539</v>
      </c>
      <c r="U12" s="6">
        <f>F12</f>
        <v>0</v>
      </c>
      <c r="V12" s="2" t="str">
        <f>C12</f>
        <v xml:space="preserve">S3.1 </v>
      </c>
      <c r="W12" s="5"/>
      <c r="X12" s="4"/>
      <c r="Y12" s="38"/>
      <c r="Z12" s="38"/>
    </row>
    <row r="13" spans="2:26" ht="58.9" customHeight="1" x14ac:dyDescent="0.25">
      <c r="B13" s="36"/>
      <c r="C13" s="84" t="s">
        <v>437</v>
      </c>
      <c r="D13" s="79" t="s">
        <v>540</v>
      </c>
      <c r="E13" s="84" t="s">
        <v>541</v>
      </c>
      <c r="F13" s="6"/>
      <c r="G13" s="4"/>
      <c r="H13" s="17">
        <v>0.6</v>
      </c>
      <c r="I13" s="17">
        <v>1</v>
      </c>
      <c r="J13" s="84" t="s">
        <v>542</v>
      </c>
      <c r="K13" s="82" t="s">
        <v>543</v>
      </c>
      <c r="U13" s="6">
        <f>F13</f>
        <v>0</v>
      </c>
      <c r="V13" s="2" t="str">
        <f>C13</f>
        <v>S3.2</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 xml:space="preserve">S3.1 </v>
      </c>
      <c r="H25" s="49" t="str">
        <f>C13</f>
        <v>S3.2</v>
      </c>
      <c r="I25" s="49">
        <f>C14</f>
        <v>0</v>
      </c>
      <c r="J25" s="49">
        <f>C15</f>
        <v>0</v>
      </c>
      <c r="K25" s="49">
        <f>C16</f>
        <v>0</v>
      </c>
      <c r="L25" s="49">
        <f>C17</f>
        <v>0</v>
      </c>
      <c r="M25" s="49">
        <f>C18</f>
        <v>0</v>
      </c>
      <c r="N25" s="49">
        <f>C19</f>
        <v>0</v>
      </c>
      <c r="O25" s="50" t="s">
        <v>305</v>
      </c>
    </row>
    <row r="26" spans="2:26" ht="30.4" customHeight="1" thickBot="1" x14ac:dyDescent="0.3">
      <c r="C26" s="51" t="s">
        <v>306</v>
      </c>
      <c r="D26" s="25" t="s">
        <v>544</v>
      </c>
      <c r="E26" s="8">
        <v>4</v>
      </c>
      <c r="F26" s="8">
        <v>4</v>
      </c>
      <c r="G26" s="8"/>
      <c r="H26" s="8"/>
      <c r="I26" s="8"/>
      <c r="J26" s="8"/>
      <c r="K26" s="8"/>
      <c r="L26" s="8"/>
      <c r="M26" s="8"/>
      <c r="N26" s="8"/>
      <c r="O26" s="53" t="b">
        <f t="shared" ref="O26:O40" si="0">IF(SUM(F26:N26)=E26,TRUE,"false")</f>
        <v>1</v>
      </c>
    </row>
    <row r="27" spans="2:26" ht="30.4" customHeight="1" thickBot="1" x14ac:dyDescent="0.3">
      <c r="C27" s="51" t="s">
        <v>307</v>
      </c>
      <c r="D27" s="25" t="s">
        <v>545</v>
      </c>
      <c r="E27" s="8">
        <v>6</v>
      </c>
      <c r="F27" s="8">
        <v>2</v>
      </c>
      <c r="G27" s="8">
        <v>2</v>
      </c>
      <c r="H27" s="8">
        <v>2</v>
      </c>
      <c r="I27" s="8"/>
      <c r="J27" s="8"/>
      <c r="K27" s="8"/>
      <c r="L27" s="8"/>
      <c r="M27" s="8"/>
      <c r="N27" s="8"/>
      <c r="O27" s="53" t="b">
        <f t="shared" si="0"/>
        <v>1</v>
      </c>
    </row>
    <row r="28" spans="2:26" ht="30.4" customHeight="1" thickBot="1" x14ac:dyDescent="0.3">
      <c r="C28" s="51" t="s">
        <v>308</v>
      </c>
      <c r="D28" s="25" t="s">
        <v>546</v>
      </c>
      <c r="E28" s="8">
        <v>6</v>
      </c>
      <c r="F28" s="8">
        <v>2</v>
      </c>
      <c r="G28" s="8">
        <v>2</v>
      </c>
      <c r="H28" s="8">
        <v>2</v>
      </c>
      <c r="I28" s="8"/>
      <c r="J28" s="8"/>
      <c r="K28" s="8"/>
      <c r="L28" s="8"/>
      <c r="M28" s="8"/>
      <c r="N28" s="8"/>
      <c r="O28" s="53" t="b">
        <f t="shared" si="0"/>
        <v>1</v>
      </c>
    </row>
    <row r="29" spans="2:26" ht="30.4" customHeight="1" thickBot="1" x14ac:dyDescent="0.3">
      <c r="C29" s="51" t="s">
        <v>309</v>
      </c>
      <c r="D29" s="25" t="s">
        <v>547</v>
      </c>
      <c r="E29" s="8">
        <v>2</v>
      </c>
      <c r="F29" s="8">
        <v>2</v>
      </c>
      <c r="G29" s="8"/>
      <c r="H29" s="8"/>
      <c r="I29" s="8"/>
      <c r="J29" s="8"/>
      <c r="K29" s="8"/>
      <c r="L29" s="8"/>
      <c r="M29" s="8"/>
      <c r="N29" s="8"/>
      <c r="O29" s="53" t="b">
        <f t="shared" si="0"/>
        <v>1</v>
      </c>
    </row>
    <row r="30" spans="2:26" ht="30.4" customHeight="1" thickBot="1" x14ac:dyDescent="0.3">
      <c r="C30" s="51" t="s">
        <v>310</v>
      </c>
      <c r="D30" s="25" t="s">
        <v>548</v>
      </c>
      <c r="E30" s="8">
        <v>6</v>
      </c>
      <c r="F30" s="8">
        <v>2</v>
      </c>
      <c r="G30" s="8">
        <v>2</v>
      </c>
      <c r="H30" s="8">
        <v>2</v>
      </c>
      <c r="I30" s="8"/>
      <c r="J30" s="8"/>
      <c r="K30" s="8"/>
      <c r="L30" s="8"/>
      <c r="M30" s="8"/>
      <c r="N30" s="8"/>
      <c r="O30" s="53" t="b">
        <f t="shared" si="0"/>
        <v>1</v>
      </c>
    </row>
    <row r="31" spans="2:26" ht="30.4" customHeight="1" thickBot="1" x14ac:dyDescent="0.3">
      <c r="C31" s="51" t="s">
        <v>311</v>
      </c>
      <c r="D31" s="25" t="s">
        <v>549</v>
      </c>
      <c r="E31" s="8">
        <v>6</v>
      </c>
      <c r="F31" s="8">
        <v>2</v>
      </c>
      <c r="G31" s="8">
        <v>2</v>
      </c>
      <c r="H31" s="8">
        <v>2</v>
      </c>
      <c r="I31" s="8"/>
      <c r="J31" s="8"/>
      <c r="K31" s="8"/>
      <c r="L31" s="8"/>
      <c r="M31" s="8"/>
      <c r="N31" s="8"/>
      <c r="O31" s="53" t="b">
        <f t="shared" si="0"/>
        <v>1</v>
      </c>
    </row>
    <row r="32" spans="2:26" ht="30.4" customHeight="1" thickBot="1" x14ac:dyDescent="0.3">
      <c r="C32" s="51" t="s">
        <v>312</v>
      </c>
      <c r="D32" s="25" t="s">
        <v>550</v>
      </c>
      <c r="E32" s="8">
        <v>6</v>
      </c>
      <c r="F32" s="8">
        <v>2</v>
      </c>
      <c r="G32" s="8">
        <v>2</v>
      </c>
      <c r="H32" s="8">
        <v>2</v>
      </c>
      <c r="I32" s="8"/>
      <c r="J32" s="8"/>
      <c r="K32" s="8"/>
      <c r="L32" s="8"/>
      <c r="M32" s="8"/>
      <c r="N32" s="8"/>
      <c r="O32" s="53" t="b">
        <f t="shared" si="0"/>
        <v>1</v>
      </c>
    </row>
    <row r="33" spans="2:15" ht="30.4" customHeight="1" thickBot="1" x14ac:dyDescent="0.3">
      <c r="C33" s="51" t="s">
        <v>313</v>
      </c>
      <c r="D33" s="25" t="s">
        <v>551</v>
      </c>
      <c r="E33" s="8">
        <v>6</v>
      </c>
      <c r="F33" s="8">
        <v>2</v>
      </c>
      <c r="G33" s="8">
        <v>2</v>
      </c>
      <c r="H33" s="8">
        <v>2</v>
      </c>
      <c r="I33" s="8"/>
      <c r="J33" s="8"/>
      <c r="K33" s="8"/>
      <c r="L33" s="8"/>
      <c r="M33" s="8"/>
      <c r="N33" s="8"/>
      <c r="O33" s="53" t="b">
        <f t="shared" si="0"/>
        <v>1</v>
      </c>
    </row>
    <row r="34" spans="2:15" ht="30.4" customHeight="1" thickBot="1" x14ac:dyDescent="0.3">
      <c r="C34" s="51" t="s">
        <v>314</v>
      </c>
      <c r="D34" s="25" t="s">
        <v>552</v>
      </c>
      <c r="E34" s="8">
        <v>6</v>
      </c>
      <c r="F34" s="8">
        <v>4</v>
      </c>
      <c r="G34" s="8">
        <v>2</v>
      </c>
      <c r="H34" s="8"/>
      <c r="I34" s="8"/>
      <c r="J34" s="8"/>
      <c r="K34" s="8"/>
      <c r="L34" s="8"/>
      <c r="M34" s="8"/>
      <c r="N34" s="8"/>
      <c r="O34" s="53" t="b">
        <f t="shared" si="0"/>
        <v>1</v>
      </c>
    </row>
    <row r="35" spans="2:15" ht="30.4" customHeight="1" thickBot="1" x14ac:dyDescent="0.3">
      <c r="C35" s="51" t="s">
        <v>315</v>
      </c>
      <c r="D35" s="25" t="s">
        <v>553</v>
      </c>
      <c r="E35" s="8">
        <v>6</v>
      </c>
      <c r="F35" s="8">
        <v>4</v>
      </c>
      <c r="G35" s="8">
        <v>2</v>
      </c>
      <c r="H35" s="8"/>
      <c r="I35" s="8"/>
      <c r="J35" s="8"/>
      <c r="K35" s="8"/>
      <c r="L35" s="8"/>
      <c r="M35" s="8"/>
      <c r="N35" s="8"/>
      <c r="O35" s="53" t="b">
        <f t="shared" si="0"/>
        <v>1</v>
      </c>
    </row>
    <row r="36" spans="2:15" ht="30.4" customHeight="1" thickBot="1" x14ac:dyDescent="0.3">
      <c r="C36" s="51" t="s">
        <v>316</v>
      </c>
      <c r="D36" s="25" t="s">
        <v>554</v>
      </c>
      <c r="E36" s="8">
        <v>6</v>
      </c>
      <c r="F36" s="8">
        <v>4</v>
      </c>
      <c r="G36" s="8">
        <v>2</v>
      </c>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30</v>
      </c>
      <c r="G40" s="52">
        <f t="shared" si="1"/>
        <v>18</v>
      </c>
      <c r="H40" s="52">
        <f t="shared" si="1"/>
        <v>12</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0.5</v>
      </c>
      <c r="G41" s="54">
        <f>ROUND(G40/E40,2)</f>
        <v>0.3</v>
      </c>
      <c r="H41" s="54">
        <f>ROUND(H40/E40,2)</f>
        <v>0.2</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50</v>
      </c>
      <c r="G42" s="7">
        <v>30</v>
      </c>
      <c r="H42" s="7">
        <v>20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 xml:space="preserve">S3.1 </v>
      </c>
      <c r="G46" s="59" t="str">
        <f>C13</f>
        <v>S3.2</v>
      </c>
      <c r="H46" s="59">
        <f>C14</f>
        <v>0</v>
      </c>
      <c r="I46" s="59">
        <f>C15</f>
        <v>0</v>
      </c>
      <c r="J46" s="59">
        <f>C16</f>
        <v>0</v>
      </c>
      <c r="K46" s="59">
        <f>C17</f>
        <v>0</v>
      </c>
      <c r="L46" s="59">
        <f>C18</f>
        <v>0</v>
      </c>
      <c r="M46" s="59">
        <f>C19</f>
        <v>0</v>
      </c>
      <c r="N46" s="60" t="s">
        <v>327</v>
      </c>
    </row>
    <row r="47" spans="2:15" ht="55.15" customHeight="1" x14ac:dyDescent="0.25">
      <c r="C47" s="9" t="s">
        <v>331</v>
      </c>
      <c r="D47" s="10">
        <v>5</v>
      </c>
      <c r="E47" s="8"/>
      <c r="F47" s="8">
        <v>5</v>
      </c>
      <c r="G47" s="8"/>
      <c r="H47" s="8"/>
      <c r="I47" s="8"/>
      <c r="J47" s="8"/>
      <c r="K47" s="8"/>
      <c r="L47" s="8"/>
      <c r="M47" s="8"/>
      <c r="N47" s="55" t="b">
        <f t="shared" ref="N47:N54" si="2">IF(SUM(E47:M47)=D47,TRUE,"false")</f>
        <v>1</v>
      </c>
    </row>
    <row r="48" spans="2:15" ht="55.15" customHeight="1" x14ac:dyDescent="0.25">
      <c r="C48" s="9" t="s">
        <v>328</v>
      </c>
      <c r="D48" s="10">
        <v>25</v>
      </c>
      <c r="E48" s="11">
        <v>20</v>
      </c>
      <c r="F48" s="12">
        <v>5</v>
      </c>
      <c r="G48" s="12"/>
      <c r="H48" s="12"/>
      <c r="I48" s="12"/>
      <c r="J48" s="12"/>
      <c r="K48" s="12"/>
      <c r="L48" s="12"/>
      <c r="M48" s="12"/>
      <c r="N48" s="55" t="b">
        <f t="shared" si="2"/>
        <v>1</v>
      </c>
    </row>
    <row r="49" spans="3:14" ht="55.15" customHeight="1" x14ac:dyDescent="0.25">
      <c r="C49" s="9" t="s">
        <v>555</v>
      </c>
      <c r="D49" s="10">
        <v>20</v>
      </c>
      <c r="E49" s="11"/>
      <c r="F49" s="12"/>
      <c r="G49" s="12">
        <v>20</v>
      </c>
      <c r="H49" s="12"/>
      <c r="I49" s="12"/>
      <c r="J49" s="12"/>
      <c r="K49" s="12"/>
      <c r="L49" s="12"/>
      <c r="M49" s="12"/>
      <c r="N49" s="55" t="b">
        <f t="shared" si="2"/>
        <v>1</v>
      </c>
    </row>
    <row r="50" spans="3:14" ht="55.15" customHeight="1" x14ac:dyDescent="0.25">
      <c r="C50" s="9" t="s">
        <v>460</v>
      </c>
      <c r="D50" s="10">
        <v>50</v>
      </c>
      <c r="E50" s="11">
        <v>30</v>
      </c>
      <c r="F50" s="12">
        <v>20</v>
      </c>
      <c r="G50" s="12"/>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50</v>
      </c>
      <c r="F56" s="65">
        <f t="shared" si="4"/>
        <v>30</v>
      </c>
      <c r="G56" s="65">
        <f t="shared" si="4"/>
        <v>20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671" priority="11">
      <formula>LEN(TRIM(D47))=0</formula>
    </cfRule>
    <cfRule type="cellIs" dxfId="1670" priority="12" operator="equal">
      <formula>0</formula>
    </cfRule>
  </conditionalFormatting>
  <conditionalFormatting sqref="E50">
    <cfRule type="containsBlanks" dxfId="1669" priority="21">
      <formula>LEN(TRIM(E50))=0</formula>
    </cfRule>
    <cfRule type="cellIs" dxfId="1668" priority="22" operator="equal">
      <formula>0</formula>
    </cfRule>
  </conditionalFormatting>
  <conditionalFormatting sqref="E47:M51 E52">
    <cfRule type="containsBlanks" dxfId="1667" priority="17">
      <formula>LEN(TRIM(E47))=0</formula>
    </cfRule>
    <cfRule type="cellIs" dxfId="1666" priority="18" operator="equal">
      <formula>0</formula>
    </cfRule>
  </conditionalFormatting>
  <conditionalFormatting sqref="E53:M54">
    <cfRule type="containsBlanks" dxfId="1665" priority="15">
      <formula>LEN(TRIM(E53))=0</formula>
    </cfRule>
    <cfRule type="cellIs" dxfId="1664" priority="16" operator="equal">
      <formula>0</formula>
    </cfRule>
  </conditionalFormatting>
  <conditionalFormatting sqref="E55:M55">
    <cfRule type="containsText" dxfId="1663" priority="5" operator="containsText" text="false">
      <formula>NOT(ISERROR(SEARCH("false",E55)))</formula>
    </cfRule>
    <cfRule type="containsText" dxfId="1662" priority="6" operator="containsText" text="true">
      <formula>NOT(ISERROR(SEARCH("true",E55)))</formula>
    </cfRule>
  </conditionalFormatting>
  <conditionalFormatting sqref="E26:N39">
    <cfRule type="containsBlanks" dxfId="1661" priority="3">
      <formula>LEN(TRIM(E26))=0</formula>
    </cfRule>
    <cfRule type="cellIs" dxfId="1660" priority="4" operator="equal">
      <formula>0</formula>
    </cfRule>
  </conditionalFormatting>
  <conditionalFormatting sqref="F48:M48">
    <cfRule type="containsBlanks" dxfId="1659" priority="23">
      <formula>LEN(TRIM(F48))=0</formula>
    </cfRule>
    <cfRule type="cellIs" dxfId="1658" priority="24" operator="equal">
      <formula>0</formula>
    </cfRule>
  </conditionalFormatting>
  <conditionalFormatting sqref="F50:M52">
    <cfRule type="containsBlanks" dxfId="1657" priority="19">
      <formula>LEN(TRIM(F50))=0</formula>
    </cfRule>
    <cfRule type="cellIs" dxfId="1656" priority="20" operator="equal">
      <formula>0</formula>
    </cfRule>
  </conditionalFormatting>
  <conditionalFormatting sqref="N47:N54">
    <cfRule type="containsText" dxfId="1655" priority="7" operator="containsText" text="false">
      <formula>NOT(ISERROR(SEARCH("false",N47)))</formula>
    </cfRule>
    <cfRule type="containsText" dxfId="1654" priority="8" operator="containsText" text="true">
      <formula>NOT(ISERROR(SEARCH("true",N47)))</formula>
    </cfRule>
  </conditionalFormatting>
  <conditionalFormatting sqref="N55">
    <cfRule type="containsBlanks" dxfId="1653" priority="13">
      <formula>LEN(TRIM(N55))=0</formula>
    </cfRule>
    <cfRule type="cellIs" dxfId="1652" priority="14" operator="equal">
      <formula>0</formula>
    </cfRule>
  </conditionalFormatting>
  <conditionalFormatting sqref="O26:O40">
    <cfRule type="containsText" dxfId="1651" priority="9" operator="containsText" text="false">
      <formula>NOT(ISERROR(SEARCH("false",O26)))</formula>
    </cfRule>
    <cfRule type="containsText" dxfId="1650" priority="10" operator="containsText" text="true">
      <formula>NOT(ISERROR(SEARCH("true",O26)))</formula>
    </cfRule>
  </conditionalFormatting>
  <conditionalFormatting sqref="O42">
    <cfRule type="cellIs" dxfId="1649" priority="1" operator="notEqual">
      <formula>100</formula>
    </cfRule>
    <cfRule type="cellIs" dxfId="1648" priority="2" operator="equal">
      <formula>100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7EF-F217-42AB-B691-0DD08EB0DAC1}">
  <sheetPr>
    <tabColor rgb="FFFFFF00"/>
  </sheetPr>
  <dimension ref="B2:AB57"/>
  <sheetViews>
    <sheetView topLeftCell="B2" zoomScale="80" zoomScaleNormal="80" workbookViewId="0">
      <selection activeCell="K6" sqref="K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1764</v>
      </c>
      <c r="H6" s="43" t="s">
        <v>277</v>
      </c>
      <c r="I6" s="1" t="s">
        <v>184</v>
      </c>
      <c r="J6" s="43" t="s">
        <v>278</v>
      </c>
      <c r="K6" s="1" t="s">
        <v>1766</v>
      </c>
    </row>
    <row r="7" spans="2:26" ht="72.599999999999994" customHeight="1" thickBot="1" x14ac:dyDescent="0.3">
      <c r="B7" s="160"/>
      <c r="C7" s="161"/>
      <c r="D7" s="43" t="s">
        <v>279</v>
      </c>
      <c r="E7" s="1">
        <v>2023</v>
      </c>
      <c r="F7" s="43" t="s">
        <v>280</v>
      </c>
      <c r="G7" s="1">
        <v>451</v>
      </c>
      <c r="H7" s="43" t="s">
        <v>281</v>
      </c>
      <c r="I7" s="1" t="s">
        <v>282</v>
      </c>
      <c r="J7" s="43" t="s">
        <v>283</v>
      </c>
      <c r="K7" s="1" t="s">
        <v>723</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9" t="s">
        <v>297</v>
      </c>
      <c r="D11" s="78" t="s">
        <v>724</v>
      </c>
      <c r="E11" s="89" t="s">
        <v>7</v>
      </c>
      <c r="F11" s="3"/>
      <c r="G11" s="17"/>
      <c r="H11" s="17">
        <v>0.6</v>
      </c>
      <c r="I11" s="17">
        <v>1</v>
      </c>
      <c r="J11" s="89" t="s">
        <v>725</v>
      </c>
      <c r="K11" s="78" t="s">
        <v>726</v>
      </c>
      <c r="U11" s="3">
        <f>F11</f>
        <v>0</v>
      </c>
      <c r="V11" s="2" t="str">
        <f>C11</f>
        <v>K1.1</v>
      </c>
      <c r="W11" s="2"/>
      <c r="X11" s="17"/>
      <c r="Y11" s="37"/>
      <c r="Z11" s="37"/>
    </row>
    <row r="12" spans="2:26" ht="58.9" customHeight="1" x14ac:dyDescent="0.25">
      <c r="B12" s="36"/>
      <c r="C12" s="84" t="s">
        <v>298</v>
      </c>
      <c r="D12" s="79" t="s">
        <v>727</v>
      </c>
      <c r="E12" s="84" t="s">
        <v>10</v>
      </c>
      <c r="F12" s="6"/>
      <c r="G12" s="4"/>
      <c r="H12" s="17">
        <v>0.6</v>
      </c>
      <c r="I12" s="17">
        <v>1</v>
      </c>
      <c r="J12" s="84" t="s">
        <v>725</v>
      </c>
      <c r="K12" s="79" t="s">
        <v>726</v>
      </c>
      <c r="U12" s="6">
        <f>F12</f>
        <v>0</v>
      </c>
      <c r="V12" s="2" t="str">
        <f>C12</f>
        <v>K1.2</v>
      </c>
      <c r="W12" s="5"/>
      <c r="X12" s="4"/>
      <c r="Y12" s="38"/>
      <c r="Z12" s="38"/>
    </row>
    <row r="13" spans="2:26" ht="58.9" customHeight="1" x14ac:dyDescent="0.25">
      <c r="B13" s="36"/>
      <c r="C13" s="84" t="s">
        <v>415</v>
      </c>
      <c r="D13" s="79" t="s">
        <v>728</v>
      </c>
      <c r="E13" s="5" t="s">
        <v>10</v>
      </c>
      <c r="F13" s="6"/>
      <c r="G13" s="4"/>
      <c r="H13" s="17">
        <v>0.6</v>
      </c>
      <c r="I13" s="17">
        <v>1</v>
      </c>
      <c r="J13" s="84" t="s">
        <v>725</v>
      </c>
      <c r="K13" s="79" t="s">
        <v>729</v>
      </c>
      <c r="U13" s="6">
        <f>F13</f>
        <v>0</v>
      </c>
      <c r="V13" s="2" t="str">
        <f>C13</f>
        <v>K2.1</v>
      </c>
      <c r="W13" s="5"/>
      <c r="X13" s="4"/>
      <c r="Y13" s="38"/>
      <c r="Z13" s="38"/>
    </row>
    <row r="14" spans="2:26" ht="58.9" customHeight="1" x14ac:dyDescent="0.25">
      <c r="B14" s="36"/>
      <c r="C14" s="84" t="s">
        <v>507</v>
      </c>
      <c r="D14" s="79" t="s">
        <v>730</v>
      </c>
      <c r="E14" s="84" t="s">
        <v>10</v>
      </c>
      <c r="F14" s="6"/>
      <c r="G14" s="4"/>
      <c r="H14" s="17">
        <v>0.6</v>
      </c>
      <c r="I14" s="17">
        <v>1</v>
      </c>
      <c r="J14" s="84" t="s">
        <v>731</v>
      </c>
      <c r="K14" s="79" t="s">
        <v>732</v>
      </c>
      <c r="U14" s="6">
        <f>F14</f>
        <v>0</v>
      </c>
      <c r="V14" s="2" t="str">
        <f>C14</f>
        <v>K2.2</v>
      </c>
      <c r="W14" s="5"/>
      <c r="X14" s="4"/>
      <c r="Y14" s="38"/>
      <c r="Z14" s="38"/>
    </row>
    <row r="15" spans="2:26" ht="58.9" customHeight="1" x14ac:dyDescent="0.25">
      <c r="B15" s="36"/>
      <c r="C15" s="84" t="s">
        <v>395</v>
      </c>
      <c r="D15" s="79" t="s">
        <v>733</v>
      </c>
      <c r="E15" s="84" t="s">
        <v>24</v>
      </c>
      <c r="F15" s="6"/>
      <c r="G15" s="4"/>
      <c r="H15" s="17">
        <v>0.6</v>
      </c>
      <c r="I15" s="17">
        <v>1</v>
      </c>
      <c r="J15" s="84" t="s">
        <v>1767</v>
      </c>
      <c r="K15" s="79" t="s">
        <v>734</v>
      </c>
      <c r="U15" s="6">
        <f>F15</f>
        <v>0</v>
      </c>
      <c r="V15" s="2" t="str">
        <f>C15</f>
        <v>S3.1</v>
      </c>
      <c r="W15" s="5"/>
      <c r="X15" s="4"/>
      <c r="Y15" s="38"/>
      <c r="Z15" s="38"/>
    </row>
    <row r="16" spans="2:26" ht="58.9" customHeight="1" x14ac:dyDescent="0.25">
      <c r="B16" s="36"/>
      <c r="C16" s="5" t="s">
        <v>445</v>
      </c>
      <c r="D16" s="79" t="s">
        <v>735</v>
      </c>
      <c r="E16" s="5" t="s">
        <v>31</v>
      </c>
      <c r="F16" s="6"/>
      <c r="G16" s="4"/>
      <c r="H16" s="17">
        <v>0.6</v>
      </c>
      <c r="I16" s="17">
        <v>1</v>
      </c>
      <c r="J16" s="84" t="s">
        <v>447</v>
      </c>
      <c r="K16" s="79" t="s">
        <v>736</v>
      </c>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K2.1</v>
      </c>
      <c r="I25" s="49" t="str">
        <f>C14</f>
        <v>K2.2</v>
      </c>
      <c r="J25" s="49" t="str">
        <f>C15</f>
        <v>S3.1</v>
      </c>
      <c r="K25" s="49" t="str">
        <f>C16</f>
        <v>S7.1</v>
      </c>
      <c r="L25" s="49">
        <f>C17</f>
        <v>0</v>
      </c>
      <c r="M25" s="49">
        <f>C18</f>
        <v>0</v>
      </c>
      <c r="N25" s="49">
        <f>C19</f>
        <v>0</v>
      </c>
      <c r="O25" s="50" t="s">
        <v>305</v>
      </c>
    </row>
    <row r="26" spans="2:26" ht="60.75" thickBot="1" x14ac:dyDescent="0.3">
      <c r="C26" s="51" t="s">
        <v>306</v>
      </c>
      <c r="D26" s="95" t="s">
        <v>737</v>
      </c>
      <c r="E26" s="8">
        <v>12</v>
      </c>
      <c r="F26" s="8">
        <v>6</v>
      </c>
      <c r="G26" s="8"/>
      <c r="H26" s="8"/>
      <c r="I26" s="8"/>
      <c r="J26" s="8">
        <v>6</v>
      </c>
      <c r="K26" s="8"/>
      <c r="L26" s="8"/>
      <c r="M26" s="8"/>
      <c r="N26" s="8"/>
      <c r="O26" s="53" t="b">
        <f t="shared" ref="O26:O40" si="0">IF(SUM(F26:N26)=E26,TRUE,"false")</f>
        <v>1</v>
      </c>
    </row>
    <row r="27" spans="2:26" ht="58.5" customHeight="1" thickBot="1" x14ac:dyDescent="0.3">
      <c r="C27" s="51" t="s">
        <v>307</v>
      </c>
      <c r="D27" s="92" t="s">
        <v>738</v>
      </c>
      <c r="E27" s="8">
        <v>6</v>
      </c>
      <c r="F27" s="8"/>
      <c r="G27" s="8"/>
      <c r="H27" s="8">
        <v>6</v>
      </c>
      <c r="I27" s="8"/>
      <c r="J27" s="8"/>
      <c r="K27" s="8"/>
      <c r="L27" s="8"/>
      <c r="M27" s="8"/>
      <c r="N27" s="8"/>
      <c r="O27" s="53" t="b">
        <f t="shared" si="0"/>
        <v>1</v>
      </c>
    </row>
    <row r="28" spans="2:26" ht="54" customHeight="1" thickBot="1" x14ac:dyDescent="0.3">
      <c r="C28" s="51" t="s">
        <v>308</v>
      </c>
      <c r="D28" s="92" t="s">
        <v>739</v>
      </c>
      <c r="E28" s="8">
        <v>6</v>
      </c>
      <c r="F28" s="8"/>
      <c r="G28" s="8"/>
      <c r="H28" s="8">
        <v>2</v>
      </c>
      <c r="I28" s="8"/>
      <c r="J28" s="8"/>
      <c r="K28" s="8">
        <v>4</v>
      </c>
      <c r="L28" s="8"/>
      <c r="M28" s="8"/>
      <c r="N28" s="8"/>
      <c r="O28" s="53" t="b">
        <f t="shared" si="0"/>
        <v>1</v>
      </c>
    </row>
    <row r="29" spans="2:26" ht="53.45" customHeight="1" thickBot="1" x14ac:dyDescent="0.3">
      <c r="C29" s="51" t="s">
        <v>309</v>
      </c>
      <c r="D29" s="92" t="s">
        <v>740</v>
      </c>
      <c r="E29" s="8">
        <v>6</v>
      </c>
      <c r="F29" s="8"/>
      <c r="G29" s="8"/>
      <c r="H29" s="8"/>
      <c r="I29" s="8">
        <v>2</v>
      </c>
      <c r="J29" s="8">
        <v>4</v>
      </c>
      <c r="K29" s="8"/>
      <c r="L29" s="8"/>
      <c r="M29" s="8"/>
      <c r="N29" s="8"/>
      <c r="O29" s="53" t="b">
        <f t="shared" si="0"/>
        <v>1</v>
      </c>
    </row>
    <row r="30" spans="2:26" ht="50.1" customHeight="1" thickBot="1" x14ac:dyDescent="0.3">
      <c r="C30" s="51" t="s">
        <v>310</v>
      </c>
      <c r="D30" s="92" t="s">
        <v>741</v>
      </c>
      <c r="E30" s="8">
        <v>4</v>
      </c>
      <c r="F30" s="8"/>
      <c r="G30" s="8">
        <v>2</v>
      </c>
      <c r="H30" s="8"/>
      <c r="I30" s="8"/>
      <c r="J30" s="8">
        <v>2</v>
      </c>
      <c r="K30" s="8"/>
      <c r="L30" s="8"/>
      <c r="M30" s="8"/>
      <c r="N30" s="8"/>
      <c r="O30" s="53" t="b">
        <f t="shared" si="0"/>
        <v>1</v>
      </c>
    </row>
    <row r="31" spans="2:26" ht="60.6" customHeight="1" thickBot="1" x14ac:dyDescent="0.3">
      <c r="C31" s="51" t="s">
        <v>311</v>
      </c>
      <c r="D31" s="92" t="s">
        <v>742</v>
      </c>
      <c r="E31" s="8">
        <v>26</v>
      </c>
      <c r="F31" s="8"/>
      <c r="G31" s="8">
        <v>22</v>
      </c>
      <c r="H31" s="8"/>
      <c r="I31" s="8"/>
      <c r="J31" s="8">
        <v>4</v>
      </c>
      <c r="K31" s="8"/>
      <c r="L31" s="8"/>
      <c r="M31" s="8"/>
      <c r="N31" s="8"/>
      <c r="O31" s="53" t="b">
        <f t="shared" si="0"/>
        <v>1</v>
      </c>
    </row>
    <row r="32" spans="2:26" ht="48" customHeight="1" thickBot="1" x14ac:dyDescent="0.3">
      <c r="C32" s="51" t="s">
        <v>312</v>
      </c>
      <c r="D32" s="92"/>
      <c r="E32" s="8"/>
      <c r="F32" s="8"/>
      <c r="G32" s="8"/>
      <c r="H32" s="8"/>
      <c r="I32" s="8"/>
      <c r="J32" s="8"/>
      <c r="K32" s="8"/>
      <c r="L32" s="8"/>
      <c r="M32" s="8"/>
      <c r="N32" s="8"/>
      <c r="O32" s="53" t="b">
        <f t="shared" si="0"/>
        <v>1</v>
      </c>
    </row>
    <row r="33" spans="2:15" ht="54.6" customHeight="1" thickBot="1" x14ac:dyDescent="0.3">
      <c r="C33" s="51" t="s">
        <v>313</v>
      </c>
      <c r="D33" s="92"/>
      <c r="E33" s="8"/>
      <c r="F33" s="8"/>
      <c r="G33" s="8"/>
      <c r="H33" s="8"/>
      <c r="I33" s="8"/>
      <c r="J33" s="8"/>
      <c r="K33" s="8"/>
      <c r="L33" s="8"/>
      <c r="M33" s="8"/>
      <c r="N33" s="8"/>
      <c r="O33" s="53" t="b">
        <f t="shared" si="0"/>
        <v>1</v>
      </c>
    </row>
    <row r="34" spans="2:15" ht="30.4" customHeight="1" thickBot="1" x14ac:dyDescent="0.3">
      <c r="C34" s="51" t="s">
        <v>314</v>
      </c>
      <c r="D34" s="92"/>
      <c r="E34" s="8"/>
      <c r="F34" s="8"/>
      <c r="G34" s="8"/>
      <c r="H34" s="8"/>
      <c r="I34" s="8"/>
      <c r="J34" s="8"/>
      <c r="K34" s="8"/>
      <c r="L34" s="8"/>
      <c r="M34" s="8"/>
      <c r="N34" s="8"/>
      <c r="O34" s="53" t="b">
        <f t="shared" si="0"/>
        <v>1</v>
      </c>
    </row>
    <row r="35" spans="2:15" ht="30.4" customHeight="1" thickBot="1" x14ac:dyDescent="0.3">
      <c r="C35" s="51" t="s">
        <v>315</v>
      </c>
      <c r="D35" s="92"/>
      <c r="E35" s="8"/>
      <c r="F35" s="8"/>
      <c r="G35" s="8"/>
      <c r="H35" s="8"/>
      <c r="I35" s="8"/>
      <c r="J35" s="8"/>
      <c r="K35" s="8"/>
      <c r="L35" s="8"/>
      <c r="M35" s="8"/>
      <c r="N35" s="8"/>
      <c r="O35" s="53" t="b">
        <f t="shared" si="0"/>
        <v>1</v>
      </c>
    </row>
    <row r="36" spans="2:15" ht="30.4" customHeight="1" thickBot="1" x14ac:dyDescent="0.3">
      <c r="C36" s="51" t="s">
        <v>316</v>
      </c>
      <c r="D36" s="92"/>
      <c r="E36" s="8"/>
      <c r="F36" s="8"/>
      <c r="G36" s="8"/>
      <c r="H36" s="8"/>
      <c r="I36" s="8"/>
      <c r="J36" s="8"/>
      <c r="K36" s="8"/>
      <c r="L36" s="8"/>
      <c r="M36" s="8"/>
      <c r="N36" s="8"/>
      <c r="O36" s="53" t="b">
        <f t="shared" si="0"/>
        <v>1</v>
      </c>
    </row>
    <row r="37" spans="2:15" ht="30.4" customHeight="1" thickBot="1" x14ac:dyDescent="0.3">
      <c r="C37" s="51" t="s">
        <v>317</v>
      </c>
      <c r="D37" s="92"/>
      <c r="E37" s="8"/>
      <c r="F37" s="8"/>
      <c r="G37" s="8"/>
      <c r="H37" s="8"/>
      <c r="I37" s="8"/>
      <c r="J37" s="8"/>
      <c r="K37" s="8"/>
      <c r="L37" s="8"/>
      <c r="M37" s="8"/>
      <c r="N37" s="8"/>
      <c r="O37" s="53" t="b">
        <f t="shared" si="0"/>
        <v>1</v>
      </c>
    </row>
    <row r="38" spans="2:15" ht="30.4" customHeight="1" thickBot="1" x14ac:dyDescent="0.3">
      <c r="C38" s="51" t="s">
        <v>318</v>
      </c>
      <c r="D38" s="94"/>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6</v>
      </c>
      <c r="G40" s="52">
        <f t="shared" si="1"/>
        <v>24</v>
      </c>
      <c r="H40" s="52">
        <f t="shared" si="1"/>
        <v>8</v>
      </c>
      <c r="I40" s="52">
        <f t="shared" si="1"/>
        <v>2</v>
      </c>
      <c r="J40" s="52">
        <f t="shared" si="1"/>
        <v>16</v>
      </c>
      <c r="K40" s="52">
        <f t="shared" si="1"/>
        <v>4</v>
      </c>
      <c r="L40" s="52">
        <f t="shared" si="1"/>
        <v>0</v>
      </c>
      <c r="M40" s="52">
        <f t="shared" si="1"/>
        <v>0</v>
      </c>
      <c r="N40" s="52">
        <f t="shared" si="1"/>
        <v>0</v>
      </c>
      <c r="O40" s="53" t="b">
        <f t="shared" si="0"/>
        <v>1</v>
      </c>
    </row>
    <row r="41" spans="2:15" s="20" customFormat="1" ht="71.650000000000006" customHeight="1" x14ac:dyDescent="0.25">
      <c r="C41" s="150" t="s">
        <v>321</v>
      </c>
      <c r="D41" s="150"/>
      <c r="E41" s="150"/>
      <c r="F41" s="93">
        <f>ROUND(F40/E40,2)</f>
        <v>0.1</v>
      </c>
      <c r="G41" s="93">
        <f>ROUND(G40/E40,2)</f>
        <v>0.4</v>
      </c>
      <c r="H41" s="93">
        <f>ROUND(H40/E40,2)</f>
        <v>0.13</v>
      </c>
      <c r="I41" s="93">
        <f>ROUND(I40/E40,2)</f>
        <v>0.03</v>
      </c>
      <c r="J41" s="93">
        <f>ROUND(J40/E40,2)</f>
        <v>0.27</v>
      </c>
      <c r="K41" s="93">
        <f>ROUND(K40/E40,2)</f>
        <v>7.0000000000000007E-2</v>
      </c>
      <c r="L41" s="93">
        <f>ROUND(L40/E40,2)</f>
        <v>0</v>
      </c>
      <c r="M41" s="93">
        <f>ROUND(M40/E40,2)</f>
        <v>0</v>
      </c>
      <c r="N41" s="93">
        <f>ROUND(N40/E40,2)</f>
        <v>0</v>
      </c>
      <c r="O41" s="93">
        <f>SUM(F41:N41)</f>
        <v>1</v>
      </c>
    </row>
    <row r="42" spans="2:15" ht="55.9" customHeight="1" x14ac:dyDescent="0.25">
      <c r="C42" s="151" t="s">
        <v>322</v>
      </c>
      <c r="D42" s="151"/>
      <c r="E42" s="151"/>
      <c r="F42" s="7">
        <v>10</v>
      </c>
      <c r="G42" s="7">
        <v>50</v>
      </c>
      <c r="H42" s="7">
        <v>15</v>
      </c>
      <c r="I42" s="7">
        <v>5</v>
      </c>
      <c r="J42" s="7">
        <v>10</v>
      </c>
      <c r="K42" s="7">
        <v>10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K2.1</v>
      </c>
      <c r="H46" s="59" t="str">
        <f>C14</f>
        <v>K2.2</v>
      </c>
      <c r="I46" s="59" t="str">
        <f>C15</f>
        <v>S3.1</v>
      </c>
      <c r="J46" s="59" t="str">
        <f>C16</f>
        <v>S7.1</v>
      </c>
      <c r="K46" s="59">
        <f>C17</f>
        <v>0</v>
      </c>
      <c r="L46" s="59">
        <f>C18</f>
        <v>0</v>
      </c>
      <c r="M46" s="59">
        <f>C19</f>
        <v>0</v>
      </c>
      <c r="N46" s="60" t="s">
        <v>327</v>
      </c>
    </row>
    <row r="47" spans="2:15" ht="55.15" customHeight="1" x14ac:dyDescent="0.25">
      <c r="C47" s="9" t="s">
        <v>328</v>
      </c>
      <c r="D47" s="10">
        <v>20</v>
      </c>
      <c r="E47" s="8">
        <v>7</v>
      </c>
      <c r="F47" s="8">
        <v>8</v>
      </c>
      <c r="G47" s="8">
        <v>5</v>
      </c>
      <c r="H47" s="8"/>
      <c r="I47" s="8"/>
      <c r="J47" s="8"/>
      <c r="K47" s="8"/>
      <c r="L47" s="8"/>
      <c r="M47" s="8"/>
      <c r="N47" s="55" t="b">
        <f t="shared" ref="N47:N54" si="2">IF(SUM(E47:M47)=D47,TRUE,"false")</f>
        <v>1</v>
      </c>
    </row>
    <row r="48" spans="2:15" ht="55.15" customHeight="1" x14ac:dyDescent="0.25">
      <c r="C48" s="9" t="s">
        <v>743</v>
      </c>
      <c r="D48" s="10"/>
      <c r="E48" s="11"/>
      <c r="F48" s="12"/>
      <c r="G48" s="12"/>
      <c r="H48" s="12"/>
      <c r="I48" s="12"/>
      <c r="J48" s="12"/>
      <c r="K48" s="12"/>
      <c r="L48" s="12"/>
      <c r="M48" s="12"/>
      <c r="N48" s="55" t="b">
        <f t="shared" si="2"/>
        <v>1</v>
      </c>
    </row>
    <row r="49" spans="3:14" ht="55.15" customHeight="1" x14ac:dyDescent="0.25">
      <c r="C49" s="9" t="s">
        <v>458</v>
      </c>
      <c r="D49" s="10">
        <v>5</v>
      </c>
      <c r="E49" s="11"/>
      <c r="F49" s="12">
        <v>5</v>
      </c>
      <c r="G49" s="12"/>
      <c r="H49" s="12"/>
      <c r="I49" s="12"/>
      <c r="J49" s="12"/>
      <c r="K49" s="12"/>
      <c r="L49" s="12"/>
      <c r="M49" s="12"/>
      <c r="N49" s="55" t="b">
        <f t="shared" si="2"/>
        <v>1</v>
      </c>
    </row>
    <row r="50" spans="3:14" ht="55.15" customHeight="1" x14ac:dyDescent="0.25">
      <c r="C50" s="9" t="s">
        <v>331</v>
      </c>
      <c r="D50" s="10">
        <v>5</v>
      </c>
      <c r="E50" s="11"/>
      <c r="F50" s="12">
        <v>5</v>
      </c>
      <c r="G50" s="12"/>
      <c r="H50" s="12"/>
      <c r="I50" s="12"/>
      <c r="J50" s="12"/>
      <c r="K50" s="12"/>
      <c r="L50" s="12"/>
      <c r="M50" s="12"/>
      <c r="N50" s="55" t="b">
        <f t="shared" si="2"/>
        <v>1</v>
      </c>
    </row>
    <row r="51" spans="3:14" ht="55.15" customHeight="1" x14ac:dyDescent="0.25">
      <c r="C51" s="9" t="s">
        <v>333</v>
      </c>
      <c r="D51" s="10">
        <v>20</v>
      </c>
      <c r="E51" s="11"/>
      <c r="F51" s="12"/>
      <c r="G51" s="12"/>
      <c r="H51" s="12"/>
      <c r="I51" s="12">
        <v>10</v>
      </c>
      <c r="J51" s="12">
        <v>10</v>
      </c>
      <c r="K51" s="12"/>
      <c r="L51" s="12"/>
      <c r="M51" s="12"/>
      <c r="N51" s="55" t="b">
        <f t="shared" si="2"/>
        <v>1</v>
      </c>
    </row>
    <row r="52" spans="3:14" ht="55.15" customHeight="1" x14ac:dyDescent="0.25">
      <c r="C52" s="9" t="s">
        <v>504</v>
      </c>
      <c r="D52" s="10">
        <v>50</v>
      </c>
      <c r="E52" s="11">
        <v>3</v>
      </c>
      <c r="F52" s="12">
        <v>32</v>
      </c>
      <c r="G52" s="12">
        <v>10</v>
      </c>
      <c r="H52" s="12">
        <v>5</v>
      </c>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10</v>
      </c>
      <c r="F56" s="65">
        <f t="shared" si="4"/>
        <v>50</v>
      </c>
      <c r="G56" s="65">
        <f t="shared" si="4"/>
        <v>15</v>
      </c>
      <c r="H56" s="65">
        <f t="shared" si="4"/>
        <v>5</v>
      </c>
      <c r="I56" s="65">
        <f t="shared" si="4"/>
        <v>10</v>
      </c>
      <c r="J56" s="65">
        <f t="shared" si="4"/>
        <v>10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19" priority="1">
      <formula>LEN(TRIM(D47))=0</formula>
    </cfRule>
    <cfRule type="cellIs" dxfId="118" priority="2" operator="equal">
      <formula>0</formula>
    </cfRule>
  </conditionalFormatting>
  <conditionalFormatting sqref="E50">
    <cfRule type="containsBlanks" dxfId="117" priority="7">
      <formula>LEN(TRIM(E50))=0</formula>
    </cfRule>
    <cfRule type="cellIs" dxfId="116" priority="8" operator="equal">
      <formula>0</formula>
    </cfRule>
  </conditionalFormatting>
  <conditionalFormatting sqref="E47:K51 E52">
    <cfRule type="containsBlanks" dxfId="115" priority="3">
      <formula>LEN(TRIM(E47))=0</formula>
    </cfRule>
    <cfRule type="cellIs" dxfId="114" priority="4" operator="equal">
      <formula>0</formula>
    </cfRule>
  </conditionalFormatting>
  <conditionalFormatting sqref="E53:M54">
    <cfRule type="containsBlanks" dxfId="113" priority="23">
      <formula>LEN(TRIM(E53))=0</formula>
    </cfRule>
    <cfRule type="cellIs" dxfId="112" priority="24" operator="equal">
      <formula>0</formula>
    </cfRule>
  </conditionalFormatting>
  <conditionalFormatting sqref="E55:M55">
    <cfRule type="containsText" dxfId="111" priority="15" operator="containsText" text="false">
      <formula>NOT(ISERROR(SEARCH("false",E55)))</formula>
    </cfRule>
    <cfRule type="containsText" dxfId="110" priority="16" operator="containsText" text="true">
      <formula>NOT(ISERROR(SEARCH("true",E55)))</formula>
    </cfRule>
  </conditionalFormatting>
  <conditionalFormatting sqref="E26:N39">
    <cfRule type="containsBlanks" dxfId="109" priority="11">
      <formula>LEN(TRIM(E26))=0</formula>
    </cfRule>
    <cfRule type="cellIs" dxfId="108" priority="12" operator="equal">
      <formula>0</formula>
    </cfRule>
  </conditionalFormatting>
  <conditionalFormatting sqref="F48:K48">
    <cfRule type="containsBlanks" dxfId="107" priority="9">
      <formula>LEN(TRIM(F48))=0</formula>
    </cfRule>
    <cfRule type="cellIs" dxfId="106" priority="10" operator="equal">
      <formula>0</formula>
    </cfRule>
  </conditionalFormatting>
  <conditionalFormatting sqref="F50:K52">
    <cfRule type="containsBlanks" dxfId="105" priority="5">
      <formula>LEN(TRIM(F50))=0</formula>
    </cfRule>
    <cfRule type="cellIs" dxfId="104" priority="6" operator="equal">
      <formula>0</formula>
    </cfRule>
  </conditionalFormatting>
  <conditionalFormatting sqref="L47:M52">
    <cfRule type="containsBlanks" dxfId="103" priority="25">
      <formula>LEN(TRIM(L47))=0</formula>
    </cfRule>
    <cfRule type="cellIs" dxfId="102" priority="26" operator="equal">
      <formula>0</formula>
    </cfRule>
  </conditionalFormatting>
  <conditionalFormatting sqref="N47:N54">
    <cfRule type="containsText" dxfId="101" priority="17" operator="containsText" text="false">
      <formula>NOT(ISERROR(SEARCH("false",N47)))</formula>
    </cfRule>
    <cfRule type="containsText" dxfId="100" priority="18" operator="containsText" text="true">
      <formula>NOT(ISERROR(SEARCH("true",N47)))</formula>
    </cfRule>
  </conditionalFormatting>
  <conditionalFormatting sqref="N55">
    <cfRule type="containsBlanks" dxfId="99" priority="21">
      <formula>LEN(TRIM(N55))=0</formula>
    </cfRule>
    <cfRule type="cellIs" dxfId="98" priority="22" operator="equal">
      <formula>0</formula>
    </cfRule>
  </conditionalFormatting>
  <conditionalFormatting sqref="O26:O40">
    <cfRule type="containsText" dxfId="97" priority="19" operator="containsText" text="false">
      <formula>NOT(ISERROR(SEARCH("false",O26)))</formula>
    </cfRule>
    <cfRule type="containsText" dxfId="96" priority="20" operator="containsText" text="true">
      <formula>NOT(ISERROR(SEARCH("true",O26)))</formula>
    </cfRule>
  </conditionalFormatting>
  <conditionalFormatting sqref="O42">
    <cfRule type="cellIs" dxfId="95" priority="13" operator="notEqual">
      <formula>100</formula>
    </cfRule>
    <cfRule type="cellIs" dxfId="94" priority="14" operator="equal">
      <formula>100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0000"/>
  </sheetPr>
  <dimension ref="B2:AB57"/>
  <sheetViews>
    <sheetView tabSelected="1" zoomScale="50" zoomScaleNormal="50" workbookViewId="0">
      <selection activeCell="L14" sqref="L14"/>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184</v>
      </c>
      <c r="J6" s="43" t="s">
        <v>278</v>
      </c>
      <c r="K6" s="1" t="s">
        <v>81</v>
      </c>
    </row>
    <row r="7" spans="2:26" ht="72.599999999999994" customHeight="1" thickBot="1" x14ac:dyDescent="0.3">
      <c r="B7" s="160"/>
      <c r="C7" s="161"/>
      <c r="D7" s="43" t="s">
        <v>279</v>
      </c>
      <c r="E7" s="1">
        <v>3</v>
      </c>
      <c r="F7" s="43" t="s">
        <v>280</v>
      </c>
      <c r="G7" s="1">
        <v>5</v>
      </c>
      <c r="H7" s="43" t="s">
        <v>281</v>
      </c>
      <c r="I7" s="1" t="s">
        <v>282</v>
      </c>
      <c r="J7" s="43" t="s">
        <v>283</v>
      </c>
      <c r="K7" s="1" t="s">
        <v>723</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9" t="s">
        <v>297</v>
      </c>
      <c r="D11" s="78" t="s">
        <v>724</v>
      </c>
      <c r="E11" s="89" t="s">
        <v>7</v>
      </c>
      <c r="F11" s="3"/>
      <c r="G11" s="17"/>
      <c r="H11" s="17">
        <v>0.6</v>
      </c>
      <c r="I11" s="17">
        <v>1</v>
      </c>
      <c r="J11" s="89" t="s">
        <v>725</v>
      </c>
      <c r="K11" s="78" t="s">
        <v>726</v>
      </c>
      <c r="U11" s="3">
        <f>F11</f>
        <v>0</v>
      </c>
      <c r="V11" s="2" t="str">
        <f>C11</f>
        <v>K1.1</v>
      </c>
      <c r="W11" s="2"/>
      <c r="X11" s="17"/>
      <c r="Y11" s="37"/>
      <c r="Z11" s="37"/>
    </row>
    <row r="12" spans="2:26" ht="58.9" customHeight="1" x14ac:dyDescent="0.25">
      <c r="B12" s="36"/>
      <c r="C12" s="84" t="s">
        <v>298</v>
      </c>
      <c r="D12" s="79" t="s">
        <v>727</v>
      </c>
      <c r="E12" s="84" t="s">
        <v>10</v>
      </c>
      <c r="F12" s="6"/>
      <c r="G12" s="4"/>
      <c r="H12" s="17">
        <v>0.6</v>
      </c>
      <c r="I12" s="17">
        <v>1</v>
      </c>
      <c r="J12" s="84" t="s">
        <v>725</v>
      </c>
      <c r="K12" s="79" t="s">
        <v>1745</v>
      </c>
      <c r="U12" s="6">
        <f>F12</f>
        <v>0</v>
      </c>
      <c r="V12" s="2" t="str">
        <f>C12</f>
        <v>K1.2</v>
      </c>
      <c r="W12" s="5"/>
      <c r="X12" s="4"/>
      <c r="Y12" s="38"/>
      <c r="Z12" s="38"/>
    </row>
    <row r="13" spans="2:26" ht="58.9" customHeight="1" x14ac:dyDescent="0.25">
      <c r="B13" s="36"/>
      <c r="C13" s="84" t="s">
        <v>415</v>
      </c>
      <c r="D13" s="79" t="s">
        <v>728</v>
      </c>
      <c r="E13" s="5" t="s">
        <v>10</v>
      </c>
      <c r="F13" s="6"/>
      <c r="G13" s="4"/>
      <c r="H13" s="17">
        <v>0.6</v>
      </c>
      <c r="I13" s="17">
        <v>1</v>
      </c>
      <c r="J13" s="84" t="s">
        <v>725</v>
      </c>
      <c r="K13" s="79" t="s">
        <v>729</v>
      </c>
      <c r="U13" s="6">
        <f>F13</f>
        <v>0</v>
      </c>
      <c r="V13" s="2" t="str">
        <f>C13</f>
        <v>K2.1</v>
      </c>
      <c r="W13" s="5"/>
      <c r="X13" s="4"/>
      <c r="Y13" s="38"/>
      <c r="Z13" s="38"/>
    </row>
    <row r="14" spans="2:26" ht="58.9" customHeight="1" x14ac:dyDescent="0.25">
      <c r="B14" s="36"/>
      <c r="C14" s="84" t="s">
        <v>507</v>
      </c>
      <c r="D14" s="79" t="s">
        <v>730</v>
      </c>
      <c r="E14" s="84" t="s">
        <v>10</v>
      </c>
      <c r="F14" s="6"/>
      <c r="G14" s="4"/>
      <c r="H14" s="17">
        <v>0.6</v>
      </c>
      <c r="I14" s="17">
        <v>1</v>
      </c>
      <c r="J14" s="84" t="s">
        <v>731</v>
      </c>
      <c r="K14" s="79" t="s">
        <v>732</v>
      </c>
      <c r="U14" s="6">
        <f>F14</f>
        <v>0</v>
      </c>
      <c r="V14" s="2" t="str">
        <f>C14</f>
        <v>K2.2</v>
      </c>
      <c r="W14" s="5"/>
      <c r="X14" s="4"/>
      <c r="Y14" s="38"/>
      <c r="Z14" s="38"/>
    </row>
    <row r="15" spans="2:26" ht="58.9" customHeight="1" x14ac:dyDescent="0.25">
      <c r="B15" s="36"/>
      <c r="C15" s="84" t="s">
        <v>395</v>
      </c>
      <c r="D15" s="79" t="s">
        <v>733</v>
      </c>
      <c r="E15" s="84" t="s">
        <v>24</v>
      </c>
      <c r="F15" s="6"/>
      <c r="G15" s="4"/>
      <c r="H15" s="17">
        <v>0.6</v>
      </c>
      <c r="I15" s="17">
        <v>1</v>
      </c>
      <c r="J15" s="84" t="s">
        <v>1660</v>
      </c>
      <c r="K15" s="79" t="s">
        <v>734</v>
      </c>
      <c r="U15" s="6">
        <f>F15</f>
        <v>0</v>
      </c>
      <c r="V15" s="2" t="str">
        <f>C15</f>
        <v>S3.1</v>
      </c>
      <c r="W15" s="5"/>
      <c r="X15" s="4"/>
      <c r="Y15" s="38"/>
      <c r="Z15" s="38"/>
    </row>
    <row r="16" spans="2:26" ht="58.9" customHeight="1" x14ac:dyDescent="0.25">
      <c r="B16" s="36"/>
      <c r="C16" s="5" t="s">
        <v>445</v>
      </c>
      <c r="D16" s="79" t="s">
        <v>735</v>
      </c>
      <c r="E16" s="5" t="s">
        <v>31</v>
      </c>
      <c r="F16" s="6"/>
      <c r="G16" s="4"/>
      <c r="H16" s="17">
        <v>0.6</v>
      </c>
      <c r="I16" s="17">
        <v>1</v>
      </c>
      <c r="J16" s="84" t="s">
        <v>447</v>
      </c>
      <c r="K16" s="79" t="s">
        <v>736</v>
      </c>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K2.1</v>
      </c>
      <c r="I25" s="49" t="str">
        <f>C14</f>
        <v>K2.2</v>
      </c>
      <c r="J25" s="49" t="str">
        <f>C15</f>
        <v>S3.1</v>
      </c>
      <c r="K25" s="49" t="str">
        <f>C16</f>
        <v>S7.1</v>
      </c>
      <c r="L25" s="49">
        <f>C17</f>
        <v>0</v>
      </c>
      <c r="M25" s="49">
        <f>C18</f>
        <v>0</v>
      </c>
      <c r="N25" s="49">
        <f>C19</f>
        <v>0</v>
      </c>
      <c r="O25" s="50" t="s">
        <v>305</v>
      </c>
    </row>
    <row r="26" spans="2:26" ht="60.75" thickBot="1" x14ac:dyDescent="0.3">
      <c r="C26" s="51" t="s">
        <v>306</v>
      </c>
      <c r="D26" s="95" t="s">
        <v>737</v>
      </c>
      <c r="E26" s="8">
        <v>12</v>
      </c>
      <c r="F26" s="8">
        <v>6</v>
      </c>
      <c r="G26" s="8"/>
      <c r="H26" s="8"/>
      <c r="I26" s="8"/>
      <c r="J26" s="8">
        <v>6</v>
      </c>
      <c r="K26" s="8"/>
      <c r="L26" s="8"/>
      <c r="M26" s="8"/>
      <c r="N26" s="8"/>
      <c r="O26" s="53" t="b">
        <f t="shared" ref="O26:O40" si="0">IF(SUM(F26:N26)=E26,TRUE,"false")</f>
        <v>1</v>
      </c>
    </row>
    <row r="27" spans="2:26" ht="58.5" customHeight="1" thickBot="1" x14ac:dyDescent="0.3">
      <c r="C27" s="51" t="s">
        <v>307</v>
      </c>
      <c r="D27" s="92" t="s">
        <v>738</v>
      </c>
      <c r="E27" s="8">
        <v>6</v>
      </c>
      <c r="F27" s="8"/>
      <c r="G27" s="8"/>
      <c r="H27" s="8">
        <v>6</v>
      </c>
      <c r="I27" s="8"/>
      <c r="J27" s="8"/>
      <c r="K27" s="8"/>
      <c r="L27" s="8"/>
      <c r="M27" s="8"/>
      <c r="N27" s="8"/>
      <c r="O27" s="53" t="b">
        <f t="shared" si="0"/>
        <v>1</v>
      </c>
    </row>
    <row r="28" spans="2:26" ht="54" customHeight="1" thickBot="1" x14ac:dyDescent="0.3">
      <c r="C28" s="51" t="s">
        <v>308</v>
      </c>
      <c r="D28" s="92" t="s">
        <v>739</v>
      </c>
      <c r="E28" s="8">
        <v>6</v>
      </c>
      <c r="F28" s="8"/>
      <c r="G28" s="8"/>
      <c r="H28" s="8">
        <v>2</v>
      </c>
      <c r="I28" s="8"/>
      <c r="J28" s="8"/>
      <c r="K28" s="8">
        <v>4</v>
      </c>
      <c r="L28" s="8"/>
      <c r="M28" s="8"/>
      <c r="N28" s="8"/>
      <c r="O28" s="53" t="b">
        <f t="shared" si="0"/>
        <v>1</v>
      </c>
    </row>
    <row r="29" spans="2:26" ht="53.45" customHeight="1" thickBot="1" x14ac:dyDescent="0.3">
      <c r="C29" s="51" t="s">
        <v>309</v>
      </c>
      <c r="D29" s="92" t="s">
        <v>740</v>
      </c>
      <c r="E29" s="8">
        <v>6</v>
      </c>
      <c r="F29" s="8"/>
      <c r="G29" s="8"/>
      <c r="H29" s="8"/>
      <c r="I29" s="8">
        <v>2</v>
      </c>
      <c r="J29" s="8">
        <v>4</v>
      </c>
      <c r="K29" s="8"/>
      <c r="L29" s="8"/>
      <c r="M29" s="8"/>
      <c r="N29" s="8"/>
      <c r="O29" s="53" t="b">
        <f t="shared" si="0"/>
        <v>1</v>
      </c>
    </row>
    <row r="30" spans="2:26" ht="50.1" customHeight="1" thickBot="1" x14ac:dyDescent="0.3">
      <c r="C30" s="51" t="s">
        <v>310</v>
      </c>
      <c r="D30" s="92" t="s">
        <v>741</v>
      </c>
      <c r="E30" s="8">
        <v>4</v>
      </c>
      <c r="F30" s="8"/>
      <c r="G30" s="8">
        <v>2</v>
      </c>
      <c r="H30" s="8"/>
      <c r="I30" s="8"/>
      <c r="J30" s="8">
        <v>2</v>
      </c>
      <c r="K30" s="8"/>
      <c r="L30" s="8"/>
      <c r="M30" s="8"/>
      <c r="N30" s="8"/>
      <c r="O30" s="53" t="b">
        <f t="shared" si="0"/>
        <v>1</v>
      </c>
    </row>
    <row r="31" spans="2:26" ht="60.6" customHeight="1" thickBot="1" x14ac:dyDescent="0.3">
      <c r="C31" s="51" t="s">
        <v>311</v>
      </c>
      <c r="D31" s="92" t="s">
        <v>742</v>
      </c>
      <c r="E31" s="8">
        <v>26</v>
      </c>
      <c r="F31" s="8"/>
      <c r="G31" s="8">
        <v>22</v>
      </c>
      <c r="H31" s="8"/>
      <c r="I31" s="8"/>
      <c r="J31" s="8">
        <v>4</v>
      </c>
      <c r="K31" s="8"/>
      <c r="L31" s="8"/>
      <c r="M31" s="8"/>
      <c r="N31" s="8"/>
      <c r="O31" s="53" t="b">
        <f t="shared" si="0"/>
        <v>1</v>
      </c>
    </row>
    <row r="32" spans="2:26" ht="48" customHeight="1" thickBot="1" x14ac:dyDescent="0.3">
      <c r="C32" s="51" t="s">
        <v>312</v>
      </c>
      <c r="D32" s="92"/>
      <c r="E32" s="8"/>
      <c r="F32" s="8"/>
      <c r="G32" s="8"/>
      <c r="H32" s="8"/>
      <c r="I32" s="8"/>
      <c r="J32" s="8"/>
      <c r="K32" s="8"/>
      <c r="L32" s="8"/>
      <c r="M32" s="8"/>
      <c r="N32" s="8"/>
      <c r="O32" s="53" t="b">
        <f t="shared" si="0"/>
        <v>1</v>
      </c>
    </row>
    <row r="33" spans="2:15" ht="54.6" customHeight="1" thickBot="1" x14ac:dyDescent="0.3">
      <c r="C33" s="51" t="s">
        <v>313</v>
      </c>
      <c r="D33" s="92"/>
      <c r="E33" s="8"/>
      <c r="F33" s="8"/>
      <c r="G33" s="8"/>
      <c r="H33" s="8"/>
      <c r="I33" s="8"/>
      <c r="J33" s="8"/>
      <c r="K33" s="8"/>
      <c r="L33" s="8"/>
      <c r="M33" s="8"/>
      <c r="N33" s="8"/>
      <c r="O33" s="53" t="b">
        <f t="shared" si="0"/>
        <v>1</v>
      </c>
    </row>
    <row r="34" spans="2:15" ht="30.4" customHeight="1" thickBot="1" x14ac:dyDescent="0.3">
      <c r="C34" s="51" t="s">
        <v>314</v>
      </c>
      <c r="D34" s="92"/>
      <c r="E34" s="8"/>
      <c r="F34" s="8"/>
      <c r="G34" s="8"/>
      <c r="H34" s="8"/>
      <c r="I34" s="8"/>
      <c r="J34" s="8"/>
      <c r="K34" s="8"/>
      <c r="L34" s="8"/>
      <c r="M34" s="8"/>
      <c r="N34" s="8"/>
      <c r="O34" s="53" t="b">
        <f t="shared" si="0"/>
        <v>1</v>
      </c>
    </row>
    <row r="35" spans="2:15" ht="30.4" customHeight="1" thickBot="1" x14ac:dyDescent="0.3">
      <c r="C35" s="51" t="s">
        <v>315</v>
      </c>
      <c r="D35" s="92"/>
      <c r="E35" s="8"/>
      <c r="F35" s="8"/>
      <c r="G35" s="8"/>
      <c r="H35" s="8"/>
      <c r="I35" s="8"/>
      <c r="J35" s="8"/>
      <c r="K35" s="8"/>
      <c r="L35" s="8"/>
      <c r="M35" s="8"/>
      <c r="N35" s="8"/>
      <c r="O35" s="53" t="b">
        <f t="shared" si="0"/>
        <v>1</v>
      </c>
    </row>
    <row r="36" spans="2:15" ht="30.4" customHeight="1" thickBot="1" x14ac:dyDescent="0.3">
      <c r="C36" s="51" t="s">
        <v>316</v>
      </c>
      <c r="D36" s="92"/>
      <c r="E36" s="8"/>
      <c r="F36" s="8"/>
      <c r="G36" s="8"/>
      <c r="H36" s="8"/>
      <c r="I36" s="8"/>
      <c r="J36" s="8"/>
      <c r="K36" s="8"/>
      <c r="L36" s="8"/>
      <c r="M36" s="8"/>
      <c r="N36" s="8"/>
      <c r="O36" s="53" t="b">
        <f t="shared" si="0"/>
        <v>1</v>
      </c>
    </row>
    <row r="37" spans="2:15" ht="30.4" customHeight="1" thickBot="1" x14ac:dyDescent="0.3">
      <c r="C37" s="51" t="s">
        <v>317</v>
      </c>
      <c r="D37" s="92"/>
      <c r="E37" s="8"/>
      <c r="F37" s="8"/>
      <c r="G37" s="8"/>
      <c r="H37" s="8"/>
      <c r="I37" s="8"/>
      <c r="J37" s="8"/>
      <c r="K37" s="8"/>
      <c r="L37" s="8"/>
      <c r="M37" s="8"/>
      <c r="N37" s="8"/>
      <c r="O37" s="53" t="b">
        <f t="shared" si="0"/>
        <v>1</v>
      </c>
    </row>
    <row r="38" spans="2:15" ht="30.4" customHeight="1" thickBot="1" x14ac:dyDescent="0.3">
      <c r="C38" s="51" t="s">
        <v>318</v>
      </c>
      <c r="D38" s="94"/>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6</v>
      </c>
      <c r="G40" s="52">
        <f t="shared" si="1"/>
        <v>24</v>
      </c>
      <c r="H40" s="52">
        <f t="shared" si="1"/>
        <v>8</v>
      </c>
      <c r="I40" s="52">
        <f t="shared" si="1"/>
        <v>2</v>
      </c>
      <c r="J40" s="52">
        <f t="shared" si="1"/>
        <v>16</v>
      </c>
      <c r="K40" s="52">
        <f t="shared" si="1"/>
        <v>4</v>
      </c>
      <c r="L40" s="52">
        <f t="shared" si="1"/>
        <v>0</v>
      </c>
      <c r="M40" s="52">
        <f t="shared" si="1"/>
        <v>0</v>
      </c>
      <c r="N40" s="52">
        <f t="shared" si="1"/>
        <v>0</v>
      </c>
      <c r="O40" s="53" t="b">
        <f t="shared" si="0"/>
        <v>1</v>
      </c>
    </row>
    <row r="41" spans="2:15" s="20" customFormat="1" ht="71.650000000000006" customHeight="1" x14ac:dyDescent="0.25">
      <c r="C41" s="150" t="s">
        <v>321</v>
      </c>
      <c r="D41" s="150"/>
      <c r="E41" s="150"/>
      <c r="F41" s="93">
        <f>ROUND(F40/E40,2)</f>
        <v>0.1</v>
      </c>
      <c r="G41" s="93">
        <f>ROUND(G40/E40,2)</f>
        <v>0.4</v>
      </c>
      <c r="H41" s="93">
        <f>ROUND(H40/E40,2)</f>
        <v>0.13</v>
      </c>
      <c r="I41" s="93">
        <f>ROUND(I40/E40,2)</f>
        <v>0.03</v>
      </c>
      <c r="J41" s="93">
        <f>ROUND(J40/E40,2)</f>
        <v>0.27</v>
      </c>
      <c r="K41" s="93">
        <f>ROUND(K40/E40,2)</f>
        <v>7.0000000000000007E-2</v>
      </c>
      <c r="L41" s="93">
        <f>ROUND(L40/E40,2)</f>
        <v>0</v>
      </c>
      <c r="M41" s="93">
        <f>ROUND(M40/E40,2)</f>
        <v>0</v>
      </c>
      <c r="N41" s="93">
        <f>ROUND(N40/E40,2)</f>
        <v>0</v>
      </c>
      <c r="O41" s="93">
        <f>SUM(F41:N41)</f>
        <v>1</v>
      </c>
    </row>
    <row r="42" spans="2:15" ht="55.9" customHeight="1" x14ac:dyDescent="0.25">
      <c r="C42" s="151" t="s">
        <v>322</v>
      </c>
      <c r="D42" s="151"/>
      <c r="E42" s="151"/>
      <c r="F42" s="7">
        <v>10</v>
      </c>
      <c r="G42" s="7">
        <v>50</v>
      </c>
      <c r="H42" s="7">
        <v>15</v>
      </c>
      <c r="I42" s="7">
        <v>5</v>
      </c>
      <c r="J42" s="7">
        <v>10</v>
      </c>
      <c r="K42" s="7">
        <v>10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K2.1</v>
      </c>
      <c r="H46" s="59" t="str">
        <f>C14</f>
        <v>K2.2</v>
      </c>
      <c r="I46" s="59" t="str">
        <f>C15</f>
        <v>S3.1</v>
      </c>
      <c r="J46" s="59" t="str">
        <f>C16</f>
        <v>S7.1</v>
      </c>
      <c r="K46" s="59">
        <f>C17</f>
        <v>0</v>
      </c>
      <c r="L46" s="59">
        <f>C18</f>
        <v>0</v>
      </c>
      <c r="M46" s="59">
        <f>C19</f>
        <v>0</v>
      </c>
      <c r="N46" s="60" t="s">
        <v>327</v>
      </c>
    </row>
    <row r="47" spans="2:15" ht="55.15" customHeight="1" x14ac:dyDescent="0.25">
      <c r="C47" s="9" t="s">
        <v>328</v>
      </c>
      <c r="D47" s="10">
        <v>20</v>
      </c>
      <c r="E47" s="8">
        <v>7</v>
      </c>
      <c r="F47" s="8">
        <v>8</v>
      </c>
      <c r="G47" s="8">
        <v>5</v>
      </c>
      <c r="H47" s="8"/>
      <c r="I47" s="8"/>
      <c r="J47" s="8"/>
      <c r="K47" s="8"/>
      <c r="L47" s="8"/>
      <c r="M47" s="8"/>
      <c r="N47" s="55" t="b">
        <f t="shared" ref="N47:N54" si="2">IF(SUM(E47:M47)=D47,TRUE,"false")</f>
        <v>1</v>
      </c>
    </row>
    <row r="48" spans="2:15" ht="55.15" customHeight="1" x14ac:dyDescent="0.25">
      <c r="C48" s="9" t="s">
        <v>743</v>
      </c>
      <c r="D48" s="10"/>
      <c r="E48" s="11"/>
      <c r="F48" s="12"/>
      <c r="G48" s="12"/>
      <c r="H48" s="12"/>
      <c r="I48" s="12"/>
      <c r="J48" s="12"/>
      <c r="K48" s="12"/>
      <c r="L48" s="12"/>
      <c r="M48" s="12"/>
      <c r="N48" s="55" t="b">
        <f t="shared" si="2"/>
        <v>1</v>
      </c>
    </row>
    <row r="49" spans="3:14" ht="55.15" customHeight="1" x14ac:dyDescent="0.25">
      <c r="C49" s="9" t="s">
        <v>458</v>
      </c>
      <c r="D49" s="10">
        <v>5</v>
      </c>
      <c r="E49" s="11"/>
      <c r="F49" s="12">
        <v>5</v>
      </c>
      <c r="G49" s="12"/>
      <c r="H49" s="12"/>
      <c r="I49" s="12"/>
      <c r="J49" s="12"/>
      <c r="K49" s="12"/>
      <c r="L49" s="12"/>
      <c r="M49" s="12"/>
      <c r="N49" s="55" t="b">
        <f t="shared" si="2"/>
        <v>1</v>
      </c>
    </row>
    <row r="50" spans="3:14" ht="55.15" customHeight="1" x14ac:dyDescent="0.25">
      <c r="C50" s="9" t="s">
        <v>331</v>
      </c>
      <c r="D50" s="10">
        <v>5</v>
      </c>
      <c r="E50" s="11"/>
      <c r="F50" s="12">
        <v>5</v>
      </c>
      <c r="G50" s="12"/>
      <c r="H50" s="12"/>
      <c r="I50" s="12"/>
      <c r="J50" s="12"/>
      <c r="K50" s="12"/>
      <c r="L50" s="12"/>
      <c r="M50" s="12"/>
      <c r="N50" s="55" t="b">
        <f t="shared" si="2"/>
        <v>1</v>
      </c>
    </row>
    <row r="51" spans="3:14" ht="55.15" customHeight="1" x14ac:dyDescent="0.25">
      <c r="C51" s="9" t="s">
        <v>333</v>
      </c>
      <c r="D51" s="10">
        <v>20</v>
      </c>
      <c r="E51" s="11"/>
      <c r="F51" s="12"/>
      <c r="G51" s="12"/>
      <c r="H51" s="12"/>
      <c r="I51" s="12">
        <v>10</v>
      </c>
      <c r="J51" s="12">
        <v>10</v>
      </c>
      <c r="K51" s="12"/>
      <c r="L51" s="12"/>
      <c r="M51" s="12"/>
      <c r="N51" s="55" t="b">
        <f t="shared" si="2"/>
        <v>1</v>
      </c>
    </row>
    <row r="52" spans="3:14" ht="55.15" customHeight="1" x14ac:dyDescent="0.25">
      <c r="C52" s="9" t="s">
        <v>504</v>
      </c>
      <c r="D52" s="10">
        <v>50</v>
      </c>
      <c r="E52" s="11">
        <v>3</v>
      </c>
      <c r="F52" s="12">
        <v>32</v>
      </c>
      <c r="G52" s="12">
        <v>10</v>
      </c>
      <c r="H52" s="12">
        <v>5</v>
      </c>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10</v>
      </c>
      <c r="F56" s="65">
        <f t="shared" si="4"/>
        <v>50</v>
      </c>
      <c r="G56" s="65">
        <f t="shared" si="4"/>
        <v>15</v>
      </c>
      <c r="H56" s="65">
        <f t="shared" si="4"/>
        <v>5</v>
      </c>
      <c r="I56" s="65">
        <f t="shared" si="4"/>
        <v>10</v>
      </c>
      <c r="J56" s="65">
        <f t="shared" si="4"/>
        <v>10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647" priority="1">
      <formula>LEN(TRIM(D47))=0</formula>
    </cfRule>
    <cfRule type="cellIs" dxfId="1646" priority="2" operator="equal">
      <formula>0</formula>
    </cfRule>
  </conditionalFormatting>
  <conditionalFormatting sqref="E50">
    <cfRule type="containsBlanks" dxfId="1645" priority="7">
      <formula>LEN(TRIM(E50))=0</formula>
    </cfRule>
    <cfRule type="cellIs" dxfId="1644" priority="8" operator="equal">
      <formula>0</formula>
    </cfRule>
  </conditionalFormatting>
  <conditionalFormatting sqref="E47:K51 E52">
    <cfRule type="containsBlanks" dxfId="1643" priority="3">
      <formula>LEN(TRIM(E47))=0</formula>
    </cfRule>
    <cfRule type="cellIs" dxfId="1642" priority="4" operator="equal">
      <formula>0</formula>
    </cfRule>
  </conditionalFormatting>
  <conditionalFormatting sqref="E53:M54">
    <cfRule type="containsBlanks" dxfId="1641" priority="27">
      <formula>LEN(TRIM(E53))=0</formula>
    </cfRule>
    <cfRule type="cellIs" dxfId="1640" priority="28" operator="equal">
      <formula>0</formula>
    </cfRule>
  </conditionalFormatting>
  <conditionalFormatting sqref="E55:M55">
    <cfRule type="containsText" dxfId="1639" priority="17" operator="containsText" text="false">
      <formula>NOT(ISERROR(SEARCH("false",E55)))</formula>
    </cfRule>
    <cfRule type="containsText" dxfId="1638" priority="18" operator="containsText" text="true">
      <formula>NOT(ISERROR(SEARCH("true",E55)))</formula>
    </cfRule>
  </conditionalFormatting>
  <conditionalFormatting sqref="E26:N39">
    <cfRule type="containsBlanks" dxfId="1637" priority="11">
      <formula>LEN(TRIM(E26))=0</formula>
    </cfRule>
    <cfRule type="cellIs" dxfId="1636" priority="12" operator="equal">
      <formula>0</formula>
    </cfRule>
  </conditionalFormatting>
  <conditionalFormatting sqref="F48:K48">
    <cfRule type="containsBlanks" dxfId="1635" priority="9">
      <formula>LEN(TRIM(F48))=0</formula>
    </cfRule>
    <cfRule type="cellIs" dxfId="1634" priority="10" operator="equal">
      <formula>0</formula>
    </cfRule>
  </conditionalFormatting>
  <conditionalFormatting sqref="F50:K52">
    <cfRule type="containsBlanks" dxfId="1633" priority="5">
      <formula>LEN(TRIM(F50))=0</formula>
    </cfRule>
    <cfRule type="cellIs" dxfId="1632" priority="6" operator="equal">
      <formula>0</formula>
    </cfRule>
  </conditionalFormatting>
  <conditionalFormatting sqref="L47:M52">
    <cfRule type="containsBlanks" dxfId="1631" priority="29">
      <formula>LEN(TRIM(L47))=0</formula>
    </cfRule>
    <cfRule type="cellIs" dxfId="1630" priority="30" operator="equal">
      <formula>0</formula>
    </cfRule>
  </conditionalFormatting>
  <conditionalFormatting sqref="N47:N54">
    <cfRule type="containsText" dxfId="1629" priority="19" operator="containsText" text="false">
      <formula>NOT(ISERROR(SEARCH("false",N47)))</formula>
    </cfRule>
    <cfRule type="containsText" dxfId="1628" priority="20" operator="containsText" text="true">
      <formula>NOT(ISERROR(SEARCH("true",N47)))</formula>
    </cfRule>
  </conditionalFormatting>
  <conditionalFormatting sqref="N55">
    <cfRule type="containsBlanks" dxfId="1627" priority="25">
      <formula>LEN(TRIM(N55))=0</formula>
    </cfRule>
    <cfRule type="cellIs" dxfId="1626" priority="26" operator="equal">
      <formula>0</formula>
    </cfRule>
  </conditionalFormatting>
  <conditionalFormatting sqref="O26:O40">
    <cfRule type="containsText" dxfId="1625" priority="21" operator="containsText" text="false">
      <formula>NOT(ISERROR(SEARCH("false",O26)))</formula>
    </cfRule>
    <cfRule type="containsText" dxfId="1624" priority="22" operator="containsText" text="true">
      <formula>NOT(ISERROR(SEARCH("true",O26)))</formula>
    </cfRule>
  </conditionalFormatting>
  <conditionalFormatting sqref="O42">
    <cfRule type="cellIs" dxfId="1623" priority="13" operator="notEqual">
      <formula>100</formula>
    </cfRule>
    <cfRule type="cellIs" dxfId="1622" priority="14" operator="equal">
      <formula>100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613F-0266-47A1-97AD-934935BDAC78}">
  <sheetPr>
    <tabColor rgb="FFFFFF00"/>
  </sheetPr>
  <dimension ref="B2:AB57"/>
  <sheetViews>
    <sheetView topLeftCell="E1" zoomScale="50" zoomScaleNormal="50" workbookViewId="0">
      <selection activeCell="L6" sqref="L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1764</v>
      </c>
      <c r="H6" s="43" t="s">
        <v>277</v>
      </c>
      <c r="I6" s="1" t="s">
        <v>226</v>
      </c>
      <c r="J6" s="43" t="s">
        <v>278</v>
      </c>
      <c r="K6" s="1" t="s">
        <v>1768</v>
      </c>
    </row>
    <row r="7" spans="2:26" ht="72.599999999999994" customHeight="1" thickBot="1" x14ac:dyDescent="0.3">
      <c r="B7" s="160"/>
      <c r="C7" s="161"/>
      <c r="D7" s="43" t="s">
        <v>279</v>
      </c>
      <c r="E7" s="1">
        <v>2023</v>
      </c>
      <c r="F7" s="43" t="s">
        <v>280</v>
      </c>
      <c r="G7" s="1">
        <v>451</v>
      </c>
      <c r="H7" s="43" t="s">
        <v>281</v>
      </c>
      <c r="I7" s="1" t="s">
        <v>282</v>
      </c>
      <c r="J7" s="43" t="s">
        <v>283</v>
      </c>
      <c r="K7" s="1" t="s">
        <v>1056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9" t="s">
        <v>415</v>
      </c>
      <c r="D11" s="78" t="s">
        <v>1057</v>
      </c>
      <c r="E11" s="89" t="s">
        <v>10</v>
      </c>
      <c r="F11" s="3"/>
      <c r="G11" s="17"/>
      <c r="H11" s="17">
        <v>0.6</v>
      </c>
      <c r="I11" s="17">
        <v>1</v>
      </c>
      <c r="J11" s="80" t="s">
        <v>1058</v>
      </c>
      <c r="K11" s="80" t="s">
        <v>729</v>
      </c>
      <c r="U11" s="3">
        <f>F11</f>
        <v>0</v>
      </c>
      <c r="V11" s="2" t="str">
        <f>C11</f>
        <v>K2.1</v>
      </c>
      <c r="W11" s="2"/>
      <c r="X11" s="17"/>
      <c r="Y11" s="37"/>
      <c r="Z11" s="37"/>
    </row>
    <row r="12" spans="2:26" ht="58.9" customHeight="1" x14ac:dyDescent="0.25">
      <c r="B12" s="36"/>
      <c r="C12" s="84" t="s">
        <v>560</v>
      </c>
      <c r="D12" s="79" t="s">
        <v>1059</v>
      </c>
      <c r="E12" s="84" t="s">
        <v>13</v>
      </c>
      <c r="F12" s="6"/>
      <c r="G12" s="4"/>
      <c r="H12" s="4">
        <v>0.6</v>
      </c>
      <c r="I12" s="4">
        <v>1</v>
      </c>
      <c r="J12" s="82" t="s">
        <v>1060</v>
      </c>
      <c r="K12" s="81" t="s">
        <v>1061</v>
      </c>
      <c r="U12" s="6">
        <f>F12</f>
        <v>0</v>
      </c>
      <c r="V12" s="2" t="str">
        <f>C12</f>
        <v>K3.1</v>
      </c>
      <c r="W12" s="5"/>
      <c r="X12" s="4"/>
      <c r="Y12" s="38"/>
      <c r="Z12" s="38"/>
    </row>
    <row r="13" spans="2:26" ht="58.9" customHeight="1" x14ac:dyDescent="0.25">
      <c r="B13" s="36"/>
      <c r="C13" s="84" t="s">
        <v>395</v>
      </c>
      <c r="D13" s="79" t="s">
        <v>1062</v>
      </c>
      <c r="E13" s="84" t="s">
        <v>24</v>
      </c>
      <c r="F13" s="6"/>
      <c r="G13" s="4"/>
      <c r="H13" s="4">
        <v>0.6</v>
      </c>
      <c r="I13" s="4">
        <v>1</v>
      </c>
      <c r="J13" s="81" t="s">
        <v>1063</v>
      </c>
      <c r="K13" s="81" t="s">
        <v>736</v>
      </c>
      <c r="U13" s="6">
        <f>F13</f>
        <v>0</v>
      </c>
      <c r="V13" s="2" t="str">
        <f>C13</f>
        <v>S3.1</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K3.1</v>
      </c>
      <c r="H25" s="49" t="str">
        <f>C13</f>
        <v>S3.1</v>
      </c>
      <c r="I25" s="49">
        <f>C14</f>
        <v>0</v>
      </c>
      <c r="J25" s="49">
        <f>C15</f>
        <v>0</v>
      </c>
      <c r="K25" s="49">
        <f>C16</f>
        <v>0</v>
      </c>
      <c r="L25" s="49">
        <f>C17</f>
        <v>0</v>
      </c>
      <c r="M25" s="49">
        <f>C18</f>
        <v>0</v>
      </c>
      <c r="N25" s="49">
        <f>C19</f>
        <v>0</v>
      </c>
      <c r="O25" s="50" t="s">
        <v>305</v>
      </c>
    </row>
    <row r="26" spans="2:26" ht="30.4" customHeight="1" thickBot="1" x14ac:dyDescent="0.3">
      <c r="C26" s="51" t="s">
        <v>306</v>
      </c>
      <c r="D26" s="25" t="s">
        <v>1064</v>
      </c>
      <c r="E26" s="8">
        <v>25</v>
      </c>
      <c r="F26" s="8">
        <v>18</v>
      </c>
      <c r="G26" s="8"/>
      <c r="H26" s="8">
        <v>7</v>
      </c>
      <c r="I26" s="8"/>
      <c r="J26" s="8"/>
      <c r="K26" s="8"/>
      <c r="L26" s="8"/>
      <c r="M26" s="8"/>
      <c r="N26" s="8"/>
      <c r="O26" s="53" t="b">
        <f t="shared" ref="O26:O40" si="0">IF(SUM(F26:N26)=E26,TRUE,"false")</f>
        <v>1</v>
      </c>
    </row>
    <row r="27" spans="2:26" ht="30.4" customHeight="1" thickBot="1" x14ac:dyDescent="0.3">
      <c r="C27" s="51" t="s">
        <v>307</v>
      </c>
      <c r="D27" s="25" t="s">
        <v>1065</v>
      </c>
      <c r="E27" s="8">
        <v>27</v>
      </c>
      <c r="F27" s="8">
        <v>22</v>
      </c>
      <c r="G27" s="8"/>
      <c r="H27" s="8">
        <v>5</v>
      </c>
      <c r="I27" s="8"/>
      <c r="J27" s="8"/>
      <c r="K27" s="8"/>
      <c r="L27" s="8"/>
      <c r="M27" s="8"/>
      <c r="N27" s="8"/>
      <c r="O27" s="53" t="b">
        <f t="shared" si="0"/>
        <v>1</v>
      </c>
    </row>
    <row r="28" spans="2:26" ht="30.4" customHeight="1" thickBot="1" x14ac:dyDescent="0.3">
      <c r="C28" s="51" t="s">
        <v>308</v>
      </c>
      <c r="D28" s="25" t="s">
        <v>1066</v>
      </c>
      <c r="E28" s="8">
        <v>2</v>
      </c>
      <c r="F28" s="8">
        <v>2</v>
      </c>
      <c r="G28" s="8"/>
      <c r="H28" s="8"/>
      <c r="I28" s="8"/>
      <c r="J28" s="8"/>
      <c r="K28" s="8"/>
      <c r="L28" s="8"/>
      <c r="M28" s="8"/>
      <c r="N28" s="8"/>
      <c r="O28" s="53" t="b">
        <f t="shared" si="0"/>
        <v>1</v>
      </c>
    </row>
    <row r="29" spans="2:26" ht="30.4" customHeight="1" thickBot="1" x14ac:dyDescent="0.3">
      <c r="C29" s="51" t="s">
        <v>309</v>
      </c>
      <c r="D29" s="25" t="s">
        <v>1067</v>
      </c>
      <c r="E29" s="8">
        <v>4</v>
      </c>
      <c r="F29" s="8"/>
      <c r="G29" s="8">
        <v>4</v>
      </c>
      <c r="H29" s="8"/>
      <c r="I29" s="8"/>
      <c r="J29" s="8"/>
      <c r="K29" s="8"/>
      <c r="L29" s="8"/>
      <c r="M29" s="8"/>
      <c r="N29" s="8"/>
      <c r="O29" s="53" t="b">
        <f t="shared" si="0"/>
        <v>1</v>
      </c>
    </row>
    <row r="30" spans="2:26" ht="30.4" customHeight="1" thickBot="1" x14ac:dyDescent="0.3">
      <c r="C30" s="51" t="s">
        <v>310</v>
      </c>
      <c r="D30" s="25" t="s">
        <v>1068</v>
      </c>
      <c r="E30" s="8">
        <v>2</v>
      </c>
      <c r="F30" s="8">
        <v>2</v>
      </c>
      <c r="G30" s="8"/>
      <c r="H30" s="8"/>
      <c r="I30" s="8"/>
      <c r="J30" s="8"/>
      <c r="K30" s="8"/>
      <c r="L30" s="8"/>
      <c r="M30" s="8"/>
      <c r="N30" s="8"/>
      <c r="O30" s="53" t="b">
        <f t="shared" si="0"/>
        <v>1</v>
      </c>
    </row>
    <row r="31" spans="2:26" ht="30.4" customHeight="1" thickBot="1" x14ac:dyDescent="0.3">
      <c r="C31" s="51" t="s">
        <v>311</v>
      </c>
      <c r="D31" s="25"/>
      <c r="E31" s="8"/>
      <c r="F31" s="8"/>
      <c r="G31" s="8"/>
      <c r="H31" s="8"/>
      <c r="I31" s="8"/>
      <c r="J31" s="8"/>
      <c r="K31" s="8"/>
      <c r="L31" s="8"/>
      <c r="M31" s="8"/>
      <c r="N31" s="8"/>
      <c r="O31" s="53" t="b">
        <f t="shared" si="0"/>
        <v>1</v>
      </c>
    </row>
    <row r="32" spans="2:26" ht="30.4" customHeight="1" thickBot="1" x14ac:dyDescent="0.3">
      <c r="C32" s="51" t="s">
        <v>312</v>
      </c>
      <c r="D32" s="25"/>
      <c r="E32" s="8"/>
      <c r="F32" s="8"/>
      <c r="G32" s="8"/>
      <c r="H32" s="8"/>
      <c r="I32" s="8"/>
      <c r="J32" s="8"/>
      <c r="K32" s="8"/>
      <c r="L32" s="8"/>
      <c r="M32" s="8"/>
      <c r="N32" s="8"/>
      <c r="O32" s="53" t="b">
        <f t="shared" si="0"/>
        <v>1</v>
      </c>
    </row>
    <row r="33" spans="2:15" ht="30.4" customHeight="1" thickBot="1" x14ac:dyDescent="0.3">
      <c r="C33" s="51" t="s">
        <v>313</v>
      </c>
      <c r="D33" s="25"/>
      <c r="E33" s="8"/>
      <c r="F33" s="8"/>
      <c r="G33" s="8"/>
      <c r="H33" s="8"/>
      <c r="I33" s="8"/>
      <c r="J33" s="8"/>
      <c r="K33" s="8"/>
      <c r="L33" s="8"/>
      <c r="M33" s="8"/>
      <c r="N33" s="8"/>
      <c r="O33" s="53" t="b">
        <f t="shared" si="0"/>
        <v>1</v>
      </c>
    </row>
    <row r="34" spans="2:15" ht="30.4" customHeight="1" thickBot="1" x14ac:dyDescent="0.3">
      <c r="C34" s="51" t="s">
        <v>314</v>
      </c>
      <c r="D34" s="25"/>
      <c r="E34" s="8"/>
      <c r="F34" s="8"/>
      <c r="G34" s="8"/>
      <c r="H34" s="8"/>
      <c r="I34" s="8"/>
      <c r="J34" s="8"/>
      <c r="K34" s="8"/>
      <c r="L34" s="8"/>
      <c r="M34" s="8"/>
      <c r="N34" s="8"/>
      <c r="O34" s="53" t="b">
        <f t="shared" si="0"/>
        <v>1</v>
      </c>
    </row>
    <row r="35" spans="2:15" ht="30.4" customHeight="1" thickBot="1" x14ac:dyDescent="0.3">
      <c r="C35" s="51" t="s">
        <v>315</v>
      </c>
      <c r="D35" s="25"/>
      <c r="E35" s="8"/>
      <c r="F35" s="8"/>
      <c r="G35" s="8"/>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44</v>
      </c>
      <c r="G40" s="52">
        <f t="shared" si="1"/>
        <v>4</v>
      </c>
      <c r="H40" s="52">
        <f t="shared" si="1"/>
        <v>12</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0.73</v>
      </c>
      <c r="G41" s="54">
        <f>ROUND(G40/E40,2)</f>
        <v>7.0000000000000007E-2</v>
      </c>
      <c r="H41" s="54">
        <f>ROUND(H40/E40,2)</f>
        <v>0.2</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70</v>
      </c>
      <c r="G42" s="7">
        <v>10</v>
      </c>
      <c r="H42" s="7">
        <v>20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K3.1</v>
      </c>
      <c r="G46" s="59" t="str">
        <f>C13</f>
        <v>S3.1</v>
      </c>
      <c r="H46" s="59">
        <f>C14</f>
        <v>0</v>
      </c>
      <c r="I46" s="59">
        <f>C15</f>
        <v>0</v>
      </c>
      <c r="J46" s="59">
        <f>C16</f>
        <v>0</v>
      </c>
      <c r="K46" s="59">
        <f>C17</f>
        <v>0</v>
      </c>
      <c r="L46" s="59">
        <f>C18</f>
        <v>0</v>
      </c>
      <c r="M46" s="59">
        <f>C19</f>
        <v>0</v>
      </c>
      <c r="N46" s="60" t="s">
        <v>327</v>
      </c>
    </row>
    <row r="47" spans="2:15" ht="55.15" customHeight="1" x14ac:dyDescent="0.25">
      <c r="C47" s="9" t="s">
        <v>458</v>
      </c>
      <c r="D47" s="10">
        <v>5</v>
      </c>
      <c r="E47" s="8">
        <v>5</v>
      </c>
      <c r="F47" s="8"/>
      <c r="G47" s="8"/>
      <c r="H47" s="8"/>
      <c r="I47" s="8"/>
      <c r="J47" s="8"/>
      <c r="K47" s="8"/>
      <c r="L47" s="8"/>
      <c r="M47" s="8"/>
      <c r="N47" s="55" t="b">
        <f t="shared" ref="N47:N54" si="2">IF(SUM(E47:M47)=D47,TRUE,"false")</f>
        <v>1</v>
      </c>
    </row>
    <row r="48" spans="2:15" ht="55.15" customHeight="1" x14ac:dyDescent="0.25">
      <c r="C48" s="9" t="s">
        <v>328</v>
      </c>
      <c r="D48" s="10">
        <v>25</v>
      </c>
      <c r="E48" s="11">
        <v>25</v>
      </c>
      <c r="F48" s="12"/>
      <c r="G48" s="12"/>
      <c r="H48" s="12"/>
      <c r="I48" s="12"/>
      <c r="J48" s="12"/>
      <c r="K48" s="12"/>
      <c r="L48" s="12"/>
      <c r="M48" s="12"/>
      <c r="N48" s="55" t="b">
        <f t="shared" si="2"/>
        <v>1</v>
      </c>
    </row>
    <row r="49" spans="3:14" ht="55.15" customHeight="1" x14ac:dyDescent="0.25">
      <c r="C49" s="9" t="s">
        <v>1069</v>
      </c>
      <c r="D49" s="10">
        <v>20</v>
      </c>
      <c r="E49" s="11"/>
      <c r="F49" s="12"/>
      <c r="G49" s="12">
        <v>20</v>
      </c>
      <c r="H49" s="12"/>
      <c r="I49" s="12"/>
      <c r="J49" s="12"/>
      <c r="K49" s="12"/>
      <c r="L49" s="12"/>
      <c r="M49" s="12"/>
      <c r="N49" s="55" t="b">
        <f t="shared" si="2"/>
        <v>1</v>
      </c>
    </row>
    <row r="50" spans="3:14" ht="55.15" customHeight="1" x14ac:dyDescent="0.25">
      <c r="C50" s="9" t="s">
        <v>460</v>
      </c>
      <c r="D50" s="10">
        <v>50</v>
      </c>
      <c r="E50" s="11">
        <v>40</v>
      </c>
      <c r="F50" s="12">
        <v>10</v>
      </c>
      <c r="G50" s="12"/>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70</v>
      </c>
      <c r="F56" s="65">
        <f t="shared" si="4"/>
        <v>10</v>
      </c>
      <c r="G56" s="65">
        <f t="shared" si="4"/>
        <v>20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JDOXQtqZTM3Zv9djB9wzG2GUo8KoK3e2/LYjSamrPgn7NdPrGn1eSNvQwkHUg73f6P2cIjVFOaeBT9lbt34eEQ==" saltValue="b9zMnIsFj4CPfPbP868f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93" priority="11">
      <formula>LEN(TRIM(D47))=0</formula>
    </cfRule>
    <cfRule type="cellIs" dxfId="92" priority="12" operator="equal">
      <formula>0</formula>
    </cfRule>
  </conditionalFormatting>
  <conditionalFormatting sqref="E50">
    <cfRule type="containsBlanks" dxfId="91" priority="21">
      <formula>LEN(TRIM(E50))=0</formula>
    </cfRule>
    <cfRule type="cellIs" dxfId="90" priority="22" operator="equal">
      <formula>0</formula>
    </cfRule>
  </conditionalFormatting>
  <conditionalFormatting sqref="E47:M51 E52">
    <cfRule type="containsBlanks" dxfId="89" priority="17">
      <formula>LEN(TRIM(E47))=0</formula>
    </cfRule>
    <cfRule type="cellIs" dxfId="88" priority="18" operator="equal">
      <formula>0</formula>
    </cfRule>
  </conditionalFormatting>
  <conditionalFormatting sqref="E53:M54">
    <cfRule type="containsBlanks" dxfId="87" priority="15">
      <formula>LEN(TRIM(E53))=0</formula>
    </cfRule>
    <cfRule type="cellIs" dxfId="86" priority="16" operator="equal">
      <formula>0</formula>
    </cfRule>
  </conditionalFormatting>
  <conditionalFormatting sqref="E55:M55">
    <cfRule type="containsText" dxfId="85" priority="5" operator="containsText" text="false">
      <formula>NOT(ISERROR(SEARCH("false",E55)))</formula>
    </cfRule>
    <cfRule type="containsText" dxfId="84" priority="6" operator="containsText" text="true">
      <formula>NOT(ISERROR(SEARCH("true",E55)))</formula>
    </cfRule>
  </conditionalFormatting>
  <conditionalFormatting sqref="E26:N39">
    <cfRule type="containsBlanks" dxfId="83" priority="3">
      <formula>LEN(TRIM(E26))=0</formula>
    </cfRule>
    <cfRule type="cellIs" dxfId="82" priority="4" operator="equal">
      <formula>0</formula>
    </cfRule>
  </conditionalFormatting>
  <conditionalFormatting sqref="F48:M48">
    <cfRule type="containsBlanks" dxfId="81" priority="23">
      <formula>LEN(TRIM(F48))=0</formula>
    </cfRule>
    <cfRule type="cellIs" dxfId="80" priority="24" operator="equal">
      <formula>0</formula>
    </cfRule>
  </conditionalFormatting>
  <conditionalFormatting sqref="F50:M52">
    <cfRule type="containsBlanks" dxfId="79" priority="19">
      <formula>LEN(TRIM(F50))=0</formula>
    </cfRule>
    <cfRule type="cellIs" dxfId="78" priority="20" operator="equal">
      <formula>0</formula>
    </cfRule>
  </conditionalFormatting>
  <conditionalFormatting sqref="N47:N54">
    <cfRule type="containsText" dxfId="77" priority="7" operator="containsText" text="false">
      <formula>NOT(ISERROR(SEARCH("false",N47)))</formula>
    </cfRule>
    <cfRule type="containsText" dxfId="76" priority="8" operator="containsText" text="true">
      <formula>NOT(ISERROR(SEARCH("true",N47)))</formula>
    </cfRule>
  </conditionalFormatting>
  <conditionalFormatting sqref="N55">
    <cfRule type="containsBlanks" dxfId="75" priority="13">
      <formula>LEN(TRIM(N55))=0</formula>
    </cfRule>
    <cfRule type="cellIs" dxfId="74" priority="14" operator="equal">
      <formula>0</formula>
    </cfRule>
  </conditionalFormatting>
  <conditionalFormatting sqref="O26:O40">
    <cfRule type="containsText" dxfId="73" priority="9" operator="containsText" text="false">
      <formula>NOT(ISERROR(SEARCH("false",O26)))</formula>
    </cfRule>
    <cfRule type="containsText" dxfId="72" priority="10" operator="containsText" text="true">
      <formula>NOT(ISERROR(SEARCH("true",O26)))</formula>
    </cfRule>
  </conditionalFormatting>
  <conditionalFormatting sqref="O42">
    <cfRule type="cellIs" dxfId="71" priority="1" operator="notEqual">
      <formula>100</formula>
    </cfRule>
    <cfRule type="cellIs" dxfId="70" priority="2" operator="equal">
      <formula>100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0000"/>
  </sheetPr>
  <dimension ref="B2:AB57"/>
  <sheetViews>
    <sheetView topLeftCell="C1"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226</v>
      </c>
      <c r="J6" s="43" t="s">
        <v>278</v>
      </c>
      <c r="K6" s="1" t="s">
        <v>100</v>
      </c>
    </row>
    <row r="7" spans="2:26" ht="72.599999999999994" customHeight="1" thickBot="1" x14ac:dyDescent="0.3">
      <c r="B7" s="160"/>
      <c r="C7" s="161"/>
      <c r="D7" s="43" t="s">
        <v>279</v>
      </c>
      <c r="E7" s="1">
        <v>4</v>
      </c>
      <c r="F7" s="43" t="s">
        <v>280</v>
      </c>
      <c r="G7" s="1">
        <v>7</v>
      </c>
      <c r="H7" s="43" t="s">
        <v>281</v>
      </c>
      <c r="I7" s="1" t="s">
        <v>282</v>
      </c>
      <c r="J7" s="43" t="s">
        <v>283</v>
      </c>
      <c r="K7" s="1" t="s">
        <v>1056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9" t="s">
        <v>415</v>
      </c>
      <c r="D11" s="78" t="s">
        <v>1057</v>
      </c>
      <c r="E11" s="89" t="s">
        <v>10</v>
      </c>
      <c r="F11" s="3"/>
      <c r="G11" s="17"/>
      <c r="H11" s="17">
        <v>0.6</v>
      </c>
      <c r="I11" s="17">
        <v>1</v>
      </c>
      <c r="J11" s="80" t="s">
        <v>1058</v>
      </c>
      <c r="K11" s="80" t="s">
        <v>729</v>
      </c>
      <c r="U11" s="3">
        <f>F11</f>
        <v>0</v>
      </c>
      <c r="V11" s="2" t="str">
        <f>C11</f>
        <v>K2.1</v>
      </c>
      <c r="W11" s="2"/>
      <c r="X11" s="17"/>
      <c r="Y11" s="37"/>
      <c r="Z11" s="37"/>
    </row>
    <row r="12" spans="2:26" ht="58.9" customHeight="1" x14ac:dyDescent="0.25">
      <c r="B12" s="36"/>
      <c r="C12" s="84" t="s">
        <v>560</v>
      </c>
      <c r="D12" s="79" t="s">
        <v>1059</v>
      </c>
      <c r="E12" s="84" t="s">
        <v>13</v>
      </c>
      <c r="F12" s="6"/>
      <c r="G12" s="4"/>
      <c r="H12" s="4">
        <v>0.6</v>
      </c>
      <c r="I12" s="4">
        <v>1</v>
      </c>
      <c r="J12" s="82" t="s">
        <v>1060</v>
      </c>
      <c r="K12" s="81" t="s">
        <v>1061</v>
      </c>
      <c r="U12" s="6">
        <f>F12</f>
        <v>0</v>
      </c>
      <c r="V12" s="2" t="str">
        <f>C12</f>
        <v>K3.1</v>
      </c>
      <c r="W12" s="5"/>
      <c r="X12" s="4"/>
      <c r="Y12" s="38"/>
      <c r="Z12" s="38"/>
    </row>
    <row r="13" spans="2:26" ht="58.9" customHeight="1" x14ac:dyDescent="0.25">
      <c r="B13" s="36"/>
      <c r="C13" s="84" t="s">
        <v>395</v>
      </c>
      <c r="D13" s="79" t="s">
        <v>1062</v>
      </c>
      <c r="E13" s="84" t="s">
        <v>24</v>
      </c>
      <c r="F13" s="6"/>
      <c r="G13" s="4"/>
      <c r="H13" s="4">
        <v>0.6</v>
      </c>
      <c r="I13" s="4">
        <v>1</v>
      </c>
      <c r="J13" s="81" t="s">
        <v>1063</v>
      </c>
      <c r="K13" s="81" t="s">
        <v>736</v>
      </c>
      <c r="U13" s="6">
        <f>F13</f>
        <v>0</v>
      </c>
      <c r="V13" s="2" t="str">
        <f>C13</f>
        <v>S3.1</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K3.1</v>
      </c>
      <c r="H25" s="49" t="str">
        <f>C13</f>
        <v>S3.1</v>
      </c>
      <c r="I25" s="49">
        <f>C14</f>
        <v>0</v>
      </c>
      <c r="J25" s="49">
        <f>C15</f>
        <v>0</v>
      </c>
      <c r="K25" s="49">
        <f>C16</f>
        <v>0</v>
      </c>
      <c r="L25" s="49">
        <f>C17</f>
        <v>0</v>
      </c>
      <c r="M25" s="49">
        <f>C18</f>
        <v>0</v>
      </c>
      <c r="N25" s="49">
        <f>C19</f>
        <v>0</v>
      </c>
      <c r="O25" s="50" t="s">
        <v>305</v>
      </c>
    </row>
    <row r="26" spans="2:26" ht="30.4" customHeight="1" thickBot="1" x14ac:dyDescent="0.3">
      <c r="C26" s="51" t="s">
        <v>306</v>
      </c>
      <c r="D26" s="25" t="s">
        <v>1064</v>
      </c>
      <c r="E26" s="8">
        <v>25</v>
      </c>
      <c r="F26" s="8">
        <v>18</v>
      </c>
      <c r="G26" s="8"/>
      <c r="H26" s="8">
        <v>7</v>
      </c>
      <c r="I26" s="8"/>
      <c r="J26" s="8"/>
      <c r="K26" s="8"/>
      <c r="L26" s="8"/>
      <c r="M26" s="8"/>
      <c r="N26" s="8"/>
      <c r="O26" s="53" t="b">
        <f t="shared" ref="O26:O40" si="0">IF(SUM(F26:N26)=E26,TRUE,"false")</f>
        <v>1</v>
      </c>
    </row>
    <row r="27" spans="2:26" ht="30.4" customHeight="1" thickBot="1" x14ac:dyDescent="0.3">
      <c r="C27" s="51" t="s">
        <v>307</v>
      </c>
      <c r="D27" s="25" t="s">
        <v>1065</v>
      </c>
      <c r="E27" s="8">
        <v>27</v>
      </c>
      <c r="F27" s="8">
        <v>22</v>
      </c>
      <c r="G27" s="8"/>
      <c r="H27" s="8">
        <v>5</v>
      </c>
      <c r="I27" s="8"/>
      <c r="J27" s="8"/>
      <c r="K27" s="8"/>
      <c r="L27" s="8"/>
      <c r="M27" s="8"/>
      <c r="N27" s="8"/>
      <c r="O27" s="53" t="b">
        <f t="shared" si="0"/>
        <v>1</v>
      </c>
    </row>
    <row r="28" spans="2:26" ht="30.4" customHeight="1" thickBot="1" x14ac:dyDescent="0.3">
      <c r="C28" s="51" t="s">
        <v>308</v>
      </c>
      <c r="D28" s="25" t="s">
        <v>1066</v>
      </c>
      <c r="E28" s="8">
        <v>2</v>
      </c>
      <c r="F28" s="8">
        <v>2</v>
      </c>
      <c r="G28" s="8"/>
      <c r="H28" s="8"/>
      <c r="I28" s="8"/>
      <c r="J28" s="8"/>
      <c r="K28" s="8"/>
      <c r="L28" s="8"/>
      <c r="M28" s="8"/>
      <c r="N28" s="8"/>
      <c r="O28" s="53" t="b">
        <f t="shared" si="0"/>
        <v>1</v>
      </c>
    </row>
    <row r="29" spans="2:26" ht="30.4" customHeight="1" thickBot="1" x14ac:dyDescent="0.3">
      <c r="C29" s="51" t="s">
        <v>309</v>
      </c>
      <c r="D29" s="25" t="s">
        <v>1067</v>
      </c>
      <c r="E29" s="8">
        <v>4</v>
      </c>
      <c r="F29" s="8"/>
      <c r="G29" s="8">
        <v>4</v>
      </c>
      <c r="H29" s="8"/>
      <c r="I29" s="8"/>
      <c r="J29" s="8"/>
      <c r="K29" s="8"/>
      <c r="L29" s="8"/>
      <c r="M29" s="8"/>
      <c r="N29" s="8"/>
      <c r="O29" s="53" t="b">
        <f t="shared" si="0"/>
        <v>1</v>
      </c>
    </row>
    <row r="30" spans="2:26" ht="30.4" customHeight="1" thickBot="1" x14ac:dyDescent="0.3">
      <c r="C30" s="51" t="s">
        <v>310</v>
      </c>
      <c r="D30" s="25" t="s">
        <v>1068</v>
      </c>
      <c r="E30" s="8">
        <v>2</v>
      </c>
      <c r="F30" s="8">
        <v>2</v>
      </c>
      <c r="G30" s="8"/>
      <c r="H30" s="8"/>
      <c r="I30" s="8"/>
      <c r="J30" s="8"/>
      <c r="K30" s="8"/>
      <c r="L30" s="8"/>
      <c r="M30" s="8"/>
      <c r="N30" s="8"/>
      <c r="O30" s="53" t="b">
        <f t="shared" si="0"/>
        <v>1</v>
      </c>
    </row>
    <row r="31" spans="2:26" ht="30.4" customHeight="1" thickBot="1" x14ac:dyDescent="0.3">
      <c r="C31" s="51" t="s">
        <v>311</v>
      </c>
      <c r="D31" s="25"/>
      <c r="E31" s="8"/>
      <c r="F31" s="8"/>
      <c r="G31" s="8"/>
      <c r="H31" s="8"/>
      <c r="I31" s="8"/>
      <c r="J31" s="8"/>
      <c r="K31" s="8"/>
      <c r="L31" s="8"/>
      <c r="M31" s="8"/>
      <c r="N31" s="8"/>
      <c r="O31" s="53" t="b">
        <f t="shared" si="0"/>
        <v>1</v>
      </c>
    </row>
    <row r="32" spans="2:26" ht="30.4" customHeight="1" thickBot="1" x14ac:dyDescent="0.3">
      <c r="C32" s="51" t="s">
        <v>312</v>
      </c>
      <c r="D32" s="25"/>
      <c r="E32" s="8"/>
      <c r="F32" s="8"/>
      <c r="G32" s="8"/>
      <c r="H32" s="8"/>
      <c r="I32" s="8"/>
      <c r="J32" s="8"/>
      <c r="K32" s="8"/>
      <c r="L32" s="8"/>
      <c r="M32" s="8"/>
      <c r="N32" s="8"/>
      <c r="O32" s="53" t="b">
        <f t="shared" si="0"/>
        <v>1</v>
      </c>
    </row>
    <row r="33" spans="2:15" ht="30.4" customHeight="1" thickBot="1" x14ac:dyDescent="0.3">
      <c r="C33" s="51" t="s">
        <v>313</v>
      </c>
      <c r="D33" s="25"/>
      <c r="E33" s="8"/>
      <c r="F33" s="8"/>
      <c r="G33" s="8"/>
      <c r="H33" s="8"/>
      <c r="I33" s="8"/>
      <c r="J33" s="8"/>
      <c r="K33" s="8"/>
      <c r="L33" s="8"/>
      <c r="M33" s="8"/>
      <c r="N33" s="8"/>
      <c r="O33" s="53" t="b">
        <f t="shared" si="0"/>
        <v>1</v>
      </c>
    </row>
    <row r="34" spans="2:15" ht="30.4" customHeight="1" thickBot="1" x14ac:dyDescent="0.3">
      <c r="C34" s="51" t="s">
        <v>314</v>
      </c>
      <c r="D34" s="25"/>
      <c r="E34" s="8"/>
      <c r="F34" s="8"/>
      <c r="G34" s="8"/>
      <c r="H34" s="8"/>
      <c r="I34" s="8"/>
      <c r="J34" s="8"/>
      <c r="K34" s="8"/>
      <c r="L34" s="8"/>
      <c r="M34" s="8"/>
      <c r="N34" s="8"/>
      <c r="O34" s="53" t="b">
        <f t="shared" si="0"/>
        <v>1</v>
      </c>
    </row>
    <row r="35" spans="2:15" ht="30.4" customHeight="1" thickBot="1" x14ac:dyDescent="0.3">
      <c r="C35" s="51" t="s">
        <v>315</v>
      </c>
      <c r="D35" s="25"/>
      <c r="E35" s="8"/>
      <c r="F35" s="8"/>
      <c r="G35" s="8"/>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44</v>
      </c>
      <c r="G40" s="52">
        <f t="shared" si="1"/>
        <v>4</v>
      </c>
      <c r="H40" s="52">
        <f t="shared" si="1"/>
        <v>12</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0.73</v>
      </c>
      <c r="G41" s="54">
        <f>ROUND(G40/E40,2)</f>
        <v>7.0000000000000007E-2</v>
      </c>
      <c r="H41" s="54">
        <f>ROUND(H40/E40,2)</f>
        <v>0.2</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70</v>
      </c>
      <c r="G42" s="7">
        <v>10</v>
      </c>
      <c r="H42" s="7">
        <v>20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K3.1</v>
      </c>
      <c r="G46" s="59" t="str">
        <f>C13</f>
        <v>S3.1</v>
      </c>
      <c r="H46" s="59">
        <f>C14</f>
        <v>0</v>
      </c>
      <c r="I46" s="59">
        <f>C15</f>
        <v>0</v>
      </c>
      <c r="J46" s="59">
        <f>C16</f>
        <v>0</v>
      </c>
      <c r="K46" s="59">
        <f>C17</f>
        <v>0</v>
      </c>
      <c r="L46" s="59">
        <f>C18</f>
        <v>0</v>
      </c>
      <c r="M46" s="59">
        <f>C19</f>
        <v>0</v>
      </c>
      <c r="N46" s="60" t="s">
        <v>327</v>
      </c>
    </row>
    <row r="47" spans="2:15" ht="55.15" customHeight="1" x14ac:dyDescent="0.25">
      <c r="C47" s="9" t="s">
        <v>458</v>
      </c>
      <c r="D47" s="10">
        <v>5</v>
      </c>
      <c r="E47" s="8">
        <v>5</v>
      </c>
      <c r="F47" s="8"/>
      <c r="G47" s="8"/>
      <c r="H47" s="8"/>
      <c r="I47" s="8"/>
      <c r="J47" s="8"/>
      <c r="K47" s="8"/>
      <c r="L47" s="8"/>
      <c r="M47" s="8"/>
      <c r="N47" s="55" t="b">
        <f t="shared" ref="N47:N54" si="2">IF(SUM(E47:M47)=D47,TRUE,"false")</f>
        <v>1</v>
      </c>
    </row>
    <row r="48" spans="2:15" ht="55.15" customHeight="1" x14ac:dyDescent="0.25">
      <c r="C48" s="9" t="s">
        <v>328</v>
      </c>
      <c r="D48" s="10">
        <v>25</v>
      </c>
      <c r="E48" s="11">
        <v>25</v>
      </c>
      <c r="F48" s="12"/>
      <c r="G48" s="12"/>
      <c r="H48" s="12"/>
      <c r="I48" s="12"/>
      <c r="J48" s="12"/>
      <c r="K48" s="12"/>
      <c r="L48" s="12"/>
      <c r="M48" s="12"/>
      <c r="N48" s="55" t="b">
        <f t="shared" si="2"/>
        <v>1</v>
      </c>
    </row>
    <row r="49" spans="3:14" ht="55.15" customHeight="1" x14ac:dyDescent="0.25">
      <c r="C49" s="9" t="s">
        <v>1069</v>
      </c>
      <c r="D49" s="10">
        <v>20</v>
      </c>
      <c r="E49" s="11"/>
      <c r="F49" s="12"/>
      <c r="G49" s="12">
        <v>20</v>
      </c>
      <c r="H49" s="12"/>
      <c r="I49" s="12"/>
      <c r="J49" s="12"/>
      <c r="K49" s="12"/>
      <c r="L49" s="12"/>
      <c r="M49" s="12"/>
      <c r="N49" s="55" t="b">
        <f t="shared" si="2"/>
        <v>1</v>
      </c>
    </row>
    <row r="50" spans="3:14" ht="55.15" customHeight="1" x14ac:dyDescent="0.25">
      <c r="C50" s="9" t="s">
        <v>460</v>
      </c>
      <c r="D50" s="10">
        <v>50</v>
      </c>
      <c r="E50" s="11">
        <v>40</v>
      </c>
      <c r="F50" s="12">
        <v>10</v>
      </c>
      <c r="G50" s="12"/>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70</v>
      </c>
      <c r="F56" s="65">
        <f t="shared" si="4"/>
        <v>10</v>
      </c>
      <c r="G56" s="65">
        <f t="shared" si="4"/>
        <v>20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JDOXQtqZTM3Zv9djB9wzG2GUo8KoK3e2/LYjSamrPgn7NdPrGn1eSNvQwkHUg73f6P2cIjVFOaeBT9lbt34eEQ==" saltValue="b9zMnIsFj4CPfPbP868f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621" priority="11">
      <formula>LEN(TRIM(D47))=0</formula>
    </cfRule>
    <cfRule type="cellIs" dxfId="1620" priority="12" operator="equal">
      <formula>0</formula>
    </cfRule>
  </conditionalFormatting>
  <conditionalFormatting sqref="E50">
    <cfRule type="containsBlanks" dxfId="1619" priority="21">
      <formula>LEN(TRIM(E50))=0</formula>
    </cfRule>
    <cfRule type="cellIs" dxfId="1618" priority="22" operator="equal">
      <formula>0</formula>
    </cfRule>
  </conditionalFormatting>
  <conditionalFormatting sqref="E47:M51 E52">
    <cfRule type="containsBlanks" dxfId="1617" priority="17">
      <formula>LEN(TRIM(E47))=0</formula>
    </cfRule>
    <cfRule type="cellIs" dxfId="1616" priority="18" operator="equal">
      <formula>0</formula>
    </cfRule>
  </conditionalFormatting>
  <conditionalFormatting sqref="E53:M54">
    <cfRule type="containsBlanks" dxfId="1615" priority="15">
      <formula>LEN(TRIM(E53))=0</formula>
    </cfRule>
    <cfRule type="cellIs" dxfId="1614" priority="16" operator="equal">
      <formula>0</formula>
    </cfRule>
  </conditionalFormatting>
  <conditionalFormatting sqref="E55:M55">
    <cfRule type="containsText" dxfId="1613" priority="5" operator="containsText" text="false">
      <formula>NOT(ISERROR(SEARCH("false",E55)))</formula>
    </cfRule>
    <cfRule type="containsText" dxfId="1612" priority="6" operator="containsText" text="true">
      <formula>NOT(ISERROR(SEARCH("true",E55)))</formula>
    </cfRule>
  </conditionalFormatting>
  <conditionalFormatting sqref="E26:N39">
    <cfRule type="containsBlanks" dxfId="1611" priority="3">
      <formula>LEN(TRIM(E26))=0</formula>
    </cfRule>
    <cfRule type="cellIs" dxfId="1610" priority="4" operator="equal">
      <formula>0</formula>
    </cfRule>
  </conditionalFormatting>
  <conditionalFormatting sqref="F48:M48">
    <cfRule type="containsBlanks" dxfId="1609" priority="23">
      <formula>LEN(TRIM(F48))=0</formula>
    </cfRule>
    <cfRule type="cellIs" dxfId="1608" priority="24" operator="equal">
      <formula>0</formula>
    </cfRule>
  </conditionalFormatting>
  <conditionalFormatting sqref="F50:M52">
    <cfRule type="containsBlanks" dxfId="1607" priority="19">
      <formula>LEN(TRIM(F50))=0</formula>
    </cfRule>
    <cfRule type="cellIs" dxfId="1606" priority="20" operator="equal">
      <formula>0</formula>
    </cfRule>
  </conditionalFormatting>
  <conditionalFormatting sqref="N47:N54">
    <cfRule type="containsText" dxfId="1605" priority="7" operator="containsText" text="false">
      <formula>NOT(ISERROR(SEARCH("false",N47)))</formula>
    </cfRule>
    <cfRule type="containsText" dxfId="1604" priority="8" operator="containsText" text="true">
      <formula>NOT(ISERROR(SEARCH("true",N47)))</formula>
    </cfRule>
  </conditionalFormatting>
  <conditionalFormatting sqref="N55">
    <cfRule type="containsBlanks" dxfId="1603" priority="13">
      <formula>LEN(TRIM(N55))=0</formula>
    </cfRule>
    <cfRule type="cellIs" dxfId="1602" priority="14" operator="equal">
      <formula>0</formula>
    </cfRule>
  </conditionalFormatting>
  <conditionalFormatting sqref="O26:O40">
    <cfRule type="containsText" dxfId="1601" priority="9" operator="containsText" text="false">
      <formula>NOT(ISERROR(SEARCH("false",O26)))</formula>
    </cfRule>
    <cfRule type="containsText" dxfId="1600" priority="10" operator="containsText" text="true">
      <formula>NOT(ISERROR(SEARCH("true",O26)))</formula>
    </cfRule>
  </conditionalFormatting>
  <conditionalFormatting sqref="O42">
    <cfRule type="cellIs" dxfId="1599" priority="1" operator="notEqual">
      <formula>100</formula>
    </cfRule>
    <cfRule type="cellIs" dxfId="1598" priority="2" operator="equal">
      <formula>100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7AD02-7326-41C8-8369-69B014F9006B}">
  <sheetPr>
    <tabColor rgb="FFFFFF00"/>
  </sheetPr>
  <dimension ref="B2:AB57"/>
  <sheetViews>
    <sheetView topLeftCell="E1" zoomScale="60" zoomScaleNormal="60" workbookViewId="0">
      <selection activeCell="K6" sqref="K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1764</v>
      </c>
      <c r="H6" s="43" t="s">
        <v>277</v>
      </c>
      <c r="I6" s="1" t="s">
        <v>232</v>
      </c>
      <c r="J6" s="43" t="s">
        <v>278</v>
      </c>
      <c r="K6" s="1" t="s">
        <v>1769</v>
      </c>
    </row>
    <row r="7" spans="2:26" ht="72.599999999999994" customHeight="1" thickBot="1" x14ac:dyDescent="0.3">
      <c r="B7" s="160"/>
      <c r="C7" s="161"/>
      <c r="D7" s="43" t="s">
        <v>279</v>
      </c>
      <c r="E7" s="1">
        <v>2023</v>
      </c>
      <c r="F7" s="43" t="s">
        <v>280</v>
      </c>
      <c r="G7" s="1">
        <v>451</v>
      </c>
      <c r="H7" s="43" t="s">
        <v>281</v>
      </c>
      <c r="I7" s="1">
        <v>1</v>
      </c>
      <c r="J7" s="43" t="s">
        <v>283</v>
      </c>
      <c r="K7" s="1" t="s">
        <v>1107</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9" t="s">
        <v>297</v>
      </c>
      <c r="D11" s="78" t="s">
        <v>1108</v>
      </c>
      <c r="E11" s="89" t="s">
        <v>7</v>
      </c>
      <c r="F11" s="3"/>
      <c r="G11" s="17"/>
      <c r="H11" s="17">
        <v>0.6</v>
      </c>
      <c r="I11" s="17">
        <v>1</v>
      </c>
      <c r="J11" s="89" t="s">
        <v>725</v>
      </c>
      <c r="K11" s="80" t="s">
        <v>726</v>
      </c>
      <c r="U11" s="3">
        <f>F11</f>
        <v>0</v>
      </c>
      <c r="V11" s="2" t="str">
        <f>C11</f>
        <v>K1.1</v>
      </c>
      <c r="W11" s="2"/>
      <c r="X11" s="17"/>
      <c r="Y11" s="37"/>
      <c r="Z11" s="37"/>
    </row>
    <row r="12" spans="2:26" ht="58.9" customHeight="1" x14ac:dyDescent="0.25">
      <c r="B12" s="36"/>
      <c r="C12" s="84" t="s">
        <v>298</v>
      </c>
      <c r="D12" s="79" t="s">
        <v>1109</v>
      </c>
      <c r="E12" s="89" t="s">
        <v>7</v>
      </c>
      <c r="F12" s="6"/>
      <c r="G12" s="4"/>
      <c r="H12" s="17">
        <v>0.6</v>
      </c>
      <c r="I12" s="17">
        <v>1</v>
      </c>
      <c r="J12" s="84" t="s">
        <v>725</v>
      </c>
      <c r="K12" s="81" t="s">
        <v>726</v>
      </c>
      <c r="U12" s="6">
        <f>F12</f>
        <v>0</v>
      </c>
      <c r="V12" s="2" t="str">
        <f>C12</f>
        <v>K1.2</v>
      </c>
      <c r="W12" s="5"/>
      <c r="X12" s="4"/>
      <c r="Y12" s="38"/>
      <c r="Z12" s="38"/>
    </row>
    <row r="13" spans="2:26" ht="58.9" customHeight="1" x14ac:dyDescent="0.25">
      <c r="B13" s="36"/>
      <c r="C13" s="84" t="s">
        <v>560</v>
      </c>
      <c r="D13" s="79" t="s">
        <v>1110</v>
      </c>
      <c r="E13" s="89" t="s">
        <v>13</v>
      </c>
      <c r="F13" s="6"/>
      <c r="G13" s="4"/>
      <c r="H13" s="17">
        <v>0.6</v>
      </c>
      <c r="I13" s="17">
        <v>1</v>
      </c>
      <c r="J13" s="84" t="s">
        <v>1060</v>
      </c>
      <c r="K13" s="81" t="s">
        <v>1770</v>
      </c>
      <c r="U13" s="6">
        <f>F13</f>
        <v>0</v>
      </c>
      <c r="V13" s="2" t="str">
        <f>C13</f>
        <v>K3.1</v>
      </c>
      <c r="W13" s="5"/>
      <c r="X13" s="4"/>
      <c r="Y13" s="38"/>
      <c r="Z13" s="38"/>
    </row>
    <row r="14" spans="2:26" ht="58.9" customHeight="1" x14ac:dyDescent="0.25">
      <c r="B14" s="36"/>
      <c r="C14" s="84" t="s">
        <v>644</v>
      </c>
      <c r="D14" s="79" t="s">
        <v>1111</v>
      </c>
      <c r="E14" s="84" t="s">
        <v>18</v>
      </c>
      <c r="F14" s="6"/>
      <c r="G14" s="4"/>
      <c r="H14" s="17">
        <v>0.6</v>
      </c>
      <c r="I14" s="17">
        <v>1</v>
      </c>
      <c r="J14" s="84" t="s">
        <v>1771</v>
      </c>
      <c r="K14" s="84" t="s">
        <v>1112</v>
      </c>
      <c r="U14" s="6">
        <f>F14</f>
        <v>0</v>
      </c>
      <c r="V14" s="2" t="str">
        <f>C14</f>
        <v>S1.1</v>
      </c>
      <c r="W14" s="5"/>
      <c r="X14" s="4"/>
      <c r="Y14" s="38"/>
      <c r="Z14" s="38"/>
    </row>
    <row r="15" spans="2:26" ht="58.9" customHeight="1" x14ac:dyDescent="0.25">
      <c r="B15" s="36"/>
      <c r="C15" s="84" t="s">
        <v>342</v>
      </c>
      <c r="D15" s="79" t="s">
        <v>1113</v>
      </c>
      <c r="E15" s="84" t="s">
        <v>22</v>
      </c>
      <c r="F15" s="6"/>
      <c r="G15" s="4"/>
      <c r="H15" s="17">
        <v>0.6</v>
      </c>
      <c r="I15" s="17">
        <v>1</v>
      </c>
      <c r="J15" s="84" t="s">
        <v>1114</v>
      </c>
      <c r="K15" s="84" t="s">
        <v>1115</v>
      </c>
      <c r="U15" s="6">
        <f>F15</f>
        <v>0</v>
      </c>
      <c r="V15" s="2" t="str">
        <f>C15</f>
        <v>S2.1</v>
      </c>
      <c r="W15" s="5"/>
      <c r="X15" s="4"/>
      <c r="Y15" s="38"/>
      <c r="Z15" s="38"/>
    </row>
    <row r="16" spans="2:26" ht="58.9" customHeight="1" x14ac:dyDescent="0.25">
      <c r="B16" s="36"/>
      <c r="C16" s="5"/>
      <c r="D16" s="24"/>
      <c r="E16" s="5"/>
      <c r="F16" s="6"/>
      <c r="G16" s="4"/>
      <c r="H16" s="4"/>
      <c r="I16" s="4"/>
      <c r="J16" s="84"/>
      <c r="K16" s="84"/>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K3.1</v>
      </c>
      <c r="I25" s="49" t="str">
        <f>C14</f>
        <v>S1.1</v>
      </c>
      <c r="J25" s="49" t="str">
        <f>C15</f>
        <v>S2.1</v>
      </c>
      <c r="K25" s="49">
        <f>C16</f>
        <v>0</v>
      </c>
      <c r="L25" s="49">
        <f>C17</f>
        <v>0</v>
      </c>
      <c r="M25" s="49">
        <f>C18</f>
        <v>0</v>
      </c>
      <c r="N25" s="49">
        <f>C19</f>
        <v>0</v>
      </c>
      <c r="O25" s="50" t="s">
        <v>305</v>
      </c>
    </row>
    <row r="26" spans="2:26" ht="23.25" thickBot="1" x14ac:dyDescent="0.3">
      <c r="C26" s="51" t="s">
        <v>306</v>
      </c>
      <c r="D26" s="95" t="s">
        <v>1116</v>
      </c>
      <c r="E26" s="8">
        <v>1</v>
      </c>
      <c r="F26" s="8">
        <v>1</v>
      </c>
      <c r="G26" s="8"/>
      <c r="H26" s="8"/>
      <c r="I26" s="8"/>
      <c r="J26" s="8"/>
      <c r="K26" s="8"/>
      <c r="L26" s="8"/>
      <c r="M26" s="8"/>
      <c r="N26" s="8"/>
      <c r="O26" s="53" t="b">
        <f t="shared" ref="O26:O40" si="0">IF(SUM(F26:N26)=E26,TRUE,"false")</f>
        <v>1</v>
      </c>
    </row>
    <row r="27" spans="2:26" ht="58.5" customHeight="1" thickBot="1" x14ac:dyDescent="0.3">
      <c r="C27" s="51" t="s">
        <v>307</v>
      </c>
      <c r="D27" s="92" t="s">
        <v>1117</v>
      </c>
      <c r="E27" s="8">
        <v>8</v>
      </c>
      <c r="F27" s="8">
        <v>5</v>
      </c>
      <c r="G27" s="8"/>
      <c r="H27" s="8"/>
      <c r="I27" s="8">
        <v>1</v>
      </c>
      <c r="J27" s="8">
        <v>2</v>
      </c>
      <c r="K27" s="8"/>
      <c r="L27" s="8"/>
      <c r="M27" s="8"/>
      <c r="N27" s="8"/>
      <c r="O27" s="53" t="b">
        <f t="shared" si="0"/>
        <v>1</v>
      </c>
    </row>
    <row r="28" spans="2:26" ht="54" customHeight="1" thickBot="1" x14ac:dyDescent="0.3">
      <c r="C28" s="51" t="s">
        <v>308</v>
      </c>
      <c r="D28" s="92" t="s">
        <v>1118</v>
      </c>
      <c r="E28" s="8">
        <v>4</v>
      </c>
      <c r="F28" s="8"/>
      <c r="G28" s="8">
        <v>2</v>
      </c>
      <c r="H28" s="8"/>
      <c r="I28" s="8">
        <v>2</v>
      </c>
      <c r="J28" s="8"/>
      <c r="K28" s="8"/>
      <c r="L28" s="8"/>
      <c r="M28" s="8"/>
      <c r="N28" s="8"/>
      <c r="O28" s="53" t="b">
        <f t="shared" si="0"/>
        <v>1</v>
      </c>
    </row>
    <row r="29" spans="2:26" ht="53.45" customHeight="1" thickBot="1" x14ac:dyDescent="0.3">
      <c r="C29" s="51" t="s">
        <v>309</v>
      </c>
      <c r="D29" s="92" t="s">
        <v>1119</v>
      </c>
      <c r="E29" s="8">
        <v>2</v>
      </c>
      <c r="F29" s="8"/>
      <c r="G29" s="8"/>
      <c r="H29" s="8">
        <v>2</v>
      </c>
      <c r="I29" s="8"/>
      <c r="J29" s="8"/>
      <c r="K29" s="8"/>
      <c r="L29" s="8"/>
      <c r="M29" s="8"/>
      <c r="N29" s="8"/>
      <c r="O29" s="53" t="b">
        <f t="shared" si="0"/>
        <v>1</v>
      </c>
    </row>
    <row r="30" spans="2:26" ht="50.1" customHeight="1" thickBot="1" x14ac:dyDescent="0.3">
      <c r="C30" s="51" t="s">
        <v>310</v>
      </c>
      <c r="D30" s="92"/>
      <c r="E30" s="8"/>
      <c r="F30" s="8"/>
      <c r="G30" s="8"/>
      <c r="H30" s="8"/>
      <c r="I30" s="8"/>
      <c r="J30" s="8"/>
      <c r="K30" s="8"/>
      <c r="L30" s="8"/>
      <c r="M30" s="8"/>
      <c r="N30" s="8"/>
      <c r="O30" s="53" t="b">
        <f t="shared" si="0"/>
        <v>1</v>
      </c>
    </row>
    <row r="31" spans="2:26" ht="60.6" customHeight="1" thickBot="1" x14ac:dyDescent="0.3">
      <c r="C31" s="51" t="s">
        <v>311</v>
      </c>
      <c r="D31" s="92"/>
      <c r="E31" s="8"/>
      <c r="F31" s="8"/>
      <c r="G31" s="8"/>
      <c r="H31" s="8"/>
      <c r="I31" s="8"/>
      <c r="J31" s="8"/>
      <c r="K31" s="8"/>
      <c r="L31" s="8"/>
      <c r="M31" s="8"/>
      <c r="N31" s="8"/>
      <c r="O31" s="53" t="b">
        <f t="shared" si="0"/>
        <v>1</v>
      </c>
    </row>
    <row r="32" spans="2:26" ht="48" customHeight="1" thickBot="1" x14ac:dyDescent="0.3">
      <c r="C32" s="51" t="s">
        <v>312</v>
      </c>
      <c r="D32" s="92"/>
      <c r="E32" s="8"/>
      <c r="F32" s="8"/>
      <c r="G32" s="8"/>
      <c r="H32" s="8"/>
      <c r="I32" s="8"/>
      <c r="J32" s="8"/>
      <c r="K32" s="8"/>
      <c r="L32" s="8"/>
      <c r="M32" s="8"/>
      <c r="N32" s="8"/>
      <c r="O32" s="53" t="b">
        <f t="shared" si="0"/>
        <v>1</v>
      </c>
    </row>
    <row r="33" spans="2:15" ht="54.6" customHeight="1" thickBot="1" x14ac:dyDescent="0.3">
      <c r="C33" s="51" t="s">
        <v>313</v>
      </c>
      <c r="D33" s="92"/>
      <c r="E33" s="8"/>
      <c r="F33" s="8"/>
      <c r="G33" s="8"/>
      <c r="H33" s="8"/>
      <c r="I33" s="8"/>
      <c r="J33" s="8"/>
      <c r="K33" s="8"/>
      <c r="L33" s="8"/>
      <c r="M33" s="8"/>
      <c r="N33" s="8"/>
      <c r="O33" s="53" t="b">
        <f t="shared" si="0"/>
        <v>1</v>
      </c>
    </row>
    <row r="34" spans="2:15" ht="30.4" customHeight="1" thickBot="1" x14ac:dyDescent="0.3">
      <c r="C34" s="51" t="s">
        <v>314</v>
      </c>
      <c r="D34" s="92"/>
      <c r="E34" s="8"/>
      <c r="F34" s="8"/>
      <c r="G34" s="8"/>
      <c r="H34" s="8"/>
      <c r="I34" s="8"/>
      <c r="J34" s="8"/>
      <c r="K34" s="8"/>
      <c r="L34" s="8"/>
      <c r="M34" s="8"/>
      <c r="N34" s="8"/>
      <c r="O34" s="53" t="b">
        <f t="shared" si="0"/>
        <v>1</v>
      </c>
    </row>
    <row r="35" spans="2:15" ht="30.4" customHeight="1" thickBot="1" x14ac:dyDescent="0.3">
      <c r="C35" s="51" t="s">
        <v>315</v>
      </c>
      <c r="D35" s="92"/>
      <c r="E35" s="8"/>
      <c r="F35" s="8"/>
      <c r="G35" s="8"/>
      <c r="H35" s="8"/>
      <c r="I35" s="8"/>
      <c r="J35" s="8"/>
      <c r="K35" s="8"/>
      <c r="L35" s="8"/>
      <c r="M35" s="8"/>
      <c r="N35" s="8"/>
      <c r="O35" s="53" t="b">
        <f t="shared" si="0"/>
        <v>1</v>
      </c>
    </row>
    <row r="36" spans="2:15" ht="30.4" customHeight="1" thickBot="1" x14ac:dyDescent="0.3">
      <c r="C36" s="51" t="s">
        <v>316</v>
      </c>
      <c r="D36" s="92"/>
      <c r="E36" s="8"/>
      <c r="F36" s="8"/>
      <c r="G36" s="8"/>
      <c r="H36" s="8"/>
      <c r="I36" s="8"/>
      <c r="J36" s="8"/>
      <c r="K36" s="8"/>
      <c r="L36" s="8"/>
      <c r="M36" s="8"/>
      <c r="N36" s="8"/>
      <c r="O36" s="53" t="b">
        <f t="shared" si="0"/>
        <v>1</v>
      </c>
    </row>
    <row r="37" spans="2:15" ht="30.4" customHeight="1" thickBot="1" x14ac:dyDescent="0.3">
      <c r="C37" s="51" t="s">
        <v>317</v>
      </c>
      <c r="D37" s="92"/>
      <c r="E37" s="8"/>
      <c r="F37" s="8"/>
      <c r="G37" s="8"/>
      <c r="H37" s="8"/>
      <c r="I37" s="8"/>
      <c r="J37" s="8"/>
      <c r="K37" s="8"/>
      <c r="L37" s="8"/>
      <c r="M37" s="8"/>
      <c r="N37" s="8"/>
      <c r="O37" s="53" t="b">
        <f t="shared" si="0"/>
        <v>1</v>
      </c>
    </row>
    <row r="38" spans="2:15" ht="30.4" customHeight="1" thickBot="1" x14ac:dyDescent="0.3">
      <c r="C38" s="51" t="s">
        <v>318</v>
      </c>
      <c r="D38" s="94"/>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15</v>
      </c>
      <c r="F40" s="52">
        <f t="shared" si="1"/>
        <v>6</v>
      </c>
      <c r="G40" s="52">
        <f t="shared" si="1"/>
        <v>2</v>
      </c>
      <c r="H40" s="52">
        <f t="shared" si="1"/>
        <v>2</v>
      </c>
      <c r="I40" s="52">
        <f t="shared" si="1"/>
        <v>3</v>
      </c>
      <c r="J40" s="52">
        <f t="shared" si="1"/>
        <v>2</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93">
        <f>ROUND(F40/E40,2)</f>
        <v>0.4</v>
      </c>
      <c r="G41" s="93">
        <f>ROUND(G40/E40,2)</f>
        <v>0.13</v>
      </c>
      <c r="H41" s="93">
        <f>ROUND(H40/E40,2)</f>
        <v>0.13</v>
      </c>
      <c r="I41" s="93">
        <f>ROUND(I40/E40,2)</f>
        <v>0.2</v>
      </c>
      <c r="J41" s="93">
        <f>ROUND(J40/E40,2)</f>
        <v>0.13</v>
      </c>
      <c r="K41" s="93">
        <f>ROUND(K40/E40,2)</f>
        <v>0</v>
      </c>
      <c r="L41" s="93">
        <f>ROUND(L40/E40,2)</f>
        <v>0</v>
      </c>
      <c r="M41" s="93">
        <f>ROUND(M40/E40,2)</f>
        <v>0</v>
      </c>
      <c r="N41" s="93">
        <f>ROUND(N40/E40,2)</f>
        <v>0</v>
      </c>
      <c r="O41" s="93">
        <f>SUM(F41:N41)</f>
        <v>0.9900000000000001</v>
      </c>
    </row>
    <row r="42" spans="2:15" ht="55.9" customHeight="1" x14ac:dyDescent="0.25">
      <c r="C42" s="151" t="s">
        <v>322</v>
      </c>
      <c r="D42" s="151"/>
      <c r="E42" s="151"/>
      <c r="F42" s="7">
        <v>40</v>
      </c>
      <c r="G42" s="7">
        <v>15</v>
      </c>
      <c r="H42" s="7">
        <v>10</v>
      </c>
      <c r="I42" s="7">
        <v>20</v>
      </c>
      <c r="J42" s="7">
        <v>15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K3.1</v>
      </c>
      <c r="H46" s="59" t="str">
        <f>C14</f>
        <v>S1.1</v>
      </c>
      <c r="I46" s="59" t="str">
        <f>C15</f>
        <v>S2.1</v>
      </c>
      <c r="J46" s="59">
        <f>C16</f>
        <v>0</v>
      </c>
      <c r="K46" s="59">
        <f>C17</f>
        <v>0</v>
      </c>
      <c r="L46" s="59">
        <f>C18</f>
        <v>0</v>
      </c>
      <c r="M46" s="59">
        <f>C19</f>
        <v>0</v>
      </c>
      <c r="N46" s="60" t="s">
        <v>327</v>
      </c>
    </row>
    <row r="47" spans="2:15" ht="55.15" customHeight="1" x14ac:dyDescent="0.25">
      <c r="C47" s="9" t="s">
        <v>328</v>
      </c>
      <c r="D47" s="10">
        <v>25</v>
      </c>
      <c r="E47" s="8">
        <v>25</v>
      </c>
      <c r="F47" s="8"/>
      <c r="G47" s="8"/>
      <c r="H47" s="8"/>
      <c r="I47" s="8"/>
      <c r="J47" s="8"/>
      <c r="K47" s="8"/>
      <c r="L47" s="8"/>
      <c r="M47" s="8"/>
      <c r="N47" s="55" t="b">
        <f t="shared" ref="N47:N54" si="2">IF(SUM(E47:M47)=D47,TRUE,"false")</f>
        <v>1</v>
      </c>
    </row>
    <row r="48" spans="2:15" ht="55.15" customHeight="1" x14ac:dyDescent="0.25">
      <c r="C48" s="9" t="s">
        <v>458</v>
      </c>
      <c r="D48" s="10">
        <v>5</v>
      </c>
      <c r="E48" s="11">
        <v>5</v>
      </c>
      <c r="F48" s="12"/>
      <c r="G48" s="12"/>
      <c r="H48" s="12"/>
      <c r="I48" s="12"/>
      <c r="J48" s="12"/>
      <c r="K48" s="12"/>
      <c r="L48" s="12"/>
      <c r="M48" s="12"/>
      <c r="N48" s="55" t="b">
        <f t="shared" si="2"/>
        <v>1</v>
      </c>
    </row>
    <row r="49" spans="3:14" ht="55.15" customHeight="1" x14ac:dyDescent="0.25">
      <c r="C49" s="9" t="s">
        <v>331</v>
      </c>
      <c r="D49" s="10">
        <v>20</v>
      </c>
      <c r="E49" s="11"/>
      <c r="F49" s="12"/>
      <c r="G49" s="12"/>
      <c r="H49" s="12">
        <v>5</v>
      </c>
      <c r="I49" s="12">
        <v>15</v>
      </c>
      <c r="J49" s="12"/>
      <c r="K49" s="12"/>
      <c r="L49" s="12"/>
      <c r="M49" s="12"/>
      <c r="N49" s="55" t="b">
        <f t="shared" si="2"/>
        <v>1</v>
      </c>
    </row>
    <row r="50" spans="3:14" ht="55.15" customHeight="1" x14ac:dyDescent="0.25">
      <c r="C50" s="9" t="s">
        <v>1120</v>
      </c>
      <c r="D50" s="10">
        <v>50</v>
      </c>
      <c r="E50" s="11">
        <v>10</v>
      </c>
      <c r="F50" s="12">
        <v>15</v>
      </c>
      <c r="G50" s="12">
        <v>10</v>
      </c>
      <c r="H50" s="12">
        <v>15</v>
      </c>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40</v>
      </c>
      <c r="F56" s="65">
        <f t="shared" si="4"/>
        <v>15</v>
      </c>
      <c r="G56" s="65">
        <f t="shared" si="4"/>
        <v>10</v>
      </c>
      <c r="H56" s="65">
        <f t="shared" si="4"/>
        <v>20</v>
      </c>
      <c r="I56" s="65">
        <f t="shared" si="4"/>
        <v>15</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69" priority="13">
      <formula>LEN(TRIM(D47))=0</formula>
    </cfRule>
    <cfRule type="cellIs" dxfId="68" priority="14" operator="equal">
      <formula>0</formula>
    </cfRule>
  </conditionalFormatting>
  <conditionalFormatting sqref="E55:M55">
    <cfRule type="containsText" dxfId="67" priority="7" operator="containsText" text="false">
      <formula>NOT(ISERROR(SEARCH("false",E55)))</formula>
    </cfRule>
    <cfRule type="containsText" dxfId="66" priority="8" operator="containsText" text="true">
      <formula>NOT(ISERROR(SEARCH("true",E55)))</formula>
    </cfRule>
  </conditionalFormatting>
  <conditionalFormatting sqref="E26:N39">
    <cfRule type="containsBlanks" dxfId="65" priority="5">
      <formula>LEN(TRIM(E26))=0</formula>
    </cfRule>
    <cfRule type="cellIs" dxfId="64" priority="6" operator="equal">
      <formula>0</formula>
    </cfRule>
  </conditionalFormatting>
  <conditionalFormatting sqref="F48:M48">
    <cfRule type="containsBlanks" dxfId="63" priority="19">
      <formula>LEN(TRIM(F48))=0</formula>
    </cfRule>
    <cfRule type="cellIs" dxfId="62" priority="20" operator="equal">
      <formula>0</formula>
    </cfRule>
  </conditionalFormatting>
  <conditionalFormatting sqref="H49:I49">
    <cfRule type="containsBlanks" dxfId="61" priority="1">
      <formula>LEN(TRIM(H49))=0</formula>
    </cfRule>
    <cfRule type="cellIs" dxfId="60" priority="2" operator="equal">
      <formula>0</formula>
    </cfRule>
  </conditionalFormatting>
  <conditionalFormatting sqref="I50:M51">
    <cfRule type="containsBlanks" dxfId="59" priority="17">
      <formula>LEN(TRIM(I50))=0</formula>
    </cfRule>
    <cfRule type="cellIs" dxfId="58" priority="18" operator="equal">
      <formula>0</formula>
    </cfRule>
  </conditionalFormatting>
  <conditionalFormatting sqref="N47:N54">
    <cfRule type="containsText" dxfId="57" priority="9" operator="containsText" text="false">
      <formula>NOT(ISERROR(SEARCH("false",N47)))</formula>
    </cfRule>
    <cfRule type="containsText" dxfId="56" priority="10" operator="containsText" text="true">
      <formula>NOT(ISERROR(SEARCH("true",N47)))</formula>
    </cfRule>
  </conditionalFormatting>
  <conditionalFormatting sqref="N55">
    <cfRule type="containsBlanks" dxfId="55" priority="15">
      <formula>LEN(TRIM(N55))=0</formula>
    </cfRule>
    <cfRule type="cellIs" dxfId="54" priority="16" operator="equal">
      <formula>0</formula>
    </cfRule>
  </conditionalFormatting>
  <conditionalFormatting sqref="O26:O40">
    <cfRule type="containsText" dxfId="53" priority="11" operator="containsText" text="false">
      <formula>NOT(ISERROR(SEARCH("false",O26)))</formula>
    </cfRule>
    <cfRule type="containsText" dxfId="52" priority="12" operator="containsText" text="true">
      <formula>NOT(ISERROR(SEARCH("true",O26)))</formula>
    </cfRule>
  </conditionalFormatting>
  <conditionalFormatting sqref="O42">
    <cfRule type="cellIs" dxfId="51" priority="3" operator="notEqual">
      <formula>100</formula>
    </cfRule>
    <cfRule type="cellIs" dxfId="50" priority="4" operator="equal">
      <formula>100</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B2:AB57"/>
  <sheetViews>
    <sheetView zoomScale="60" zoomScaleNormal="60" workbookViewId="0">
      <selection activeCell="G8" sqref="G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232</v>
      </c>
      <c r="J6" s="43" t="s">
        <v>278</v>
      </c>
      <c r="K6" s="1" t="s">
        <v>103</v>
      </c>
    </row>
    <row r="7" spans="2:26" ht="72.599999999999994" customHeight="1" thickBot="1" x14ac:dyDescent="0.3">
      <c r="B7" s="160"/>
      <c r="C7" s="161"/>
      <c r="D7" s="43" t="s">
        <v>279</v>
      </c>
      <c r="E7" s="1">
        <v>4</v>
      </c>
      <c r="F7" s="43" t="s">
        <v>280</v>
      </c>
      <c r="G7" s="1">
        <v>8</v>
      </c>
      <c r="H7" s="43" t="s">
        <v>281</v>
      </c>
      <c r="I7" s="1">
        <v>1</v>
      </c>
      <c r="J7" s="43" t="s">
        <v>283</v>
      </c>
      <c r="K7" s="1" t="s">
        <v>1107</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9" t="s">
        <v>297</v>
      </c>
      <c r="D11" s="78" t="s">
        <v>1108</v>
      </c>
      <c r="E11" s="89" t="s">
        <v>7</v>
      </c>
      <c r="F11" s="3"/>
      <c r="G11" s="17"/>
      <c r="H11" s="17">
        <v>0.6</v>
      </c>
      <c r="I11" s="17">
        <v>1</v>
      </c>
      <c r="J11" s="80" t="s">
        <v>725</v>
      </c>
      <c r="K11" s="78" t="s">
        <v>726</v>
      </c>
      <c r="U11" s="3">
        <f>F11</f>
        <v>0</v>
      </c>
      <c r="V11" s="2" t="str">
        <f>C11</f>
        <v>K1.1</v>
      </c>
      <c r="W11" s="2"/>
      <c r="X11" s="17"/>
      <c r="Y11" s="37"/>
      <c r="Z11" s="37"/>
    </row>
    <row r="12" spans="2:26" ht="58.9" customHeight="1" x14ac:dyDescent="0.25">
      <c r="B12" s="36"/>
      <c r="C12" s="84" t="s">
        <v>298</v>
      </c>
      <c r="D12" s="79" t="s">
        <v>1109</v>
      </c>
      <c r="E12" s="89" t="s">
        <v>7</v>
      </c>
      <c r="F12" s="6"/>
      <c r="G12" s="4"/>
      <c r="H12" s="17">
        <v>0.6</v>
      </c>
      <c r="I12" s="17">
        <v>1</v>
      </c>
      <c r="J12" s="81" t="s">
        <v>725</v>
      </c>
      <c r="K12" s="79" t="s">
        <v>726</v>
      </c>
      <c r="U12" s="6">
        <f>F12</f>
        <v>0</v>
      </c>
      <c r="V12" s="2" t="str">
        <f>C12</f>
        <v>K1.2</v>
      </c>
      <c r="W12" s="5"/>
      <c r="X12" s="4"/>
      <c r="Y12" s="38"/>
      <c r="Z12" s="38"/>
    </row>
    <row r="13" spans="2:26" ht="58.9" customHeight="1" x14ac:dyDescent="0.25">
      <c r="B13" s="36"/>
      <c r="C13" s="84" t="s">
        <v>560</v>
      </c>
      <c r="D13" s="79" t="s">
        <v>1110</v>
      </c>
      <c r="E13" s="89" t="s">
        <v>13</v>
      </c>
      <c r="F13" s="6"/>
      <c r="G13" s="4"/>
      <c r="H13" s="17">
        <v>0.6</v>
      </c>
      <c r="I13" s="17">
        <v>1</v>
      </c>
      <c r="J13" s="81" t="s">
        <v>1390</v>
      </c>
      <c r="K13" s="79" t="s">
        <v>1746</v>
      </c>
      <c r="U13" s="6">
        <f>F13</f>
        <v>0</v>
      </c>
      <c r="V13" s="2" t="str">
        <f>C13</f>
        <v>K3.1</v>
      </c>
      <c r="W13" s="5"/>
      <c r="X13" s="4"/>
      <c r="Y13" s="38"/>
      <c r="Z13" s="38"/>
    </row>
    <row r="14" spans="2:26" ht="58.9" customHeight="1" x14ac:dyDescent="0.25">
      <c r="B14" s="36"/>
      <c r="C14" s="84" t="s">
        <v>644</v>
      </c>
      <c r="D14" s="79" t="s">
        <v>1111</v>
      </c>
      <c r="E14" s="84" t="s">
        <v>18</v>
      </c>
      <c r="F14" s="6"/>
      <c r="G14" s="4"/>
      <c r="H14" s="17">
        <v>0.6</v>
      </c>
      <c r="I14" s="17">
        <v>1</v>
      </c>
      <c r="J14" s="81" t="s">
        <v>1660</v>
      </c>
      <c r="K14" s="79" t="s">
        <v>1112</v>
      </c>
      <c r="U14" s="6">
        <f>F14</f>
        <v>0</v>
      </c>
      <c r="V14" s="2" t="str">
        <f>C14</f>
        <v>S1.1</v>
      </c>
      <c r="W14" s="5"/>
      <c r="X14" s="4"/>
      <c r="Y14" s="38"/>
      <c r="Z14" s="38"/>
    </row>
    <row r="15" spans="2:26" ht="58.9" customHeight="1" x14ac:dyDescent="0.25">
      <c r="B15" s="36"/>
      <c r="C15" s="84" t="s">
        <v>342</v>
      </c>
      <c r="D15" s="79" t="s">
        <v>1113</v>
      </c>
      <c r="E15" s="84" t="s">
        <v>22</v>
      </c>
      <c r="F15" s="6"/>
      <c r="G15" s="4"/>
      <c r="H15" s="17">
        <v>0.6</v>
      </c>
      <c r="I15" s="17">
        <v>1</v>
      </c>
      <c r="J15" s="81" t="s">
        <v>1114</v>
      </c>
      <c r="K15" s="79" t="s">
        <v>1115</v>
      </c>
      <c r="U15" s="6">
        <f>F15</f>
        <v>0</v>
      </c>
      <c r="V15" s="2" t="str">
        <f>C15</f>
        <v>S2.1</v>
      </c>
      <c r="W15" s="5"/>
      <c r="X15" s="4"/>
      <c r="Y15" s="38"/>
      <c r="Z15" s="38"/>
    </row>
    <row r="16" spans="2:26" ht="58.9" customHeight="1" x14ac:dyDescent="0.25">
      <c r="B16" s="36"/>
      <c r="C16" s="5"/>
      <c r="D16" s="24"/>
      <c r="E16" s="5"/>
      <c r="F16" s="6"/>
      <c r="G16" s="4"/>
      <c r="H16" s="4"/>
      <c r="I16" s="4"/>
      <c r="J16" s="84"/>
      <c r="K16" s="84"/>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K3.1</v>
      </c>
      <c r="I25" s="49" t="str">
        <f>C14</f>
        <v>S1.1</v>
      </c>
      <c r="J25" s="49" t="str">
        <f>C15</f>
        <v>S2.1</v>
      </c>
      <c r="K25" s="49">
        <f>C16</f>
        <v>0</v>
      </c>
      <c r="L25" s="49">
        <f>C17</f>
        <v>0</v>
      </c>
      <c r="M25" s="49">
        <f>C18</f>
        <v>0</v>
      </c>
      <c r="N25" s="49">
        <f>C19</f>
        <v>0</v>
      </c>
      <c r="O25" s="50" t="s">
        <v>305</v>
      </c>
    </row>
    <row r="26" spans="2:26" ht="23.25" thickBot="1" x14ac:dyDescent="0.3">
      <c r="C26" s="51" t="s">
        <v>306</v>
      </c>
      <c r="D26" s="95" t="s">
        <v>1116</v>
      </c>
      <c r="E26" s="8">
        <v>1</v>
      </c>
      <c r="F26" s="8">
        <v>1</v>
      </c>
      <c r="G26" s="8"/>
      <c r="H26" s="8"/>
      <c r="I26" s="8"/>
      <c r="J26" s="8"/>
      <c r="K26" s="8"/>
      <c r="L26" s="8"/>
      <c r="M26" s="8"/>
      <c r="N26" s="8"/>
      <c r="O26" s="53" t="b">
        <f t="shared" ref="O26:O40" si="0">IF(SUM(F26:N26)=E26,TRUE,"false")</f>
        <v>1</v>
      </c>
    </row>
    <row r="27" spans="2:26" ht="58.5" customHeight="1" thickBot="1" x14ac:dyDescent="0.3">
      <c r="C27" s="51" t="s">
        <v>307</v>
      </c>
      <c r="D27" s="92" t="s">
        <v>1117</v>
      </c>
      <c r="E27" s="8">
        <v>8</v>
      </c>
      <c r="F27" s="8">
        <v>5</v>
      </c>
      <c r="G27" s="8"/>
      <c r="H27" s="8"/>
      <c r="I27" s="8">
        <v>1</v>
      </c>
      <c r="J27" s="8">
        <v>2</v>
      </c>
      <c r="K27" s="8"/>
      <c r="L27" s="8"/>
      <c r="M27" s="8"/>
      <c r="N27" s="8"/>
      <c r="O27" s="53" t="b">
        <f t="shared" si="0"/>
        <v>1</v>
      </c>
    </row>
    <row r="28" spans="2:26" ht="54" customHeight="1" thickBot="1" x14ac:dyDescent="0.3">
      <c r="C28" s="51" t="s">
        <v>308</v>
      </c>
      <c r="D28" s="92" t="s">
        <v>1118</v>
      </c>
      <c r="E28" s="8">
        <v>4</v>
      </c>
      <c r="F28" s="8"/>
      <c r="G28" s="8">
        <v>2</v>
      </c>
      <c r="H28" s="8"/>
      <c r="I28" s="8">
        <v>2</v>
      </c>
      <c r="J28" s="8"/>
      <c r="K28" s="8"/>
      <c r="L28" s="8"/>
      <c r="M28" s="8"/>
      <c r="N28" s="8"/>
      <c r="O28" s="53" t="b">
        <f t="shared" si="0"/>
        <v>1</v>
      </c>
    </row>
    <row r="29" spans="2:26" ht="53.45" customHeight="1" thickBot="1" x14ac:dyDescent="0.3">
      <c r="C29" s="51" t="s">
        <v>309</v>
      </c>
      <c r="D29" s="92" t="s">
        <v>1119</v>
      </c>
      <c r="E29" s="8">
        <v>2</v>
      </c>
      <c r="F29" s="8"/>
      <c r="G29" s="8"/>
      <c r="H29" s="8">
        <v>2</v>
      </c>
      <c r="I29" s="8"/>
      <c r="J29" s="8"/>
      <c r="K29" s="8"/>
      <c r="L29" s="8"/>
      <c r="M29" s="8"/>
      <c r="N29" s="8"/>
      <c r="O29" s="53" t="b">
        <f t="shared" si="0"/>
        <v>1</v>
      </c>
    </row>
    <row r="30" spans="2:26" ht="50.1" customHeight="1" thickBot="1" x14ac:dyDescent="0.3">
      <c r="C30" s="51" t="s">
        <v>310</v>
      </c>
      <c r="D30" s="92"/>
      <c r="E30" s="8"/>
      <c r="F30" s="8"/>
      <c r="G30" s="8"/>
      <c r="H30" s="8"/>
      <c r="I30" s="8"/>
      <c r="J30" s="8"/>
      <c r="K30" s="8"/>
      <c r="L30" s="8"/>
      <c r="M30" s="8"/>
      <c r="N30" s="8"/>
      <c r="O30" s="53" t="b">
        <f t="shared" si="0"/>
        <v>1</v>
      </c>
    </row>
    <row r="31" spans="2:26" ht="60.6" customHeight="1" thickBot="1" x14ac:dyDescent="0.3">
      <c r="C31" s="51" t="s">
        <v>311</v>
      </c>
      <c r="D31" s="92"/>
      <c r="E31" s="8"/>
      <c r="F31" s="8"/>
      <c r="G31" s="8"/>
      <c r="H31" s="8"/>
      <c r="I31" s="8"/>
      <c r="J31" s="8"/>
      <c r="K31" s="8"/>
      <c r="L31" s="8"/>
      <c r="M31" s="8"/>
      <c r="N31" s="8"/>
      <c r="O31" s="53" t="b">
        <f t="shared" si="0"/>
        <v>1</v>
      </c>
    </row>
    <row r="32" spans="2:26" ht="48" customHeight="1" thickBot="1" x14ac:dyDescent="0.3">
      <c r="C32" s="51" t="s">
        <v>312</v>
      </c>
      <c r="D32" s="92"/>
      <c r="E32" s="8"/>
      <c r="F32" s="8"/>
      <c r="G32" s="8"/>
      <c r="H32" s="8"/>
      <c r="I32" s="8"/>
      <c r="J32" s="8"/>
      <c r="K32" s="8"/>
      <c r="L32" s="8"/>
      <c r="M32" s="8"/>
      <c r="N32" s="8"/>
      <c r="O32" s="53" t="b">
        <f t="shared" si="0"/>
        <v>1</v>
      </c>
    </row>
    <row r="33" spans="2:15" ht="54.6" customHeight="1" thickBot="1" x14ac:dyDescent="0.3">
      <c r="C33" s="51" t="s">
        <v>313</v>
      </c>
      <c r="D33" s="92"/>
      <c r="E33" s="8"/>
      <c r="F33" s="8"/>
      <c r="G33" s="8"/>
      <c r="H33" s="8"/>
      <c r="I33" s="8"/>
      <c r="J33" s="8"/>
      <c r="K33" s="8"/>
      <c r="L33" s="8"/>
      <c r="M33" s="8"/>
      <c r="N33" s="8"/>
      <c r="O33" s="53" t="b">
        <f t="shared" si="0"/>
        <v>1</v>
      </c>
    </row>
    <row r="34" spans="2:15" ht="30.4" customHeight="1" thickBot="1" x14ac:dyDescent="0.3">
      <c r="C34" s="51" t="s">
        <v>314</v>
      </c>
      <c r="D34" s="92"/>
      <c r="E34" s="8"/>
      <c r="F34" s="8"/>
      <c r="G34" s="8"/>
      <c r="H34" s="8"/>
      <c r="I34" s="8"/>
      <c r="J34" s="8"/>
      <c r="K34" s="8"/>
      <c r="L34" s="8"/>
      <c r="M34" s="8"/>
      <c r="N34" s="8"/>
      <c r="O34" s="53" t="b">
        <f t="shared" si="0"/>
        <v>1</v>
      </c>
    </row>
    <row r="35" spans="2:15" ht="30.4" customHeight="1" thickBot="1" x14ac:dyDescent="0.3">
      <c r="C35" s="51" t="s">
        <v>315</v>
      </c>
      <c r="D35" s="92"/>
      <c r="E35" s="8"/>
      <c r="F35" s="8"/>
      <c r="G35" s="8"/>
      <c r="H35" s="8"/>
      <c r="I35" s="8"/>
      <c r="J35" s="8"/>
      <c r="K35" s="8"/>
      <c r="L35" s="8"/>
      <c r="M35" s="8"/>
      <c r="N35" s="8"/>
      <c r="O35" s="53" t="b">
        <f t="shared" si="0"/>
        <v>1</v>
      </c>
    </row>
    <row r="36" spans="2:15" ht="30.4" customHeight="1" thickBot="1" x14ac:dyDescent="0.3">
      <c r="C36" s="51" t="s">
        <v>316</v>
      </c>
      <c r="D36" s="92"/>
      <c r="E36" s="8"/>
      <c r="F36" s="8"/>
      <c r="G36" s="8"/>
      <c r="H36" s="8"/>
      <c r="I36" s="8"/>
      <c r="J36" s="8"/>
      <c r="K36" s="8"/>
      <c r="L36" s="8"/>
      <c r="M36" s="8"/>
      <c r="N36" s="8"/>
      <c r="O36" s="53" t="b">
        <f t="shared" si="0"/>
        <v>1</v>
      </c>
    </row>
    <row r="37" spans="2:15" ht="30.4" customHeight="1" thickBot="1" x14ac:dyDescent="0.3">
      <c r="C37" s="51" t="s">
        <v>317</v>
      </c>
      <c r="D37" s="92"/>
      <c r="E37" s="8"/>
      <c r="F37" s="8"/>
      <c r="G37" s="8"/>
      <c r="H37" s="8"/>
      <c r="I37" s="8"/>
      <c r="J37" s="8"/>
      <c r="K37" s="8"/>
      <c r="L37" s="8"/>
      <c r="M37" s="8"/>
      <c r="N37" s="8"/>
      <c r="O37" s="53" t="b">
        <f t="shared" si="0"/>
        <v>1</v>
      </c>
    </row>
    <row r="38" spans="2:15" ht="30.4" customHeight="1" thickBot="1" x14ac:dyDescent="0.3">
      <c r="C38" s="51" t="s">
        <v>318</v>
      </c>
      <c r="D38" s="94"/>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15</v>
      </c>
      <c r="F40" s="52">
        <f t="shared" si="1"/>
        <v>6</v>
      </c>
      <c r="G40" s="52">
        <f t="shared" si="1"/>
        <v>2</v>
      </c>
      <c r="H40" s="52">
        <f t="shared" si="1"/>
        <v>2</v>
      </c>
      <c r="I40" s="52">
        <f t="shared" si="1"/>
        <v>3</v>
      </c>
      <c r="J40" s="52">
        <f t="shared" si="1"/>
        <v>2</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93">
        <f>ROUND(F40/E40,2)</f>
        <v>0.4</v>
      </c>
      <c r="G41" s="93">
        <f>ROUND(G40/E40,2)</f>
        <v>0.13</v>
      </c>
      <c r="H41" s="93">
        <f>ROUND(H40/E40,2)</f>
        <v>0.13</v>
      </c>
      <c r="I41" s="93">
        <f>ROUND(I40/E40,2)</f>
        <v>0.2</v>
      </c>
      <c r="J41" s="93">
        <f>ROUND(J40/E40,2)</f>
        <v>0.13</v>
      </c>
      <c r="K41" s="93">
        <f>ROUND(K40/E40,2)</f>
        <v>0</v>
      </c>
      <c r="L41" s="93">
        <f>ROUND(L40/E40,2)</f>
        <v>0</v>
      </c>
      <c r="M41" s="93">
        <f>ROUND(M40/E40,2)</f>
        <v>0</v>
      </c>
      <c r="N41" s="93">
        <f>ROUND(N40/E40,2)</f>
        <v>0</v>
      </c>
      <c r="O41" s="93">
        <f>SUM(F41:N41)</f>
        <v>0.9900000000000001</v>
      </c>
    </row>
    <row r="42" spans="2:15" ht="55.9" customHeight="1" x14ac:dyDescent="0.25">
      <c r="C42" s="151" t="s">
        <v>322</v>
      </c>
      <c r="D42" s="151"/>
      <c r="E42" s="151"/>
      <c r="F42" s="7">
        <v>40</v>
      </c>
      <c r="G42" s="7">
        <v>15</v>
      </c>
      <c r="H42" s="7">
        <v>10</v>
      </c>
      <c r="I42" s="7">
        <v>20</v>
      </c>
      <c r="J42" s="7">
        <v>15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K3.1</v>
      </c>
      <c r="H46" s="59" t="str">
        <f>C14</f>
        <v>S1.1</v>
      </c>
      <c r="I46" s="59" t="str">
        <f>C15</f>
        <v>S2.1</v>
      </c>
      <c r="J46" s="59">
        <f>C16</f>
        <v>0</v>
      </c>
      <c r="K46" s="59">
        <f>C17</f>
        <v>0</v>
      </c>
      <c r="L46" s="59">
        <f>C18</f>
        <v>0</v>
      </c>
      <c r="M46" s="59">
        <f>C19</f>
        <v>0</v>
      </c>
      <c r="N46" s="60" t="s">
        <v>327</v>
      </c>
    </row>
    <row r="47" spans="2:15" ht="55.15" customHeight="1" x14ac:dyDescent="0.25">
      <c r="C47" s="9" t="s">
        <v>328</v>
      </c>
      <c r="D47" s="10">
        <v>25</v>
      </c>
      <c r="E47" s="8">
        <v>25</v>
      </c>
      <c r="F47" s="8"/>
      <c r="G47" s="8"/>
      <c r="H47" s="8"/>
      <c r="I47" s="8"/>
      <c r="J47" s="8"/>
      <c r="K47" s="8"/>
      <c r="L47" s="8"/>
      <c r="M47" s="8"/>
      <c r="N47" s="55" t="b">
        <f t="shared" ref="N47:N54" si="2">IF(SUM(E47:M47)=D47,TRUE,"false")</f>
        <v>1</v>
      </c>
    </row>
    <row r="48" spans="2:15" ht="55.15" customHeight="1" x14ac:dyDescent="0.25">
      <c r="C48" s="9" t="s">
        <v>458</v>
      </c>
      <c r="D48" s="10">
        <v>5</v>
      </c>
      <c r="E48" s="11">
        <v>5</v>
      </c>
      <c r="F48" s="12"/>
      <c r="G48" s="12"/>
      <c r="H48" s="12"/>
      <c r="I48" s="12"/>
      <c r="J48" s="12"/>
      <c r="K48" s="12"/>
      <c r="L48" s="12"/>
      <c r="M48" s="12"/>
      <c r="N48" s="55" t="b">
        <f t="shared" si="2"/>
        <v>1</v>
      </c>
    </row>
    <row r="49" spans="3:14" ht="55.15" customHeight="1" x14ac:dyDescent="0.25">
      <c r="C49" s="9" t="s">
        <v>331</v>
      </c>
      <c r="D49" s="10">
        <v>20</v>
      </c>
      <c r="E49" s="11"/>
      <c r="F49" s="12"/>
      <c r="G49" s="12"/>
      <c r="H49" s="12">
        <v>5</v>
      </c>
      <c r="I49" s="12">
        <v>15</v>
      </c>
      <c r="J49" s="12"/>
      <c r="K49" s="12"/>
      <c r="L49" s="12"/>
      <c r="M49" s="12"/>
      <c r="N49" s="55" t="b">
        <f t="shared" si="2"/>
        <v>1</v>
      </c>
    </row>
    <row r="50" spans="3:14" ht="55.15" customHeight="1" x14ac:dyDescent="0.25">
      <c r="C50" s="9" t="s">
        <v>1120</v>
      </c>
      <c r="D50" s="10">
        <v>50</v>
      </c>
      <c r="E50" s="11">
        <v>10</v>
      </c>
      <c r="F50" s="12">
        <v>15</v>
      </c>
      <c r="G50" s="12">
        <v>10</v>
      </c>
      <c r="H50" s="12">
        <v>15</v>
      </c>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40</v>
      </c>
      <c r="F56" s="65">
        <f t="shared" si="4"/>
        <v>15</v>
      </c>
      <c r="G56" s="65">
        <f t="shared" si="4"/>
        <v>10</v>
      </c>
      <c r="H56" s="65">
        <f t="shared" si="4"/>
        <v>20</v>
      </c>
      <c r="I56" s="65">
        <f t="shared" si="4"/>
        <v>15</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1597" priority="13">
      <formula>LEN(TRIM(D47))=0</formula>
    </cfRule>
    <cfRule type="cellIs" dxfId="1596" priority="14" operator="equal">
      <formula>0</formula>
    </cfRule>
  </conditionalFormatting>
  <conditionalFormatting sqref="E55:M55">
    <cfRule type="containsText" dxfId="1595" priority="7" operator="containsText" text="false">
      <formula>NOT(ISERROR(SEARCH("false",E55)))</formula>
    </cfRule>
    <cfRule type="containsText" dxfId="1594" priority="8" operator="containsText" text="true">
      <formula>NOT(ISERROR(SEARCH("true",E55)))</formula>
    </cfRule>
  </conditionalFormatting>
  <conditionalFormatting sqref="E26:N39">
    <cfRule type="containsBlanks" dxfId="1593" priority="5">
      <formula>LEN(TRIM(E26))=0</formula>
    </cfRule>
    <cfRule type="cellIs" dxfId="1592" priority="6" operator="equal">
      <formula>0</formula>
    </cfRule>
  </conditionalFormatting>
  <conditionalFormatting sqref="F48:M48">
    <cfRule type="containsBlanks" dxfId="1591" priority="19">
      <formula>LEN(TRIM(F48))=0</formula>
    </cfRule>
    <cfRule type="cellIs" dxfId="1590" priority="20" operator="equal">
      <formula>0</formula>
    </cfRule>
  </conditionalFormatting>
  <conditionalFormatting sqref="H49:I49">
    <cfRule type="containsBlanks" dxfId="1589" priority="1">
      <formula>LEN(TRIM(H49))=0</formula>
    </cfRule>
    <cfRule type="cellIs" dxfId="1588" priority="2" operator="equal">
      <formula>0</formula>
    </cfRule>
  </conditionalFormatting>
  <conditionalFormatting sqref="I50:M51">
    <cfRule type="containsBlanks" dxfId="1587" priority="17">
      <formula>LEN(TRIM(I50))=0</formula>
    </cfRule>
    <cfRule type="cellIs" dxfId="1586" priority="18" operator="equal">
      <formula>0</formula>
    </cfRule>
  </conditionalFormatting>
  <conditionalFormatting sqref="N47:N54">
    <cfRule type="containsText" dxfId="1585" priority="9" operator="containsText" text="false">
      <formula>NOT(ISERROR(SEARCH("false",N47)))</formula>
    </cfRule>
    <cfRule type="containsText" dxfId="1584" priority="10" operator="containsText" text="true">
      <formula>NOT(ISERROR(SEARCH("true",N47)))</formula>
    </cfRule>
  </conditionalFormatting>
  <conditionalFormatting sqref="N55">
    <cfRule type="containsBlanks" dxfId="1583" priority="15">
      <formula>LEN(TRIM(N55))=0</formula>
    </cfRule>
    <cfRule type="cellIs" dxfId="1582" priority="16" operator="equal">
      <formula>0</formula>
    </cfRule>
  </conditionalFormatting>
  <conditionalFormatting sqref="O26:O40">
    <cfRule type="containsText" dxfId="1581" priority="11" operator="containsText" text="false">
      <formula>NOT(ISERROR(SEARCH("false",O26)))</formula>
    </cfRule>
    <cfRule type="containsText" dxfId="1580" priority="12" operator="containsText" text="true">
      <formula>NOT(ISERROR(SEARCH("true",O26)))</formula>
    </cfRule>
  </conditionalFormatting>
  <conditionalFormatting sqref="O42">
    <cfRule type="cellIs" dxfId="1579" priority="3" operator="notEqual">
      <formula>100</formula>
    </cfRule>
    <cfRule type="cellIs" dxfId="1578" priority="4" operator="equal">
      <formula>100</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28B3-FA0C-49D6-A5DA-29E8610D74E5}">
  <sheetPr>
    <tabColor rgb="FFFFFF00"/>
  </sheetPr>
  <dimension ref="B2:AB57"/>
  <sheetViews>
    <sheetView topLeftCell="E1" zoomScale="50" zoomScaleNormal="50" workbookViewId="0">
      <selection activeCell="L8" sqref="L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1764</v>
      </c>
      <c r="H6" s="43" t="s">
        <v>277</v>
      </c>
      <c r="I6" s="1" t="s">
        <v>240</v>
      </c>
      <c r="J6" s="43" t="s">
        <v>278</v>
      </c>
      <c r="K6" s="1" t="s">
        <v>1772</v>
      </c>
    </row>
    <row r="7" spans="2:26" ht="72.599999999999994" customHeight="1" thickBot="1" x14ac:dyDescent="0.3">
      <c r="B7" s="160"/>
      <c r="C7" s="161"/>
      <c r="D7" s="43" t="s">
        <v>279</v>
      </c>
      <c r="E7" s="1" t="s">
        <v>1773</v>
      </c>
      <c r="F7" s="43" t="s">
        <v>280</v>
      </c>
      <c r="G7" s="1">
        <v>451</v>
      </c>
      <c r="H7" s="43" t="s">
        <v>281</v>
      </c>
      <c r="I7" s="1" t="s">
        <v>666</v>
      </c>
      <c r="J7" s="43" t="s">
        <v>283</v>
      </c>
      <c r="K7" s="1" t="s">
        <v>1169</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2" t="s">
        <v>297</v>
      </c>
      <c r="D11" s="78" t="s">
        <v>1170</v>
      </c>
      <c r="E11" s="2" t="s">
        <v>7</v>
      </c>
      <c r="F11" s="3"/>
      <c r="G11" s="17"/>
      <c r="H11" s="17">
        <v>1</v>
      </c>
      <c r="I11" s="17">
        <v>0.6</v>
      </c>
      <c r="J11" s="80" t="s">
        <v>1171</v>
      </c>
      <c r="K11" s="80" t="s">
        <v>1172</v>
      </c>
      <c r="U11" s="3">
        <f>F11</f>
        <v>0</v>
      </c>
      <c r="V11" s="2" t="str">
        <f>C11</f>
        <v>K1.1</v>
      </c>
      <c r="W11" s="2"/>
      <c r="X11" s="17"/>
      <c r="Y11" s="37"/>
      <c r="Z11" s="37"/>
    </row>
    <row r="12" spans="2:26" ht="58.9" customHeight="1" x14ac:dyDescent="0.25">
      <c r="B12" s="36"/>
      <c r="C12" s="5" t="s">
        <v>298</v>
      </c>
      <c r="D12" s="79" t="s">
        <v>1173</v>
      </c>
      <c r="E12" s="5" t="s">
        <v>7</v>
      </c>
      <c r="F12" s="6"/>
      <c r="G12" s="4"/>
      <c r="H12" s="17">
        <v>1</v>
      </c>
      <c r="I12" s="17">
        <v>0.6</v>
      </c>
      <c r="J12" s="81" t="s">
        <v>1171</v>
      </c>
      <c r="K12" s="81" t="s">
        <v>1172</v>
      </c>
      <c r="U12" s="6">
        <f t="shared" ref="U12:U19" si="0">F12</f>
        <v>0</v>
      </c>
      <c r="V12" s="2" t="str">
        <f>C12</f>
        <v>K1.2</v>
      </c>
      <c r="W12" s="5"/>
      <c r="X12" s="4"/>
      <c r="Y12" s="38"/>
      <c r="Z12" s="38"/>
    </row>
    <row r="13" spans="2:26" ht="58.9" customHeight="1" x14ac:dyDescent="0.25">
      <c r="B13" s="36"/>
      <c r="C13" s="5" t="s">
        <v>644</v>
      </c>
      <c r="D13" s="79" t="s">
        <v>1174</v>
      </c>
      <c r="E13" s="5" t="s">
        <v>18</v>
      </c>
      <c r="F13" s="6"/>
      <c r="G13" s="4"/>
      <c r="H13" s="17">
        <v>1</v>
      </c>
      <c r="I13" s="17">
        <v>0.6</v>
      </c>
      <c r="J13" s="81" t="s">
        <v>1175</v>
      </c>
      <c r="K13" s="81" t="s">
        <v>1176</v>
      </c>
      <c r="U13" s="6">
        <f t="shared" si="0"/>
        <v>0</v>
      </c>
      <c r="V13" s="2" t="str">
        <f>C13</f>
        <v>S1.1</v>
      </c>
      <c r="W13" s="5"/>
      <c r="X13" s="4"/>
      <c r="Y13" s="38"/>
      <c r="Z13" s="38"/>
    </row>
    <row r="14" spans="2:26" ht="58.9" customHeight="1" x14ac:dyDescent="0.25">
      <c r="B14" s="36"/>
      <c r="C14" s="5" t="s">
        <v>342</v>
      </c>
      <c r="D14" s="79" t="s">
        <v>1177</v>
      </c>
      <c r="E14" s="5" t="s">
        <v>22</v>
      </c>
      <c r="F14" s="6"/>
      <c r="G14" s="4"/>
      <c r="H14" s="17">
        <v>1</v>
      </c>
      <c r="I14" s="17">
        <v>0.6</v>
      </c>
      <c r="J14" s="81" t="s">
        <v>1175</v>
      </c>
      <c r="K14" s="81" t="s">
        <v>1178</v>
      </c>
      <c r="U14" s="6">
        <f t="shared" si="0"/>
        <v>0</v>
      </c>
      <c r="V14" s="2" t="str">
        <f>C14</f>
        <v>S2.1</v>
      </c>
      <c r="W14" s="5"/>
      <c r="X14" s="4"/>
      <c r="Y14" s="38"/>
      <c r="Z14" s="38"/>
    </row>
    <row r="15" spans="2:26" ht="58.9" customHeight="1" x14ac:dyDescent="0.25">
      <c r="B15" s="36"/>
      <c r="C15" s="5" t="s">
        <v>345</v>
      </c>
      <c r="D15" s="79" t="s">
        <v>1179</v>
      </c>
      <c r="E15" s="5" t="s">
        <v>22</v>
      </c>
      <c r="F15" s="6"/>
      <c r="G15" s="4"/>
      <c r="H15" s="17">
        <v>1</v>
      </c>
      <c r="I15" s="17">
        <v>0.6</v>
      </c>
      <c r="J15" s="81" t="s">
        <v>1175</v>
      </c>
      <c r="K15" s="81" t="s">
        <v>1178</v>
      </c>
      <c r="U15" s="6">
        <f t="shared" si="0"/>
        <v>0</v>
      </c>
      <c r="V15" s="2" t="str">
        <f>C15</f>
        <v>S2.2</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S2.1</v>
      </c>
      <c r="J25" s="49" t="str">
        <f>C15</f>
        <v>S2.2</v>
      </c>
      <c r="K25" s="49">
        <f>C16</f>
        <v>0</v>
      </c>
      <c r="L25" s="49">
        <f>C17</f>
        <v>0</v>
      </c>
      <c r="M25" s="49">
        <f>C18</f>
        <v>0</v>
      </c>
      <c r="N25" s="49">
        <f>C19</f>
        <v>0</v>
      </c>
      <c r="O25" s="50" t="s">
        <v>305</v>
      </c>
    </row>
    <row r="26" spans="2:26" ht="30.4" customHeight="1" thickBot="1" x14ac:dyDescent="0.3">
      <c r="C26" s="51" t="s">
        <v>306</v>
      </c>
      <c r="D26" s="92" t="s">
        <v>1180</v>
      </c>
      <c r="E26" s="8">
        <v>2</v>
      </c>
      <c r="F26" s="8">
        <v>2</v>
      </c>
      <c r="G26" s="8"/>
      <c r="H26" s="8"/>
      <c r="I26" s="8"/>
      <c r="J26" s="8"/>
      <c r="K26" s="8"/>
      <c r="L26" s="8"/>
      <c r="M26" s="8"/>
      <c r="N26" s="8"/>
      <c r="O26" s="53" t="b">
        <f>IF(SUM(F26:N26)=E26,TRUE,"false")</f>
        <v>1</v>
      </c>
    </row>
    <row r="27" spans="2:26" ht="30.4" customHeight="1" thickBot="1" x14ac:dyDescent="0.3">
      <c r="C27" s="51" t="s">
        <v>307</v>
      </c>
      <c r="D27" s="92" t="s">
        <v>1181</v>
      </c>
      <c r="E27" s="8">
        <v>10</v>
      </c>
      <c r="F27" s="8"/>
      <c r="G27" s="8">
        <v>6</v>
      </c>
      <c r="H27" s="8">
        <v>2</v>
      </c>
      <c r="I27" s="8">
        <v>1</v>
      </c>
      <c r="J27" s="8">
        <v>1</v>
      </c>
      <c r="K27" s="8"/>
      <c r="L27" s="8"/>
      <c r="M27" s="8"/>
      <c r="N27" s="8"/>
      <c r="O27" s="53" t="b">
        <f t="shared" ref="O27:O40" si="1">IF(SUM(F27:N27)=E27,TRUE,"false")</f>
        <v>1</v>
      </c>
    </row>
    <row r="28" spans="2:26" ht="30.4" customHeight="1" thickBot="1" x14ac:dyDescent="0.3">
      <c r="C28" s="51" t="s">
        <v>308</v>
      </c>
      <c r="D28" s="92" t="s">
        <v>1182</v>
      </c>
      <c r="E28" s="8">
        <v>8</v>
      </c>
      <c r="F28" s="8"/>
      <c r="G28" s="8">
        <v>3</v>
      </c>
      <c r="H28" s="8">
        <v>1</v>
      </c>
      <c r="I28" s="8">
        <v>2</v>
      </c>
      <c r="J28" s="8">
        <v>2</v>
      </c>
      <c r="K28" s="8"/>
      <c r="L28" s="8"/>
      <c r="M28" s="8"/>
      <c r="N28" s="8"/>
      <c r="O28" s="53" t="b">
        <f t="shared" si="1"/>
        <v>1</v>
      </c>
    </row>
    <row r="29" spans="2:26" ht="30.4" customHeight="1" thickBot="1" x14ac:dyDescent="0.3">
      <c r="C29" s="51" t="s">
        <v>309</v>
      </c>
      <c r="D29" s="92" t="s">
        <v>1183</v>
      </c>
      <c r="E29" s="8">
        <v>5</v>
      </c>
      <c r="F29" s="8"/>
      <c r="G29" s="8">
        <v>4</v>
      </c>
      <c r="H29" s="8"/>
      <c r="I29" s="8">
        <v>1</v>
      </c>
      <c r="J29" s="8"/>
      <c r="K29" s="8"/>
      <c r="L29" s="8"/>
      <c r="M29" s="8"/>
      <c r="N29" s="8"/>
      <c r="O29" s="53" t="b">
        <f t="shared" si="1"/>
        <v>1</v>
      </c>
    </row>
    <row r="30" spans="2:26" ht="30.4" customHeight="1" thickBot="1" x14ac:dyDescent="0.3">
      <c r="C30" s="51" t="s">
        <v>310</v>
      </c>
      <c r="D30" s="92" t="s">
        <v>1184</v>
      </c>
      <c r="E30" s="8">
        <v>5</v>
      </c>
      <c r="F30" s="8"/>
      <c r="G30" s="8">
        <v>4</v>
      </c>
      <c r="H30" s="8"/>
      <c r="I30" s="8">
        <v>1</v>
      </c>
      <c r="J30" s="8"/>
      <c r="K30" s="8"/>
      <c r="L30" s="8"/>
      <c r="M30" s="8"/>
      <c r="N30" s="8"/>
      <c r="O30" s="53" t="b">
        <f t="shared" si="1"/>
        <v>1</v>
      </c>
    </row>
    <row r="31" spans="2:26" ht="30.4" customHeight="1" thickBot="1" x14ac:dyDescent="0.3">
      <c r="C31" s="51" t="s">
        <v>311</v>
      </c>
      <c r="D31" s="25"/>
      <c r="E31" s="8"/>
      <c r="F31" s="8"/>
      <c r="G31" s="8"/>
      <c r="H31" s="8"/>
      <c r="I31" s="8"/>
      <c r="J31" s="8"/>
      <c r="K31" s="8"/>
      <c r="L31" s="8"/>
      <c r="M31" s="8"/>
      <c r="N31" s="8"/>
      <c r="O31" s="53" t="b">
        <f t="shared" si="1"/>
        <v>1</v>
      </c>
    </row>
    <row r="32" spans="2:26" ht="30.4" customHeight="1" thickBot="1" x14ac:dyDescent="0.3">
      <c r="C32" s="51" t="s">
        <v>312</v>
      </c>
      <c r="D32" s="25"/>
      <c r="E32" s="8"/>
      <c r="F32" s="8"/>
      <c r="G32" s="8"/>
      <c r="H32" s="8"/>
      <c r="I32" s="8"/>
      <c r="J32" s="8"/>
      <c r="K32" s="8"/>
      <c r="L32" s="8"/>
      <c r="M32" s="8"/>
      <c r="N32" s="8"/>
      <c r="O32" s="53" t="b">
        <f t="shared" si="1"/>
        <v>1</v>
      </c>
    </row>
    <row r="33" spans="2:15" ht="30.4" customHeight="1" thickBot="1" x14ac:dyDescent="0.3">
      <c r="C33" s="51" t="s">
        <v>313</v>
      </c>
      <c r="D33" s="25"/>
      <c r="E33" s="8"/>
      <c r="F33" s="8"/>
      <c r="G33" s="8"/>
      <c r="H33" s="8"/>
      <c r="I33" s="8"/>
      <c r="J33" s="8"/>
      <c r="K33" s="8"/>
      <c r="L33" s="8"/>
      <c r="M33" s="8"/>
      <c r="N33" s="8"/>
      <c r="O33" s="53" t="b">
        <f t="shared" si="1"/>
        <v>1</v>
      </c>
    </row>
    <row r="34" spans="2:15" ht="30.4" customHeight="1" thickBot="1" x14ac:dyDescent="0.3">
      <c r="C34" s="51" t="s">
        <v>314</v>
      </c>
      <c r="D34" s="25"/>
      <c r="E34" s="8"/>
      <c r="F34" s="8"/>
      <c r="G34" s="8"/>
      <c r="H34" s="8"/>
      <c r="I34" s="8"/>
      <c r="J34" s="8"/>
      <c r="K34" s="8"/>
      <c r="L34" s="8"/>
      <c r="M34" s="8"/>
      <c r="N34" s="8"/>
      <c r="O34" s="53" t="b">
        <f t="shared" si="1"/>
        <v>1</v>
      </c>
    </row>
    <row r="35" spans="2:15" ht="30.4" customHeight="1" thickBot="1" x14ac:dyDescent="0.3">
      <c r="C35" s="51" t="s">
        <v>315</v>
      </c>
      <c r="D35" s="25"/>
      <c r="E35" s="8"/>
      <c r="F35" s="8"/>
      <c r="G35" s="8"/>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2</v>
      </c>
      <c r="G40" s="52">
        <f t="shared" si="2"/>
        <v>17</v>
      </c>
      <c r="H40" s="52">
        <f t="shared" si="2"/>
        <v>3</v>
      </c>
      <c r="I40" s="52">
        <f t="shared" si="2"/>
        <v>5</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7.0000000000000007E-2</v>
      </c>
      <c r="G41" s="54">
        <f>ROUND(G40/E40,2)</f>
        <v>0.56999999999999995</v>
      </c>
      <c r="H41" s="54">
        <f>ROUND(H40/E40,2)</f>
        <v>0.1</v>
      </c>
      <c r="I41" s="54">
        <f>ROUND(I40/E40,2)</f>
        <v>0.17</v>
      </c>
      <c r="J41" s="54">
        <f>ROUND(J40/E40,2)</f>
        <v>0.1</v>
      </c>
      <c r="K41" s="54">
        <f>ROUND(K40/E40,2)</f>
        <v>0</v>
      </c>
      <c r="L41" s="54">
        <f>ROUND(L40/E40,2)</f>
        <v>0</v>
      </c>
      <c r="M41" s="54">
        <f>ROUND(M40/E40,2)</f>
        <v>0</v>
      </c>
      <c r="N41" s="54">
        <f>ROUND(N40/E40,2)</f>
        <v>0</v>
      </c>
      <c r="O41" s="54">
        <f>SUM(F41:N41)</f>
        <v>1.01</v>
      </c>
    </row>
    <row r="42" spans="2:15" ht="55.9" customHeight="1" x14ac:dyDescent="0.25">
      <c r="C42" s="151" t="s">
        <v>322</v>
      </c>
      <c r="D42" s="151"/>
      <c r="E42" s="151"/>
      <c r="F42" s="7">
        <v>10</v>
      </c>
      <c r="G42" s="7">
        <v>55</v>
      </c>
      <c r="H42" s="7">
        <v>10</v>
      </c>
      <c r="I42" s="7">
        <v>15</v>
      </c>
      <c r="J42" s="7">
        <v>10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S2.1</v>
      </c>
      <c r="I46" s="59" t="str">
        <f>C15</f>
        <v>S2.2</v>
      </c>
      <c r="J46" s="59">
        <f>C16</f>
        <v>0</v>
      </c>
      <c r="K46" s="59">
        <f>C17</f>
        <v>0</v>
      </c>
      <c r="L46" s="59">
        <f>C18</f>
        <v>0</v>
      </c>
      <c r="M46" s="59">
        <f>C19</f>
        <v>0</v>
      </c>
      <c r="N46" s="60" t="s">
        <v>327</v>
      </c>
    </row>
    <row r="47" spans="2:15" ht="55.15" customHeight="1" x14ac:dyDescent="0.25">
      <c r="C47" s="9" t="s">
        <v>458</v>
      </c>
      <c r="D47" s="10">
        <v>15</v>
      </c>
      <c r="E47" s="8">
        <v>5</v>
      </c>
      <c r="F47" s="8">
        <v>10</v>
      </c>
      <c r="G47" s="8"/>
      <c r="H47" s="8"/>
      <c r="I47" s="8"/>
      <c r="J47" s="8"/>
      <c r="K47" s="8"/>
      <c r="L47" s="8"/>
      <c r="M47" s="8"/>
      <c r="N47" s="55" t="b">
        <f t="shared" ref="N47:N54" si="3">IF(SUM(E47:M47)=D47,TRUE,"false")</f>
        <v>1</v>
      </c>
    </row>
    <row r="48" spans="2:15" ht="55.15" customHeight="1" x14ac:dyDescent="0.25">
      <c r="C48" s="9" t="s">
        <v>1185</v>
      </c>
      <c r="D48" s="10">
        <v>25</v>
      </c>
      <c r="E48" s="11">
        <v>5</v>
      </c>
      <c r="F48" s="12">
        <v>10</v>
      </c>
      <c r="G48" s="12">
        <v>5</v>
      </c>
      <c r="H48" s="12">
        <v>5</v>
      </c>
      <c r="I48" s="12"/>
      <c r="J48" s="12"/>
      <c r="K48" s="12"/>
      <c r="L48" s="12"/>
      <c r="M48" s="12"/>
      <c r="N48" s="55" t="b">
        <f t="shared" si="3"/>
        <v>1</v>
      </c>
    </row>
    <row r="49" spans="3:14" ht="55.15" customHeight="1" x14ac:dyDescent="0.25">
      <c r="C49" s="9" t="s">
        <v>412</v>
      </c>
      <c r="D49" s="10">
        <v>10</v>
      </c>
      <c r="E49" s="11"/>
      <c r="F49" s="12"/>
      <c r="G49" s="12"/>
      <c r="H49" s="12">
        <v>5</v>
      </c>
      <c r="I49" s="12">
        <v>5</v>
      </c>
      <c r="J49" s="12"/>
      <c r="K49" s="12"/>
      <c r="L49" s="12"/>
      <c r="M49" s="12"/>
      <c r="N49" s="55" t="b">
        <f t="shared" si="3"/>
        <v>1</v>
      </c>
    </row>
    <row r="50" spans="3:14" ht="55.15" customHeight="1" x14ac:dyDescent="0.25">
      <c r="C50" s="9" t="s">
        <v>531</v>
      </c>
      <c r="D50" s="10">
        <v>50</v>
      </c>
      <c r="E50" s="11"/>
      <c r="F50" s="12">
        <v>35</v>
      </c>
      <c r="G50" s="12">
        <v>5</v>
      </c>
      <c r="H50" s="12">
        <v>5</v>
      </c>
      <c r="I50" s="12">
        <v>5</v>
      </c>
      <c r="J50" s="12"/>
      <c r="K50" s="12"/>
      <c r="L50" s="12"/>
      <c r="M50" s="12"/>
      <c r="N50" s="55" t="b">
        <f t="shared" si="3"/>
        <v>1</v>
      </c>
    </row>
    <row r="51" spans="3:14" ht="55.15" customHeight="1" x14ac:dyDescent="0.25">
      <c r="C51" s="9"/>
      <c r="D51" s="10"/>
      <c r="E51" s="11"/>
      <c r="F51" s="12"/>
      <c r="G51" s="12"/>
      <c r="H51" s="12"/>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10</v>
      </c>
      <c r="F56" s="65">
        <f t="shared" si="5"/>
        <v>55</v>
      </c>
      <c r="G56" s="65">
        <f t="shared" si="5"/>
        <v>10</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49" priority="1">
      <formula>LEN(TRIM(D47))=0</formula>
    </cfRule>
    <cfRule type="cellIs" dxfId="48" priority="2" operator="equal">
      <formula>0</formula>
    </cfRule>
  </conditionalFormatting>
  <conditionalFormatting sqref="E52">
    <cfRule type="containsBlanks" dxfId="47" priority="23">
      <formula>LEN(TRIM(E52))=0</formula>
    </cfRule>
    <cfRule type="cellIs" dxfId="46" priority="24" operator="equal">
      <formula>0</formula>
    </cfRule>
  </conditionalFormatting>
  <conditionalFormatting sqref="E50:I50">
    <cfRule type="containsBlanks" dxfId="45" priority="5">
      <formula>LEN(TRIM(E50))=0</formula>
    </cfRule>
    <cfRule type="cellIs" dxfId="44" priority="6" operator="equal">
      <formula>0</formula>
    </cfRule>
  </conditionalFormatting>
  <conditionalFormatting sqref="E47:M51">
    <cfRule type="containsBlanks" dxfId="43" priority="3">
      <formula>LEN(TRIM(E47))=0</formula>
    </cfRule>
    <cfRule type="cellIs" dxfId="42" priority="4" operator="equal">
      <formula>0</formula>
    </cfRule>
  </conditionalFormatting>
  <conditionalFormatting sqref="E53:M54">
    <cfRule type="containsBlanks" dxfId="41" priority="21">
      <formula>LEN(TRIM(E53))=0</formula>
    </cfRule>
    <cfRule type="cellIs" dxfId="40" priority="22" operator="equal">
      <formula>0</formula>
    </cfRule>
  </conditionalFormatting>
  <conditionalFormatting sqref="E55:M55">
    <cfRule type="containsText" dxfId="39" priority="13" operator="containsText" text="false">
      <formula>NOT(ISERROR(SEARCH("false",E55)))</formula>
    </cfRule>
    <cfRule type="containsText" dxfId="38" priority="14" operator="containsText" text="true">
      <formula>NOT(ISERROR(SEARCH("true",E55)))</formula>
    </cfRule>
  </conditionalFormatting>
  <conditionalFormatting sqref="E26:N39">
    <cfRule type="containsBlanks" dxfId="37" priority="9">
      <formula>LEN(TRIM(E26))=0</formula>
    </cfRule>
    <cfRule type="cellIs" dxfId="36" priority="10" operator="equal">
      <formula>0</formula>
    </cfRule>
  </conditionalFormatting>
  <conditionalFormatting sqref="F48:I48">
    <cfRule type="containsBlanks" dxfId="35" priority="7">
      <formula>LEN(TRIM(F48))=0</formula>
    </cfRule>
    <cfRule type="cellIs" dxfId="34" priority="8" operator="equal">
      <formula>0</formula>
    </cfRule>
  </conditionalFormatting>
  <conditionalFormatting sqref="F51:M52">
    <cfRule type="containsBlanks" dxfId="33" priority="25">
      <formula>LEN(TRIM(F51))=0</formula>
    </cfRule>
    <cfRule type="cellIs" dxfId="32" priority="26" operator="equal">
      <formula>0</formula>
    </cfRule>
  </conditionalFormatting>
  <conditionalFormatting sqref="N47:N54">
    <cfRule type="containsText" dxfId="31" priority="15" operator="containsText" text="false">
      <formula>NOT(ISERROR(SEARCH("false",N47)))</formula>
    </cfRule>
    <cfRule type="containsText" dxfId="30" priority="16" operator="containsText" text="true">
      <formula>NOT(ISERROR(SEARCH("true",N47)))</formula>
    </cfRule>
  </conditionalFormatting>
  <conditionalFormatting sqref="N55">
    <cfRule type="containsBlanks" dxfId="29" priority="19">
      <formula>LEN(TRIM(N55))=0</formula>
    </cfRule>
    <cfRule type="cellIs" dxfId="28" priority="20" operator="equal">
      <formula>0</formula>
    </cfRule>
  </conditionalFormatting>
  <conditionalFormatting sqref="O26:O40">
    <cfRule type="containsText" dxfId="27" priority="17" operator="containsText" text="false">
      <formula>NOT(ISERROR(SEARCH("false",O26)))</formula>
    </cfRule>
    <cfRule type="containsText" dxfId="26" priority="18" operator="containsText" text="true">
      <formula>NOT(ISERROR(SEARCH("true",O26)))</formula>
    </cfRule>
  </conditionalFormatting>
  <conditionalFormatting sqref="O42">
    <cfRule type="cellIs" dxfId="25" priority="11" operator="notEqual">
      <formula>100</formula>
    </cfRule>
    <cfRule type="cellIs" dxfId="24" priority="12" operator="equal">
      <formula>100</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B2:AB57"/>
  <sheetViews>
    <sheetView zoomScale="50" zoomScaleNormal="50" workbookViewId="0">
      <selection activeCell="G8" sqref="G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240</v>
      </c>
      <c r="J6" s="43" t="s">
        <v>278</v>
      </c>
      <c r="K6" s="1" t="s">
        <v>239</v>
      </c>
    </row>
    <row r="7" spans="2:26" ht="72.599999999999994" customHeight="1" thickBot="1" x14ac:dyDescent="0.3">
      <c r="B7" s="160"/>
      <c r="C7" s="161"/>
      <c r="D7" s="43" t="s">
        <v>279</v>
      </c>
      <c r="E7" s="1">
        <v>4</v>
      </c>
      <c r="F7" s="43" t="s">
        <v>280</v>
      </c>
      <c r="G7" s="1">
        <v>8</v>
      </c>
      <c r="H7" s="43" t="s">
        <v>281</v>
      </c>
      <c r="I7" s="1" t="s">
        <v>666</v>
      </c>
      <c r="J7" s="43" t="s">
        <v>283</v>
      </c>
      <c r="K7" s="1" t="s">
        <v>1169</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2" t="s">
        <v>297</v>
      </c>
      <c r="D11" s="78" t="s">
        <v>1170</v>
      </c>
      <c r="E11" s="2" t="s">
        <v>7</v>
      </c>
      <c r="F11" s="3"/>
      <c r="G11" s="17"/>
      <c r="H11" s="17">
        <v>1</v>
      </c>
      <c r="I11" s="17">
        <v>0.6</v>
      </c>
      <c r="J11" s="80" t="s">
        <v>1171</v>
      </c>
      <c r="K11" s="80" t="s">
        <v>1172</v>
      </c>
      <c r="U11" s="3">
        <f>F11</f>
        <v>0</v>
      </c>
      <c r="V11" s="2" t="str">
        <f>C11</f>
        <v>K1.1</v>
      </c>
      <c r="W11" s="2"/>
      <c r="X11" s="17"/>
      <c r="Y11" s="37"/>
      <c r="Z11" s="37"/>
    </row>
    <row r="12" spans="2:26" ht="58.9" customHeight="1" x14ac:dyDescent="0.25">
      <c r="B12" s="36"/>
      <c r="C12" s="5" t="s">
        <v>298</v>
      </c>
      <c r="D12" s="79" t="s">
        <v>1173</v>
      </c>
      <c r="E12" s="5" t="s">
        <v>7</v>
      </c>
      <c r="F12" s="6"/>
      <c r="G12" s="4"/>
      <c r="H12" s="17">
        <v>1</v>
      </c>
      <c r="I12" s="17">
        <v>0.6</v>
      </c>
      <c r="J12" s="81" t="s">
        <v>1171</v>
      </c>
      <c r="K12" s="81" t="s">
        <v>1172</v>
      </c>
      <c r="U12" s="6">
        <f t="shared" ref="U12:U19" si="0">F12</f>
        <v>0</v>
      </c>
      <c r="V12" s="2" t="str">
        <f>C12</f>
        <v>K1.2</v>
      </c>
      <c r="W12" s="5"/>
      <c r="X12" s="4"/>
      <c r="Y12" s="38"/>
      <c r="Z12" s="38"/>
    </row>
    <row r="13" spans="2:26" ht="58.9" customHeight="1" x14ac:dyDescent="0.25">
      <c r="B13" s="36"/>
      <c r="C13" s="5" t="s">
        <v>644</v>
      </c>
      <c r="D13" s="79" t="s">
        <v>1174</v>
      </c>
      <c r="E13" s="5" t="s">
        <v>18</v>
      </c>
      <c r="F13" s="6"/>
      <c r="G13" s="4"/>
      <c r="H13" s="17">
        <v>1</v>
      </c>
      <c r="I13" s="17">
        <v>0.6</v>
      </c>
      <c r="J13" s="81" t="s">
        <v>1175</v>
      </c>
      <c r="K13" s="81" t="s">
        <v>1176</v>
      </c>
      <c r="U13" s="6">
        <f t="shared" si="0"/>
        <v>0</v>
      </c>
      <c r="V13" s="2" t="str">
        <f>C13</f>
        <v>S1.1</v>
      </c>
      <c r="W13" s="5"/>
      <c r="X13" s="4"/>
      <c r="Y13" s="38"/>
      <c r="Z13" s="38"/>
    </row>
    <row r="14" spans="2:26" ht="58.9" customHeight="1" x14ac:dyDescent="0.25">
      <c r="B14" s="36"/>
      <c r="C14" s="5" t="s">
        <v>342</v>
      </c>
      <c r="D14" s="79" t="s">
        <v>1177</v>
      </c>
      <c r="E14" s="5" t="s">
        <v>22</v>
      </c>
      <c r="F14" s="6"/>
      <c r="G14" s="4"/>
      <c r="H14" s="17">
        <v>1</v>
      </c>
      <c r="I14" s="17">
        <v>0.6</v>
      </c>
      <c r="J14" s="81" t="s">
        <v>1175</v>
      </c>
      <c r="K14" s="81" t="s">
        <v>1178</v>
      </c>
      <c r="U14" s="6">
        <f t="shared" si="0"/>
        <v>0</v>
      </c>
      <c r="V14" s="2" t="str">
        <f>C14</f>
        <v>S2.1</v>
      </c>
      <c r="W14" s="5"/>
      <c r="X14" s="4"/>
      <c r="Y14" s="38"/>
      <c r="Z14" s="38"/>
    </row>
    <row r="15" spans="2:26" ht="58.9" customHeight="1" x14ac:dyDescent="0.25">
      <c r="B15" s="36"/>
      <c r="C15" s="5" t="s">
        <v>345</v>
      </c>
      <c r="D15" s="79" t="s">
        <v>1179</v>
      </c>
      <c r="E15" s="5" t="s">
        <v>22</v>
      </c>
      <c r="F15" s="6"/>
      <c r="G15" s="4"/>
      <c r="H15" s="17">
        <v>1</v>
      </c>
      <c r="I15" s="17">
        <v>0.6</v>
      </c>
      <c r="J15" s="81" t="s">
        <v>1175</v>
      </c>
      <c r="K15" s="81" t="s">
        <v>1178</v>
      </c>
      <c r="U15" s="6">
        <f t="shared" si="0"/>
        <v>0</v>
      </c>
      <c r="V15" s="2" t="str">
        <f>C15</f>
        <v>S2.2</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S2.1</v>
      </c>
      <c r="J25" s="49" t="str">
        <f>C15</f>
        <v>S2.2</v>
      </c>
      <c r="K25" s="49">
        <f>C16</f>
        <v>0</v>
      </c>
      <c r="L25" s="49">
        <f>C17</f>
        <v>0</v>
      </c>
      <c r="M25" s="49">
        <f>C18</f>
        <v>0</v>
      </c>
      <c r="N25" s="49">
        <f>C19</f>
        <v>0</v>
      </c>
      <c r="O25" s="50" t="s">
        <v>305</v>
      </c>
    </row>
    <row r="26" spans="2:26" ht="30.4" customHeight="1" thickBot="1" x14ac:dyDescent="0.3">
      <c r="C26" s="51" t="s">
        <v>306</v>
      </c>
      <c r="D26" s="92" t="s">
        <v>1180</v>
      </c>
      <c r="E26" s="8">
        <v>2</v>
      </c>
      <c r="F26" s="8">
        <v>2</v>
      </c>
      <c r="G26" s="8"/>
      <c r="H26" s="8"/>
      <c r="I26" s="8"/>
      <c r="J26" s="8"/>
      <c r="K26" s="8"/>
      <c r="L26" s="8"/>
      <c r="M26" s="8"/>
      <c r="N26" s="8"/>
      <c r="O26" s="53" t="b">
        <f>IF(SUM(F26:N26)=E26,TRUE,"false")</f>
        <v>1</v>
      </c>
    </row>
    <row r="27" spans="2:26" ht="30.4" customHeight="1" thickBot="1" x14ac:dyDescent="0.3">
      <c r="C27" s="51" t="s">
        <v>307</v>
      </c>
      <c r="D27" s="92" t="s">
        <v>1181</v>
      </c>
      <c r="E27" s="8">
        <v>10</v>
      </c>
      <c r="F27" s="8"/>
      <c r="G27" s="8">
        <v>6</v>
      </c>
      <c r="H27" s="8">
        <v>2</v>
      </c>
      <c r="I27" s="8">
        <v>1</v>
      </c>
      <c r="J27" s="8">
        <v>1</v>
      </c>
      <c r="K27" s="8"/>
      <c r="L27" s="8"/>
      <c r="M27" s="8"/>
      <c r="N27" s="8"/>
      <c r="O27" s="53" t="b">
        <f t="shared" ref="O27:O40" si="1">IF(SUM(F27:N27)=E27,TRUE,"false")</f>
        <v>1</v>
      </c>
    </row>
    <row r="28" spans="2:26" ht="30.4" customHeight="1" thickBot="1" x14ac:dyDescent="0.3">
      <c r="C28" s="51" t="s">
        <v>308</v>
      </c>
      <c r="D28" s="92" t="s">
        <v>1182</v>
      </c>
      <c r="E28" s="8">
        <v>8</v>
      </c>
      <c r="F28" s="8"/>
      <c r="G28" s="8">
        <v>3</v>
      </c>
      <c r="H28" s="8">
        <v>1</v>
      </c>
      <c r="I28" s="8">
        <v>2</v>
      </c>
      <c r="J28" s="8">
        <v>2</v>
      </c>
      <c r="K28" s="8"/>
      <c r="L28" s="8"/>
      <c r="M28" s="8"/>
      <c r="N28" s="8"/>
      <c r="O28" s="53" t="b">
        <f t="shared" si="1"/>
        <v>1</v>
      </c>
    </row>
    <row r="29" spans="2:26" ht="30.4" customHeight="1" thickBot="1" x14ac:dyDescent="0.3">
      <c r="C29" s="51" t="s">
        <v>309</v>
      </c>
      <c r="D29" s="92" t="s">
        <v>1183</v>
      </c>
      <c r="E29" s="8">
        <v>5</v>
      </c>
      <c r="F29" s="8"/>
      <c r="G29" s="8">
        <v>4</v>
      </c>
      <c r="H29" s="8"/>
      <c r="I29" s="8">
        <v>1</v>
      </c>
      <c r="J29" s="8"/>
      <c r="K29" s="8"/>
      <c r="L29" s="8"/>
      <c r="M29" s="8"/>
      <c r="N29" s="8"/>
      <c r="O29" s="53" t="b">
        <f t="shared" si="1"/>
        <v>1</v>
      </c>
    </row>
    <row r="30" spans="2:26" ht="30.4" customHeight="1" thickBot="1" x14ac:dyDescent="0.3">
      <c r="C30" s="51" t="s">
        <v>310</v>
      </c>
      <c r="D30" s="92" t="s">
        <v>1184</v>
      </c>
      <c r="E30" s="8">
        <v>5</v>
      </c>
      <c r="F30" s="8"/>
      <c r="G30" s="8">
        <v>4</v>
      </c>
      <c r="H30" s="8"/>
      <c r="I30" s="8">
        <v>1</v>
      </c>
      <c r="J30" s="8"/>
      <c r="K30" s="8"/>
      <c r="L30" s="8"/>
      <c r="M30" s="8"/>
      <c r="N30" s="8"/>
      <c r="O30" s="53" t="b">
        <f t="shared" si="1"/>
        <v>1</v>
      </c>
    </row>
    <row r="31" spans="2:26" ht="30.4" customHeight="1" thickBot="1" x14ac:dyDescent="0.3">
      <c r="C31" s="51" t="s">
        <v>311</v>
      </c>
      <c r="D31" s="25"/>
      <c r="E31" s="8"/>
      <c r="F31" s="8"/>
      <c r="G31" s="8"/>
      <c r="H31" s="8"/>
      <c r="I31" s="8"/>
      <c r="J31" s="8"/>
      <c r="K31" s="8"/>
      <c r="L31" s="8"/>
      <c r="M31" s="8"/>
      <c r="N31" s="8"/>
      <c r="O31" s="53" t="b">
        <f t="shared" si="1"/>
        <v>1</v>
      </c>
    </row>
    <row r="32" spans="2:26" ht="30.4" customHeight="1" thickBot="1" x14ac:dyDescent="0.3">
      <c r="C32" s="51" t="s">
        <v>312</v>
      </c>
      <c r="D32" s="25"/>
      <c r="E32" s="8"/>
      <c r="F32" s="8"/>
      <c r="G32" s="8"/>
      <c r="H32" s="8"/>
      <c r="I32" s="8"/>
      <c r="J32" s="8"/>
      <c r="K32" s="8"/>
      <c r="L32" s="8"/>
      <c r="M32" s="8"/>
      <c r="N32" s="8"/>
      <c r="O32" s="53" t="b">
        <f t="shared" si="1"/>
        <v>1</v>
      </c>
    </row>
    <row r="33" spans="2:15" ht="30.4" customHeight="1" thickBot="1" x14ac:dyDescent="0.3">
      <c r="C33" s="51" t="s">
        <v>313</v>
      </c>
      <c r="D33" s="25"/>
      <c r="E33" s="8"/>
      <c r="F33" s="8"/>
      <c r="G33" s="8"/>
      <c r="H33" s="8"/>
      <c r="I33" s="8"/>
      <c r="J33" s="8"/>
      <c r="K33" s="8"/>
      <c r="L33" s="8"/>
      <c r="M33" s="8"/>
      <c r="N33" s="8"/>
      <c r="O33" s="53" t="b">
        <f t="shared" si="1"/>
        <v>1</v>
      </c>
    </row>
    <row r="34" spans="2:15" ht="30.4" customHeight="1" thickBot="1" x14ac:dyDescent="0.3">
      <c r="C34" s="51" t="s">
        <v>314</v>
      </c>
      <c r="D34" s="25"/>
      <c r="E34" s="8"/>
      <c r="F34" s="8"/>
      <c r="G34" s="8"/>
      <c r="H34" s="8"/>
      <c r="I34" s="8"/>
      <c r="J34" s="8"/>
      <c r="K34" s="8"/>
      <c r="L34" s="8"/>
      <c r="M34" s="8"/>
      <c r="N34" s="8"/>
      <c r="O34" s="53" t="b">
        <f t="shared" si="1"/>
        <v>1</v>
      </c>
    </row>
    <row r="35" spans="2:15" ht="30.4" customHeight="1" thickBot="1" x14ac:dyDescent="0.3">
      <c r="C35" s="51" t="s">
        <v>315</v>
      </c>
      <c r="D35" s="25"/>
      <c r="E35" s="8"/>
      <c r="F35" s="8"/>
      <c r="G35" s="8"/>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2</v>
      </c>
      <c r="G40" s="52">
        <f t="shared" si="2"/>
        <v>17</v>
      </c>
      <c r="H40" s="52">
        <f t="shared" si="2"/>
        <v>3</v>
      </c>
      <c r="I40" s="52">
        <f t="shared" si="2"/>
        <v>5</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7.0000000000000007E-2</v>
      </c>
      <c r="G41" s="54">
        <f>ROUND(G40/E40,2)</f>
        <v>0.56999999999999995</v>
      </c>
      <c r="H41" s="54">
        <f>ROUND(H40/E40,2)</f>
        <v>0.1</v>
      </c>
      <c r="I41" s="54">
        <f>ROUND(I40/E40,2)</f>
        <v>0.17</v>
      </c>
      <c r="J41" s="54">
        <f>ROUND(J40/E40,2)</f>
        <v>0.1</v>
      </c>
      <c r="K41" s="54">
        <f>ROUND(K40/E40,2)</f>
        <v>0</v>
      </c>
      <c r="L41" s="54">
        <f>ROUND(L40/E40,2)</f>
        <v>0</v>
      </c>
      <c r="M41" s="54">
        <f>ROUND(M40/E40,2)</f>
        <v>0</v>
      </c>
      <c r="N41" s="54">
        <f>ROUND(N40/E40,2)</f>
        <v>0</v>
      </c>
      <c r="O41" s="54">
        <f>SUM(F41:N41)</f>
        <v>1.01</v>
      </c>
    </row>
    <row r="42" spans="2:15" ht="55.9" customHeight="1" x14ac:dyDescent="0.25">
      <c r="C42" s="151" t="s">
        <v>322</v>
      </c>
      <c r="D42" s="151"/>
      <c r="E42" s="151"/>
      <c r="F42" s="7">
        <v>10</v>
      </c>
      <c r="G42" s="7">
        <v>55</v>
      </c>
      <c r="H42" s="7">
        <v>10</v>
      </c>
      <c r="I42" s="7">
        <v>15</v>
      </c>
      <c r="J42" s="7">
        <v>10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S2.1</v>
      </c>
      <c r="I46" s="59" t="str">
        <f>C15</f>
        <v>S2.2</v>
      </c>
      <c r="J46" s="59">
        <f>C16</f>
        <v>0</v>
      </c>
      <c r="K46" s="59">
        <f>C17</f>
        <v>0</v>
      </c>
      <c r="L46" s="59">
        <f>C18</f>
        <v>0</v>
      </c>
      <c r="M46" s="59">
        <f>C19</f>
        <v>0</v>
      </c>
      <c r="N46" s="60" t="s">
        <v>327</v>
      </c>
    </row>
    <row r="47" spans="2:15" ht="55.15" customHeight="1" x14ac:dyDescent="0.25">
      <c r="C47" s="9" t="s">
        <v>458</v>
      </c>
      <c r="D47" s="10">
        <v>15</v>
      </c>
      <c r="E47" s="8">
        <v>5</v>
      </c>
      <c r="F47" s="8">
        <v>10</v>
      </c>
      <c r="G47" s="8"/>
      <c r="H47" s="8"/>
      <c r="I47" s="8"/>
      <c r="J47" s="8"/>
      <c r="K47" s="8"/>
      <c r="L47" s="8"/>
      <c r="M47" s="8"/>
      <c r="N47" s="55" t="b">
        <f t="shared" ref="N47:N54" si="3">IF(SUM(E47:M47)=D47,TRUE,"false")</f>
        <v>1</v>
      </c>
    </row>
    <row r="48" spans="2:15" ht="55.15" customHeight="1" x14ac:dyDescent="0.25">
      <c r="C48" s="9" t="s">
        <v>1185</v>
      </c>
      <c r="D48" s="10">
        <v>25</v>
      </c>
      <c r="E48" s="11">
        <v>5</v>
      </c>
      <c r="F48" s="12">
        <v>10</v>
      </c>
      <c r="G48" s="12">
        <v>5</v>
      </c>
      <c r="H48" s="12">
        <v>5</v>
      </c>
      <c r="I48" s="12"/>
      <c r="J48" s="12"/>
      <c r="K48" s="12"/>
      <c r="L48" s="12"/>
      <c r="M48" s="12"/>
      <c r="N48" s="55" t="b">
        <f t="shared" si="3"/>
        <v>1</v>
      </c>
    </row>
    <row r="49" spans="3:14" ht="55.15" customHeight="1" x14ac:dyDescent="0.25">
      <c r="C49" s="9" t="s">
        <v>412</v>
      </c>
      <c r="D49" s="10">
        <v>10</v>
      </c>
      <c r="E49" s="11"/>
      <c r="F49" s="12"/>
      <c r="G49" s="12"/>
      <c r="H49" s="12">
        <v>5</v>
      </c>
      <c r="I49" s="12">
        <v>5</v>
      </c>
      <c r="J49" s="12"/>
      <c r="K49" s="12"/>
      <c r="L49" s="12"/>
      <c r="M49" s="12"/>
      <c r="N49" s="55" t="b">
        <f t="shared" si="3"/>
        <v>1</v>
      </c>
    </row>
    <row r="50" spans="3:14" ht="55.15" customHeight="1" x14ac:dyDescent="0.25">
      <c r="C50" s="9" t="s">
        <v>531</v>
      </c>
      <c r="D50" s="10">
        <v>50</v>
      </c>
      <c r="E50" s="11"/>
      <c r="F50" s="12">
        <v>35</v>
      </c>
      <c r="G50" s="12">
        <v>5</v>
      </c>
      <c r="H50" s="12">
        <v>5</v>
      </c>
      <c r="I50" s="12">
        <v>5</v>
      </c>
      <c r="J50" s="12"/>
      <c r="K50" s="12"/>
      <c r="L50" s="12"/>
      <c r="M50" s="12"/>
      <c r="N50" s="55" t="b">
        <f t="shared" si="3"/>
        <v>1</v>
      </c>
    </row>
    <row r="51" spans="3:14" ht="55.15" customHeight="1" x14ac:dyDescent="0.25">
      <c r="C51" s="9"/>
      <c r="D51" s="10"/>
      <c r="E51" s="11"/>
      <c r="F51" s="12"/>
      <c r="G51" s="12"/>
      <c r="H51" s="12"/>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10</v>
      </c>
      <c r="F56" s="65">
        <f t="shared" si="5"/>
        <v>55</v>
      </c>
      <c r="G56" s="65">
        <f t="shared" si="5"/>
        <v>10</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577" priority="1">
      <formula>LEN(TRIM(D47))=0</formula>
    </cfRule>
    <cfRule type="cellIs" dxfId="1576" priority="2" operator="equal">
      <formula>0</formula>
    </cfRule>
  </conditionalFormatting>
  <conditionalFormatting sqref="E52">
    <cfRule type="containsBlanks" dxfId="1575" priority="29">
      <formula>LEN(TRIM(E52))=0</formula>
    </cfRule>
    <cfRule type="cellIs" dxfId="1574" priority="30" operator="equal">
      <formula>0</formula>
    </cfRule>
  </conditionalFormatting>
  <conditionalFormatting sqref="E50:I50">
    <cfRule type="containsBlanks" dxfId="1573" priority="5">
      <formula>LEN(TRIM(E50))=0</formula>
    </cfRule>
    <cfRule type="cellIs" dxfId="1572" priority="6" operator="equal">
      <formula>0</formula>
    </cfRule>
  </conditionalFormatting>
  <conditionalFormatting sqref="E47:M51">
    <cfRule type="containsBlanks" dxfId="1571" priority="3">
      <formula>LEN(TRIM(E47))=0</formula>
    </cfRule>
    <cfRule type="cellIs" dxfId="1570" priority="4" operator="equal">
      <formula>0</formula>
    </cfRule>
  </conditionalFormatting>
  <conditionalFormatting sqref="E53:M54">
    <cfRule type="containsBlanks" dxfId="1569" priority="27">
      <formula>LEN(TRIM(E53))=0</formula>
    </cfRule>
    <cfRule type="cellIs" dxfId="1568" priority="28" operator="equal">
      <formula>0</formula>
    </cfRule>
  </conditionalFormatting>
  <conditionalFormatting sqref="E55:M55">
    <cfRule type="containsText" dxfId="1567" priority="17" operator="containsText" text="false">
      <formula>NOT(ISERROR(SEARCH("false",E55)))</formula>
    </cfRule>
    <cfRule type="containsText" dxfId="1566" priority="18" operator="containsText" text="true">
      <formula>NOT(ISERROR(SEARCH("true",E55)))</formula>
    </cfRule>
  </conditionalFormatting>
  <conditionalFormatting sqref="E26:N39">
    <cfRule type="containsBlanks" dxfId="1565" priority="11">
      <formula>LEN(TRIM(E26))=0</formula>
    </cfRule>
    <cfRule type="cellIs" dxfId="1564" priority="12" operator="equal">
      <formula>0</formula>
    </cfRule>
  </conditionalFormatting>
  <conditionalFormatting sqref="F48:I48">
    <cfRule type="containsBlanks" dxfId="1563" priority="9">
      <formula>LEN(TRIM(F48))=0</formula>
    </cfRule>
    <cfRule type="cellIs" dxfId="1562" priority="10" operator="equal">
      <formula>0</formula>
    </cfRule>
  </conditionalFormatting>
  <conditionalFormatting sqref="F51:M52">
    <cfRule type="containsBlanks" dxfId="1561" priority="31">
      <formula>LEN(TRIM(F51))=0</formula>
    </cfRule>
    <cfRule type="cellIs" dxfId="1560" priority="32" operator="equal">
      <formula>0</formula>
    </cfRule>
  </conditionalFormatting>
  <conditionalFormatting sqref="N47:N54">
    <cfRule type="containsText" dxfId="1559" priority="19" operator="containsText" text="false">
      <formula>NOT(ISERROR(SEARCH("false",N47)))</formula>
    </cfRule>
    <cfRule type="containsText" dxfId="1558" priority="20" operator="containsText" text="true">
      <formula>NOT(ISERROR(SEARCH("true",N47)))</formula>
    </cfRule>
  </conditionalFormatting>
  <conditionalFormatting sqref="N55">
    <cfRule type="containsBlanks" dxfId="1557" priority="25">
      <formula>LEN(TRIM(N55))=0</formula>
    </cfRule>
    <cfRule type="cellIs" dxfId="1556" priority="26" operator="equal">
      <formula>0</formula>
    </cfRule>
  </conditionalFormatting>
  <conditionalFormatting sqref="O26:O40">
    <cfRule type="containsText" dxfId="1555" priority="21" operator="containsText" text="false">
      <formula>NOT(ISERROR(SEARCH("false",O26)))</formula>
    </cfRule>
    <cfRule type="containsText" dxfId="1554" priority="22" operator="containsText" text="true">
      <formula>NOT(ISERROR(SEARCH("true",O26)))</formula>
    </cfRule>
  </conditionalFormatting>
  <conditionalFormatting sqref="O42">
    <cfRule type="cellIs" dxfId="1553" priority="13" operator="notEqual">
      <formula>100</formula>
    </cfRule>
    <cfRule type="cellIs" dxfId="1552" priority="14"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0000000}">
          <x14:formula1>
            <xm:f>'Name and Course code'!$B$2:$B$76</xm:f>
          </x14:formula1>
          <xm:sqref>I6</xm:sqref>
        </x14:dataValidation>
        <x14:dataValidation type="list" allowBlank="1" showInputMessage="1" showErrorMessage="1" xr:uid="{00000000-0002-0000-0B00-000001000000}">
          <x14:formula1>
            <xm:f>'Name and Course code'!$A$2:$A$76</xm:f>
          </x14:formula1>
          <xm:sqref>K6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2315-696B-4DB9-A84A-439EA890FA1C}">
  <sheetPr>
    <tabColor rgb="FFFFFF00"/>
  </sheetPr>
  <dimension ref="B2:AB57"/>
  <sheetViews>
    <sheetView topLeftCell="E1" zoomScale="50" zoomScaleNormal="50" workbookViewId="0">
      <selection activeCell="L6" sqref="L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1764</v>
      </c>
      <c r="H6" s="43" t="s">
        <v>277</v>
      </c>
      <c r="I6" s="1" t="s">
        <v>242</v>
      </c>
      <c r="J6" s="43" t="s">
        <v>278</v>
      </c>
      <c r="K6" s="1" t="s">
        <v>1774</v>
      </c>
    </row>
    <row r="7" spans="2:26" ht="72.599999999999994" customHeight="1" thickBot="1" x14ac:dyDescent="0.3">
      <c r="B7" s="160"/>
      <c r="C7" s="161"/>
      <c r="D7" s="43" t="s">
        <v>279</v>
      </c>
      <c r="E7" s="1" t="s">
        <v>1773</v>
      </c>
      <c r="F7" s="43" t="s">
        <v>280</v>
      </c>
      <c r="G7" s="1">
        <v>451</v>
      </c>
      <c r="H7" s="43" t="s">
        <v>281</v>
      </c>
      <c r="I7" s="1">
        <v>2</v>
      </c>
      <c r="J7" s="43" t="s">
        <v>283</v>
      </c>
      <c r="K7" s="1" t="s">
        <v>744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5" t="s">
        <v>297</v>
      </c>
      <c r="D11" s="81" t="s">
        <v>1186</v>
      </c>
      <c r="E11" s="2" t="s">
        <v>7</v>
      </c>
      <c r="F11" s="3"/>
      <c r="G11" s="17"/>
      <c r="H11" s="17">
        <v>0.6</v>
      </c>
      <c r="I11" s="17">
        <v>1</v>
      </c>
      <c r="J11" s="80" t="s">
        <v>1187</v>
      </c>
      <c r="K11" s="80" t="s">
        <v>747</v>
      </c>
      <c r="U11" s="3">
        <f>F11</f>
        <v>0</v>
      </c>
      <c r="V11" s="2" t="str">
        <f>C11</f>
        <v>K1.1</v>
      </c>
      <c r="W11" s="2"/>
      <c r="X11" s="17"/>
      <c r="Y11" s="37"/>
      <c r="Z11" s="37"/>
    </row>
    <row r="12" spans="2:26" ht="58.9" customHeight="1" x14ac:dyDescent="0.25">
      <c r="B12" s="36"/>
      <c r="C12" s="5" t="s">
        <v>560</v>
      </c>
      <c r="D12" s="81" t="s">
        <v>1188</v>
      </c>
      <c r="E12" s="5" t="s">
        <v>13</v>
      </c>
      <c r="F12" s="6"/>
      <c r="G12" s="4"/>
      <c r="H12" s="17">
        <v>0.6</v>
      </c>
      <c r="I12" s="17">
        <v>1</v>
      </c>
      <c r="J12" s="81" t="s">
        <v>1189</v>
      </c>
      <c r="K12" s="80" t="s">
        <v>747</v>
      </c>
      <c r="U12" s="6">
        <f t="shared" ref="U12:U19" si="0">F12</f>
        <v>0</v>
      </c>
      <c r="V12" s="2" t="str">
        <f>C12</f>
        <v>K3.1</v>
      </c>
      <c r="W12" s="5"/>
      <c r="X12" s="4"/>
      <c r="Y12" s="38"/>
      <c r="Z12" s="38"/>
    </row>
    <row r="13" spans="2:26" ht="58.9" customHeight="1" x14ac:dyDescent="0.25">
      <c r="B13" s="36"/>
      <c r="C13" s="5" t="s">
        <v>342</v>
      </c>
      <c r="D13" s="81" t="s">
        <v>1190</v>
      </c>
      <c r="E13" s="5" t="s">
        <v>22</v>
      </c>
      <c r="F13" s="6"/>
      <c r="G13" s="4"/>
      <c r="H13" s="17">
        <v>0.6</v>
      </c>
      <c r="I13" s="17">
        <v>1</v>
      </c>
      <c r="J13" s="80" t="s">
        <v>1191</v>
      </c>
      <c r="K13" s="81" t="s">
        <v>510</v>
      </c>
      <c r="U13" s="6">
        <f t="shared" si="0"/>
        <v>0</v>
      </c>
      <c r="V13" s="2" t="str">
        <f>C13</f>
        <v>S2.1</v>
      </c>
      <c r="W13" s="5"/>
      <c r="X13" s="4"/>
      <c r="Y13" s="38"/>
      <c r="Z13" s="38"/>
    </row>
    <row r="14" spans="2:26" ht="58.9" customHeight="1" x14ac:dyDescent="0.25">
      <c r="B14" s="36"/>
      <c r="C14" s="5" t="s">
        <v>752</v>
      </c>
      <c r="D14" s="81" t="s">
        <v>1192</v>
      </c>
      <c r="E14" s="5" t="s">
        <v>35</v>
      </c>
      <c r="F14" s="6"/>
      <c r="G14" s="4"/>
      <c r="H14" s="17">
        <v>0.6</v>
      </c>
      <c r="I14" s="17">
        <v>1</v>
      </c>
      <c r="J14" s="80" t="s">
        <v>1193</v>
      </c>
      <c r="K14" s="81" t="s">
        <v>1194</v>
      </c>
      <c r="U14" s="6">
        <f t="shared" si="0"/>
        <v>0</v>
      </c>
      <c r="V14" s="2" t="str">
        <f>C14</f>
        <v>S4.1</v>
      </c>
      <c r="W14" s="5"/>
      <c r="X14" s="4"/>
      <c r="Y14" s="38"/>
      <c r="Z14" s="38"/>
    </row>
    <row r="15" spans="2:26" ht="58.9" customHeight="1" x14ac:dyDescent="0.25">
      <c r="B15" s="36"/>
      <c r="C15" s="5" t="s">
        <v>300</v>
      </c>
      <c r="D15" s="81" t="s">
        <v>1195</v>
      </c>
      <c r="E15" s="5" t="s">
        <v>44</v>
      </c>
      <c r="F15" s="6"/>
      <c r="G15" s="4"/>
      <c r="H15" s="17">
        <v>0.6</v>
      </c>
      <c r="I15" s="17">
        <v>1</v>
      </c>
      <c r="J15" s="80" t="s">
        <v>1196</v>
      </c>
      <c r="K15" s="81" t="s">
        <v>1194</v>
      </c>
      <c r="U15" s="6">
        <f t="shared" si="0"/>
        <v>0</v>
      </c>
      <c r="V15" s="2" t="str">
        <f>C15</f>
        <v>V1.1</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K3.1</v>
      </c>
      <c r="H25" s="49" t="str">
        <f>C13</f>
        <v>S2.1</v>
      </c>
      <c r="I25" s="49" t="str">
        <f>C14</f>
        <v>S4.1</v>
      </c>
      <c r="J25" s="49" t="str">
        <f>C15</f>
        <v>V1.1</v>
      </c>
      <c r="K25" s="49">
        <f>C16</f>
        <v>0</v>
      </c>
      <c r="L25" s="49">
        <f>C17</f>
        <v>0</v>
      </c>
      <c r="M25" s="49">
        <f>C18</f>
        <v>0</v>
      </c>
      <c r="N25" s="49">
        <f>C19</f>
        <v>0</v>
      </c>
      <c r="O25" s="50" t="s">
        <v>305</v>
      </c>
    </row>
    <row r="26" spans="2:26" ht="30.4" customHeight="1" thickBot="1" x14ac:dyDescent="0.3">
      <c r="C26" s="51" t="s">
        <v>306</v>
      </c>
      <c r="D26" s="81" t="s">
        <v>1197</v>
      </c>
      <c r="E26" s="8">
        <v>4</v>
      </c>
      <c r="F26" s="8">
        <v>3</v>
      </c>
      <c r="G26" s="8">
        <v>1</v>
      </c>
      <c r="H26" s="8"/>
      <c r="I26" s="8"/>
      <c r="J26" s="8"/>
      <c r="K26" s="8"/>
      <c r="L26" s="8"/>
      <c r="M26" s="8"/>
      <c r="N26" s="8"/>
      <c r="O26" s="53" t="b">
        <f>IF(SUM(F26:N26)=E26,TRUE,"false")</f>
        <v>1</v>
      </c>
    </row>
    <row r="27" spans="2:26" ht="30.4" customHeight="1" thickBot="1" x14ac:dyDescent="0.3">
      <c r="C27" s="51" t="s">
        <v>307</v>
      </c>
      <c r="D27" s="81" t="s">
        <v>1198</v>
      </c>
      <c r="E27" s="8">
        <v>2</v>
      </c>
      <c r="F27" s="8">
        <v>2</v>
      </c>
      <c r="G27" s="8"/>
      <c r="H27" s="8"/>
      <c r="I27" s="8"/>
      <c r="J27" s="8"/>
      <c r="K27" s="8"/>
      <c r="L27" s="8"/>
      <c r="M27" s="8"/>
      <c r="N27" s="8"/>
      <c r="O27" s="53" t="b">
        <f t="shared" ref="O27:O40" si="1">IF(SUM(F27:N27)=E27,TRUE,"false")</f>
        <v>1</v>
      </c>
    </row>
    <row r="28" spans="2:26" ht="30.4" customHeight="1" thickBot="1" x14ac:dyDescent="0.3">
      <c r="C28" s="51" t="s">
        <v>308</v>
      </c>
      <c r="D28" s="81" t="s">
        <v>1199</v>
      </c>
      <c r="E28" s="8">
        <v>2</v>
      </c>
      <c r="F28" s="8">
        <v>2</v>
      </c>
      <c r="G28" s="8"/>
      <c r="H28" s="8"/>
      <c r="I28" s="8"/>
      <c r="J28" s="8"/>
      <c r="K28" s="8"/>
      <c r="L28" s="8"/>
      <c r="M28" s="8"/>
      <c r="N28" s="8"/>
      <c r="O28" s="53" t="b">
        <f t="shared" si="1"/>
        <v>1</v>
      </c>
    </row>
    <row r="29" spans="2:26" ht="30.4" customHeight="1" thickBot="1" x14ac:dyDescent="0.3">
      <c r="C29" s="51" t="s">
        <v>309</v>
      </c>
      <c r="D29" s="81" t="s">
        <v>1200</v>
      </c>
      <c r="E29" s="8">
        <v>2</v>
      </c>
      <c r="F29" s="8">
        <v>2</v>
      </c>
      <c r="G29" s="8"/>
      <c r="H29" s="8"/>
      <c r="I29" s="8"/>
      <c r="J29" s="8"/>
      <c r="K29" s="8"/>
      <c r="L29" s="8"/>
      <c r="M29" s="8"/>
      <c r="N29" s="8"/>
      <c r="O29" s="53" t="b">
        <f t="shared" si="1"/>
        <v>1</v>
      </c>
    </row>
    <row r="30" spans="2:26" ht="30.4" customHeight="1" thickBot="1" x14ac:dyDescent="0.3">
      <c r="C30" s="51" t="s">
        <v>310</v>
      </c>
      <c r="D30" s="81" t="s">
        <v>1201</v>
      </c>
      <c r="E30" s="8">
        <v>2</v>
      </c>
      <c r="F30" s="8">
        <v>1</v>
      </c>
      <c r="G30" s="8">
        <v>1</v>
      </c>
      <c r="H30" s="8"/>
      <c r="I30" s="8"/>
      <c r="J30" s="8"/>
      <c r="K30" s="8"/>
      <c r="L30" s="8"/>
      <c r="M30" s="8"/>
      <c r="N30" s="8"/>
      <c r="O30" s="53" t="b">
        <f t="shared" si="1"/>
        <v>1</v>
      </c>
    </row>
    <row r="31" spans="2:26" ht="30.4" customHeight="1" thickBot="1" x14ac:dyDescent="0.3">
      <c r="C31" s="51" t="s">
        <v>311</v>
      </c>
      <c r="D31" s="81" t="s">
        <v>1202</v>
      </c>
      <c r="E31" s="8">
        <v>2</v>
      </c>
      <c r="F31" s="8">
        <v>2</v>
      </c>
      <c r="G31" s="8"/>
      <c r="H31" s="8"/>
      <c r="I31" s="8"/>
      <c r="J31" s="8"/>
      <c r="K31" s="8"/>
      <c r="L31" s="8"/>
      <c r="M31" s="8"/>
      <c r="N31" s="8"/>
      <c r="O31" s="53" t="b">
        <f t="shared" si="1"/>
        <v>1</v>
      </c>
    </row>
    <row r="32" spans="2:26" ht="30.4" customHeight="1" thickBot="1" x14ac:dyDescent="0.3">
      <c r="C32" s="51" t="s">
        <v>312</v>
      </c>
      <c r="D32" s="81" t="s">
        <v>1203</v>
      </c>
      <c r="E32" s="8">
        <v>2</v>
      </c>
      <c r="F32" s="8">
        <v>1</v>
      </c>
      <c r="G32" s="8">
        <v>1</v>
      </c>
      <c r="H32" s="8"/>
      <c r="I32" s="8"/>
      <c r="J32" s="8"/>
      <c r="K32" s="8"/>
      <c r="L32" s="8"/>
      <c r="M32" s="8"/>
      <c r="N32" s="8"/>
      <c r="O32" s="53" t="b">
        <f t="shared" si="1"/>
        <v>1</v>
      </c>
    </row>
    <row r="33" spans="2:15" ht="30.4" customHeight="1" thickBot="1" x14ac:dyDescent="0.3">
      <c r="C33" s="51" t="s">
        <v>313</v>
      </c>
      <c r="D33" s="81" t="s">
        <v>1204</v>
      </c>
      <c r="E33" s="8">
        <v>4</v>
      </c>
      <c r="F33" s="8">
        <v>2</v>
      </c>
      <c r="G33" s="8"/>
      <c r="H33" s="8"/>
      <c r="I33" s="8">
        <v>1</v>
      </c>
      <c r="J33" s="8">
        <v>1</v>
      </c>
      <c r="K33" s="8"/>
      <c r="L33" s="8"/>
      <c r="M33" s="8"/>
      <c r="N33" s="8"/>
      <c r="O33" s="53" t="b">
        <f t="shared" si="1"/>
        <v>1</v>
      </c>
    </row>
    <row r="34" spans="2:15" ht="30.4" customHeight="1" thickBot="1" x14ac:dyDescent="0.3">
      <c r="C34" s="51" t="s">
        <v>314</v>
      </c>
      <c r="D34" s="81" t="s">
        <v>1205</v>
      </c>
      <c r="E34" s="8">
        <v>4</v>
      </c>
      <c r="F34" s="8">
        <v>2</v>
      </c>
      <c r="G34" s="8">
        <v>1</v>
      </c>
      <c r="H34" s="8">
        <v>1</v>
      </c>
      <c r="I34" s="8"/>
      <c r="J34" s="8"/>
      <c r="K34" s="8"/>
      <c r="L34" s="8"/>
      <c r="M34" s="8"/>
      <c r="N34" s="8"/>
      <c r="O34" s="53" t="b">
        <f t="shared" si="1"/>
        <v>1</v>
      </c>
    </row>
    <row r="35" spans="2:15" ht="30.4" customHeight="1" thickBot="1" x14ac:dyDescent="0.3">
      <c r="C35" s="51" t="s">
        <v>315</v>
      </c>
      <c r="D35" s="81" t="s">
        <v>1206</v>
      </c>
      <c r="E35" s="8">
        <v>2</v>
      </c>
      <c r="F35" s="8">
        <v>1</v>
      </c>
      <c r="G35" s="8"/>
      <c r="H35" s="8"/>
      <c r="I35" s="8">
        <v>1</v>
      </c>
      <c r="J35" s="8"/>
      <c r="K35" s="8"/>
      <c r="L35" s="8"/>
      <c r="M35" s="8"/>
      <c r="N35" s="8"/>
      <c r="O35" s="53" t="b">
        <f t="shared" si="1"/>
        <v>1</v>
      </c>
    </row>
    <row r="36" spans="2:15" ht="30.4" customHeight="1" thickBot="1" x14ac:dyDescent="0.3">
      <c r="C36" s="51" t="s">
        <v>316</v>
      </c>
      <c r="D36" s="81" t="s">
        <v>1207</v>
      </c>
      <c r="E36" s="8">
        <v>2</v>
      </c>
      <c r="F36" s="8"/>
      <c r="G36" s="8"/>
      <c r="H36" s="8">
        <v>1</v>
      </c>
      <c r="I36" s="8"/>
      <c r="J36" s="8">
        <v>1</v>
      </c>
      <c r="K36" s="8"/>
      <c r="L36" s="8"/>
      <c r="M36" s="8"/>
      <c r="N36" s="8"/>
      <c r="O36" s="53" t="b">
        <f t="shared" si="1"/>
        <v>1</v>
      </c>
    </row>
    <row r="37" spans="2:15" ht="30.4" customHeight="1" thickBot="1" x14ac:dyDescent="0.3">
      <c r="C37" s="51" t="s">
        <v>317</v>
      </c>
      <c r="D37" s="81" t="s">
        <v>1208</v>
      </c>
      <c r="E37" s="8">
        <v>2</v>
      </c>
      <c r="F37" s="8">
        <v>1</v>
      </c>
      <c r="G37" s="8"/>
      <c r="H37" s="8">
        <v>1</v>
      </c>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19</v>
      </c>
      <c r="G40" s="52">
        <f t="shared" si="2"/>
        <v>4</v>
      </c>
      <c r="H40" s="52">
        <f t="shared" si="2"/>
        <v>3</v>
      </c>
      <c r="I40" s="52">
        <f t="shared" si="2"/>
        <v>2</v>
      </c>
      <c r="J40" s="52">
        <f t="shared" si="2"/>
        <v>2</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0.63</v>
      </c>
      <c r="G41" s="54">
        <f>ROUND(G40/E40,2)</f>
        <v>0.13</v>
      </c>
      <c r="H41" s="54">
        <f>ROUND(H40/E40,2)</f>
        <v>0.1</v>
      </c>
      <c r="I41" s="54">
        <f>ROUND(I40/E40,2)</f>
        <v>7.0000000000000007E-2</v>
      </c>
      <c r="J41" s="54">
        <f>ROUND(J40/E40,2)</f>
        <v>7.0000000000000007E-2</v>
      </c>
      <c r="K41" s="54">
        <f>ROUND(K40/E40,2)</f>
        <v>0</v>
      </c>
      <c r="L41" s="54">
        <f>ROUND(L40/E40,2)</f>
        <v>0</v>
      </c>
      <c r="M41" s="54">
        <f>ROUND(M40/E40,2)</f>
        <v>0</v>
      </c>
      <c r="N41" s="54">
        <f>ROUND(N40/E40,2)</f>
        <v>0</v>
      </c>
      <c r="O41" s="54">
        <f>SUM(F41:N41)</f>
        <v>1</v>
      </c>
    </row>
    <row r="42" spans="2:15" ht="55.9" customHeight="1" x14ac:dyDescent="0.25">
      <c r="C42" s="151" t="s">
        <v>322</v>
      </c>
      <c r="D42" s="151"/>
      <c r="E42" s="151"/>
      <c r="F42" s="7">
        <v>65</v>
      </c>
      <c r="G42" s="7">
        <v>15</v>
      </c>
      <c r="H42" s="7">
        <v>10</v>
      </c>
      <c r="I42" s="7">
        <v>5</v>
      </c>
      <c r="J42" s="7">
        <v>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K3.1</v>
      </c>
      <c r="G46" s="59" t="str">
        <f>C13</f>
        <v>S2.1</v>
      </c>
      <c r="H46" s="59" t="str">
        <f>C14</f>
        <v>S4.1</v>
      </c>
      <c r="I46" s="59" t="str">
        <f>C15</f>
        <v>V1.1</v>
      </c>
      <c r="J46" s="59">
        <f>C16</f>
        <v>0</v>
      </c>
      <c r="K46" s="59">
        <f>C17</f>
        <v>0</v>
      </c>
      <c r="L46" s="59">
        <f>C18</f>
        <v>0</v>
      </c>
      <c r="M46" s="59">
        <f>C19</f>
        <v>0</v>
      </c>
      <c r="N46" s="60" t="s">
        <v>327</v>
      </c>
    </row>
    <row r="47" spans="2:15" ht="55.15" customHeight="1" x14ac:dyDescent="0.25">
      <c r="C47" s="9" t="s">
        <v>328</v>
      </c>
      <c r="D47" s="10">
        <v>25</v>
      </c>
      <c r="E47" s="8">
        <v>20</v>
      </c>
      <c r="F47" s="8">
        <v>5</v>
      </c>
      <c r="G47" s="8"/>
      <c r="H47" s="8"/>
      <c r="I47" s="8"/>
      <c r="J47" s="8"/>
      <c r="K47" s="8"/>
      <c r="L47" s="8"/>
      <c r="M47" s="8"/>
      <c r="N47" s="55" t="b">
        <f t="shared" ref="N47:N54" si="3">IF(SUM(E47:M47)=D47,TRUE,"false")</f>
        <v>1</v>
      </c>
    </row>
    <row r="48" spans="2:15" ht="55.15" customHeight="1" x14ac:dyDescent="0.25">
      <c r="C48" s="9" t="s">
        <v>409</v>
      </c>
      <c r="D48" s="10">
        <v>5</v>
      </c>
      <c r="E48" s="11">
        <v>5</v>
      </c>
      <c r="F48" s="12"/>
      <c r="G48" s="12"/>
      <c r="H48" s="12"/>
      <c r="I48" s="12"/>
      <c r="J48" s="12"/>
      <c r="K48" s="12"/>
      <c r="L48" s="12"/>
      <c r="M48" s="12"/>
      <c r="N48" s="55" t="b">
        <f t="shared" si="3"/>
        <v>1</v>
      </c>
    </row>
    <row r="49" spans="3:14" ht="55.15" customHeight="1" x14ac:dyDescent="0.25">
      <c r="C49" s="9" t="s">
        <v>411</v>
      </c>
      <c r="D49" s="10"/>
      <c r="E49" s="11"/>
      <c r="F49" s="12"/>
      <c r="G49" s="12"/>
      <c r="H49" s="12"/>
      <c r="I49" s="12"/>
      <c r="J49" s="12"/>
      <c r="K49" s="12"/>
      <c r="L49" s="12"/>
      <c r="M49" s="12"/>
      <c r="N49" s="55" t="b">
        <f t="shared" si="3"/>
        <v>1</v>
      </c>
    </row>
    <row r="50" spans="3:14" ht="55.15" customHeight="1" x14ac:dyDescent="0.25">
      <c r="C50" s="9" t="s">
        <v>331</v>
      </c>
      <c r="D50" s="10">
        <v>10</v>
      </c>
      <c r="E50" s="11"/>
      <c r="F50" s="12"/>
      <c r="G50" s="12">
        <v>10</v>
      </c>
      <c r="H50" s="12"/>
      <c r="I50" s="12"/>
      <c r="J50" s="12"/>
      <c r="K50" s="12"/>
      <c r="L50" s="12"/>
      <c r="M50" s="12"/>
      <c r="N50" s="55" t="b">
        <f t="shared" si="3"/>
        <v>1</v>
      </c>
    </row>
    <row r="51" spans="3:14" ht="55.15" customHeight="1" x14ac:dyDescent="0.25">
      <c r="C51" s="9" t="s">
        <v>332</v>
      </c>
      <c r="D51" s="10">
        <v>10</v>
      </c>
      <c r="E51" s="11"/>
      <c r="F51" s="12"/>
      <c r="G51" s="12"/>
      <c r="H51" s="12">
        <v>5</v>
      </c>
      <c r="I51" s="12">
        <v>5</v>
      </c>
      <c r="J51" s="12"/>
      <c r="K51" s="12"/>
      <c r="L51" s="12"/>
      <c r="M51" s="12"/>
      <c r="N51" s="55" t="b">
        <f t="shared" si="3"/>
        <v>1</v>
      </c>
    </row>
    <row r="52" spans="3:14" ht="55.15" customHeight="1" x14ac:dyDescent="0.25">
      <c r="C52" s="9" t="s">
        <v>504</v>
      </c>
      <c r="D52" s="10">
        <v>50</v>
      </c>
      <c r="E52" s="11">
        <v>40</v>
      </c>
      <c r="F52" s="12">
        <v>10</v>
      </c>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65</v>
      </c>
      <c r="F56" s="65">
        <f t="shared" si="5"/>
        <v>15</v>
      </c>
      <c r="G56" s="65">
        <f t="shared" si="5"/>
        <v>10</v>
      </c>
      <c r="H56" s="65">
        <f t="shared" si="5"/>
        <v>5</v>
      </c>
      <c r="I56" s="65">
        <f t="shared" si="5"/>
        <v>5</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23" priority="11">
      <formula>LEN(TRIM(D47))=0</formula>
    </cfRule>
    <cfRule type="cellIs" dxfId="22" priority="12" operator="equal">
      <formula>0</formula>
    </cfRule>
  </conditionalFormatting>
  <conditionalFormatting sqref="E50">
    <cfRule type="containsBlanks" dxfId="21" priority="21">
      <formula>LEN(TRIM(E50))=0</formula>
    </cfRule>
    <cfRule type="cellIs" dxfId="20" priority="22" operator="equal">
      <formula>0</formula>
    </cfRule>
  </conditionalFormatting>
  <conditionalFormatting sqref="E47:M51 E52">
    <cfRule type="containsBlanks" dxfId="19" priority="17">
      <formula>LEN(TRIM(E47))=0</formula>
    </cfRule>
    <cfRule type="cellIs" dxfId="18" priority="18" operator="equal">
      <formula>0</formula>
    </cfRule>
  </conditionalFormatting>
  <conditionalFormatting sqref="E53:M54">
    <cfRule type="containsBlanks" dxfId="17" priority="15">
      <formula>LEN(TRIM(E53))=0</formula>
    </cfRule>
    <cfRule type="cellIs" dxfId="16" priority="16" operator="equal">
      <formula>0</formula>
    </cfRule>
  </conditionalFormatting>
  <conditionalFormatting sqref="E55:M55">
    <cfRule type="containsText" dxfId="15" priority="5" operator="containsText" text="false">
      <formula>NOT(ISERROR(SEARCH("false",E55)))</formula>
    </cfRule>
    <cfRule type="containsText" dxfId="14" priority="6" operator="containsText" text="true">
      <formula>NOT(ISERROR(SEARCH("true",E55)))</formula>
    </cfRule>
  </conditionalFormatting>
  <conditionalFormatting sqref="E26:N39">
    <cfRule type="containsBlanks" dxfId="13" priority="3">
      <formula>LEN(TRIM(E26))=0</formula>
    </cfRule>
    <cfRule type="cellIs" dxfId="12" priority="4" operator="equal">
      <formula>0</formula>
    </cfRule>
  </conditionalFormatting>
  <conditionalFormatting sqref="F48:M48">
    <cfRule type="containsBlanks" dxfId="11" priority="23">
      <formula>LEN(TRIM(F48))=0</formula>
    </cfRule>
    <cfRule type="cellIs" dxfId="10" priority="24" operator="equal">
      <formula>0</formula>
    </cfRule>
  </conditionalFormatting>
  <conditionalFormatting sqref="F50:M52">
    <cfRule type="containsBlanks" dxfId="9" priority="19">
      <formula>LEN(TRIM(F50))=0</formula>
    </cfRule>
    <cfRule type="cellIs" dxfId="8" priority="20" operator="equal">
      <formula>0</formula>
    </cfRule>
  </conditionalFormatting>
  <conditionalFormatting sqref="N47:N54">
    <cfRule type="containsText" dxfId="7" priority="7" operator="containsText" text="false">
      <formula>NOT(ISERROR(SEARCH("false",N47)))</formula>
    </cfRule>
    <cfRule type="containsText" dxfId="6" priority="8" operator="containsText" text="true">
      <formula>NOT(ISERROR(SEARCH("true",N47)))</formula>
    </cfRule>
  </conditionalFormatting>
  <conditionalFormatting sqref="N55">
    <cfRule type="containsBlanks" dxfId="5" priority="13">
      <formula>LEN(TRIM(N55))=0</formula>
    </cfRule>
    <cfRule type="cellIs" dxfId="4" priority="14" operator="equal">
      <formula>0</formula>
    </cfRule>
  </conditionalFormatting>
  <conditionalFormatting sqref="O26:O40">
    <cfRule type="containsText" dxfId="3" priority="9" operator="containsText" text="false">
      <formula>NOT(ISERROR(SEARCH("false",O26)))</formula>
    </cfRule>
    <cfRule type="containsText" dxfId="2" priority="10" operator="containsText" text="true">
      <formula>NOT(ISERROR(SEARCH("true",O26)))</formula>
    </cfRule>
  </conditionalFormatting>
  <conditionalFormatting sqref="O42">
    <cfRule type="cellIs" dxfId="1" priority="1" operator="notEqual">
      <formula>100</formula>
    </cfRule>
    <cfRule type="cellIs" dxfId="0" priority="2" operator="equal">
      <formula>100</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B2:AB57"/>
  <sheetViews>
    <sheetView topLeftCell="C1" zoomScale="50" zoomScaleNormal="50" workbookViewId="0">
      <selection activeCell="N17" sqref="N1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242</v>
      </c>
      <c r="J6" s="43" t="s">
        <v>278</v>
      </c>
      <c r="K6" s="1" t="s">
        <v>241</v>
      </c>
    </row>
    <row r="7" spans="2:26" ht="72.599999999999994" customHeight="1" thickBot="1" x14ac:dyDescent="0.3">
      <c r="B7" s="160"/>
      <c r="C7" s="161"/>
      <c r="D7" s="43" t="s">
        <v>279</v>
      </c>
      <c r="E7" s="1">
        <v>4</v>
      </c>
      <c r="F7" s="43" t="s">
        <v>280</v>
      </c>
      <c r="G7" s="1">
        <v>8</v>
      </c>
      <c r="H7" s="43" t="s">
        <v>281</v>
      </c>
      <c r="I7" s="1">
        <v>2</v>
      </c>
      <c r="J7" s="43" t="s">
        <v>283</v>
      </c>
      <c r="K7" s="1" t="s">
        <v>744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5" t="s">
        <v>297</v>
      </c>
      <c r="D11" s="81" t="s">
        <v>1186</v>
      </c>
      <c r="E11" s="2" t="s">
        <v>7</v>
      </c>
      <c r="F11" s="3"/>
      <c r="G11" s="17"/>
      <c r="H11" s="17">
        <v>0.6</v>
      </c>
      <c r="I11" s="17">
        <v>1</v>
      </c>
      <c r="J11" s="80" t="s">
        <v>1187</v>
      </c>
      <c r="K11" s="80" t="s">
        <v>747</v>
      </c>
      <c r="U11" s="3">
        <f>F11</f>
        <v>0</v>
      </c>
      <c r="V11" s="2" t="str">
        <f>C11</f>
        <v>K1.1</v>
      </c>
      <c r="W11" s="2"/>
      <c r="X11" s="17"/>
      <c r="Y11" s="37"/>
      <c r="Z11" s="37"/>
    </row>
    <row r="12" spans="2:26" ht="58.9" customHeight="1" x14ac:dyDescent="0.25">
      <c r="B12" s="36"/>
      <c r="C12" s="5" t="s">
        <v>560</v>
      </c>
      <c r="D12" s="81" t="s">
        <v>1188</v>
      </c>
      <c r="E12" s="5" t="s">
        <v>13</v>
      </c>
      <c r="F12" s="6"/>
      <c r="G12" s="4"/>
      <c r="H12" s="17">
        <v>0.6</v>
      </c>
      <c r="I12" s="17">
        <v>1</v>
      </c>
      <c r="J12" s="81" t="s">
        <v>1189</v>
      </c>
      <c r="K12" s="80" t="s">
        <v>747</v>
      </c>
      <c r="U12" s="6">
        <f t="shared" ref="U12:U19" si="0">F12</f>
        <v>0</v>
      </c>
      <c r="V12" s="2" t="str">
        <f>C12</f>
        <v>K3.1</v>
      </c>
      <c r="W12" s="5"/>
      <c r="X12" s="4"/>
      <c r="Y12" s="38"/>
      <c r="Z12" s="38"/>
    </row>
    <row r="13" spans="2:26" ht="58.9" customHeight="1" x14ac:dyDescent="0.25">
      <c r="B13" s="36"/>
      <c r="C13" s="5" t="s">
        <v>342</v>
      </c>
      <c r="D13" s="81" t="s">
        <v>1190</v>
      </c>
      <c r="E13" s="5" t="s">
        <v>22</v>
      </c>
      <c r="F13" s="6"/>
      <c r="G13" s="4"/>
      <c r="H13" s="17">
        <v>0.6</v>
      </c>
      <c r="I13" s="17">
        <v>1</v>
      </c>
      <c r="J13" s="80" t="s">
        <v>1191</v>
      </c>
      <c r="K13" s="81" t="s">
        <v>510</v>
      </c>
      <c r="U13" s="6">
        <f t="shared" si="0"/>
        <v>0</v>
      </c>
      <c r="V13" s="2" t="str">
        <f>C13</f>
        <v>S2.1</v>
      </c>
      <c r="W13" s="5"/>
      <c r="X13" s="4"/>
      <c r="Y13" s="38"/>
      <c r="Z13" s="38"/>
    </row>
    <row r="14" spans="2:26" ht="58.9" customHeight="1" x14ac:dyDescent="0.25">
      <c r="B14" s="36"/>
      <c r="C14" s="5" t="s">
        <v>752</v>
      </c>
      <c r="D14" s="81" t="s">
        <v>1192</v>
      </c>
      <c r="E14" s="5" t="s">
        <v>35</v>
      </c>
      <c r="F14" s="6"/>
      <c r="G14" s="4"/>
      <c r="H14" s="17">
        <v>0.6</v>
      </c>
      <c r="I14" s="17">
        <v>1</v>
      </c>
      <c r="J14" s="80" t="s">
        <v>1193</v>
      </c>
      <c r="K14" s="81" t="s">
        <v>1194</v>
      </c>
      <c r="U14" s="6">
        <f t="shared" si="0"/>
        <v>0</v>
      </c>
      <c r="V14" s="2" t="str">
        <f>C14</f>
        <v>S4.1</v>
      </c>
      <c r="W14" s="5"/>
      <c r="X14" s="4"/>
      <c r="Y14" s="38"/>
      <c r="Z14" s="38"/>
    </row>
    <row r="15" spans="2:26" ht="58.9" customHeight="1" x14ac:dyDescent="0.25">
      <c r="B15" s="36"/>
      <c r="C15" s="5" t="s">
        <v>300</v>
      </c>
      <c r="D15" s="81" t="s">
        <v>1195</v>
      </c>
      <c r="E15" s="5" t="s">
        <v>44</v>
      </c>
      <c r="F15" s="6"/>
      <c r="G15" s="4"/>
      <c r="H15" s="17">
        <v>0.6</v>
      </c>
      <c r="I15" s="17">
        <v>1</v>
      </c>
      <c r="J15" s="80" t="s">
        <v>1196</v>
      </c>
      <c r="K15" s="81" t="s">
        <v>1194</v>
      </c>
      <c r="U15" s="6">
        <f t="shared" si="0"/>
        <v>0</v>
      </c>
      <c r="V15" s="2" t="str">
        <f>C15</f>
        <v>V1.1</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K3.1</v>
      </c>
      <c r="H25" s="49" t="str">
        <f>C13</f>
        <v>S2.1</v>
      </c>
      <c r="I25" s="49" t="str">
        <f>C14</f>
        <v>S4.1</v>
      </c>
      <c r="J25" s="49" t="str">
        <f>C15</f>
        <v>V1.1</v>
      </c>
      <c r="K25" s="49">
        <f>C16</f>
        <v>0</v>
      </c>
      <c r="L25" s="49">
        <f>C17</f>
        <v>0</v>
      </c>
      <c r="M25" s="49">
        <f>C18</f>
        <v>0</v>
      </c>
      <c r="N25" s="49">
        <f>C19</f>
        <v>0</v>
      </c>
      <c r="O25" s="50" t="s">
        <v>305</v>
      </c>
    </row>
    <row r="26" spans="2:26" ht="30.4" customHeight="1" thickBot="1" x14ac:dyDescent="0.3">
      <c r="C26" s="51" t="s">
        <v>306</v>
      </c>
      <c r="D26" s="81" t="s">
        <v>1197</v>
      </c>
      <c r="E26" s="8">
        <v>4</v>
      </c>
      <c r="F26" s="8">
        <v>3</v>
      </c>
      <c r="G26" s="8">
        <v>1</v>
      </c>
      <c r="H26" s="8"/>
      <c r="I26" s="8"/>
      <c r="J26" s="8"/>
      <c r="K26" s="8"/>
      <c r="L26" s="8"/>
      <c r="M26" s="8"/>
      <c r="N26" s="8"/>
      <c r="O26" s="53" t="b">
        <f>IF(SUM(F26:N26)=E26,TRUE,"false")</f>
        <v>1</v>
      </c>
    </row>
    <row r="27" spans="2:26" ht="30.4" customHeight="1" thickBot="1" x14ac:dyDescent="0.3">
      <c r="C27" s="51" t="s">
        <v>307</v>
      </c>
      <c r="D27" s="81" t="s">
        <v>1198</v>
      </c>
      <c r="E27" s="8">
        <v>2</v>
      </c>
      <c r="F27" s="8">
        <v>2</v>
      </c>
      <c r="G27" s="8"/>
      <c r="H27" s="8"/>
      <c r="I27" s="8"/>
      <c r="J27" s="8"/>
      <c r="K27" s="8"/>
      <c r="L27" s="8"/>
      <c r="M27" s="8"/>
      <c r="N27" s="8"/>
      <c r="O27" s="53" t="b">
        <f t="shared" ref="O27:O40" si="1">IF(SUM(F27:N27)=E27,TRUE,"false")</f>
        <v>1</v>
      </c>
    </row>
    <row r="28" spans="2:26" ht="30.4" customHeight="1" thickBot="1" x14ac:dyDescent="0.3">
      <c r="C28" s="51" t="s">
        <v>308</v>
      </c>
      <c r="D28" s="81" t="s">
        <v>1199</v>
      </c>
      <c r="E28" s="8">
        <v>2</v>
      </c>
      <c r="F28" s="8">
        <v>2</v>
      </c>
      <c r="G28" s="8"/>
      <c r="H28" s="8"/>
      <c r="I28" s="8"/>
      <c r="J28" s="8"/>
      <c r="K28" s="8"/>
      <c r="L28" s="8"/>
      <c r="M28" s="8"/>
      <c r="N28" s="8"/>
      <c r="O28" s="53" t="b">
        <f t="shared" si="1"/>
        <v>1</v>
      </c>
    </row>
    <row r="29" spans="2:26" ht="30.4" customHeight="1" thickBot="1" x14ac:dyDescent="0.3">
      <c r="C29" s="51" t="s">
        <v>309</v>
      </c>
      <c r="D29" s="81" t="s">
        <v>1200</v>
      </c>
      <c r="E29" s="8">
        <v>2</v>
      </c>
      <c r="F29" s="8">
        <v>2</v>
      </c>
      <c r="G29" s="8"/>
      <c r="H29" s="8"/>
      <c r="I29" s="8"/>
      <c r="J29" s="8"/>
      <c r="K29" s="8"/>
      <c r="L29" s="8"/>
      <c r="M29" s="8"/>
      <c r="N29" s="8"/>
      <c r="O29" s="53" t="b">
        <f t="shared" si="1"/>
        <v>1</v>
      </c>
    </row>
    <row r="30" spans="2:26" ht="30.4" customHeight="1" thickBot="1" x14ac:dyDescent="0.3">
      <c r="C30" s="51" t="s">
        <v>310</v>
      </c>
      <c r="D30" s="81" t="s">
        <v>1201</v>
      </c>
      <c r="E30" s="8">
        <v>2</v>
      </c>
      <c r="F30" s="8">
        <v>1</v>
      </c>
      <c r="G30" s="8">
        <v>1</v>
      </c>
      <c r="H30" s="8"/>
      <c r="I30" s="8"/>
      <c r="J30" s="8"/>
      <c r="K30" s="8"/>
      <c r="L30" s="8"/>
      <c r="M30" s="8"/>
      <c r="N30" s="8"/>
      <c r="O30" s="53" t="b">
        <f t="shared" si="1"/>
        <v>1</v>
      </c>
    </row>
    <row r="31" spans="2:26" ht="30.4" customHeight="1" thickBot="1" x14ac:dyDescent="0.3">
      <c r="C31" s="51" t="s">
        <v>311</v>
      </c>
      <c r="D31" s="81" t="s">
        <v>1202</v>
      </c>
      <c r="E31" s="8">
        <v>2</v>
      </c>
      <c r="F31" s="8">
        <v>2</v>
      </c>
      <c r="G31" s="8"/>
      <c r="H31" s="8"/>
      <c r="I31" s="8"/>
      <c r="J31" s="8"/>
      <c r="K31" s="8"/>
      <c r="L31" s="8"/>
      <c r="M31" s="8"/>
      <c r="N31" s="8"/>
      <c r="O31" s="53" t="b">
        <f t="shared" si="1"/>
        <v>1</v>
      </c>
    </row>
    <row r="32" spans="2:26" ht="30.4" customHeight="1" thickBot="1" x14ac:dyDescent="0.3">
      <c r="C32" s="51" t="s">
        <v>312</v>
      </c>
      <c r="D32" s="81" t="s">
        <v>1203</v>
      </c>
      <c r="E32" s="8">
        <v>2</v>
      </c>
      <c r="F32" s="8">
        <v>1</v>
      </c>
      <c r="G32" s="8">
        <v>1</v>
      </c>
      <c r="H32" s="8"/>
      <c r="I32" s="8"/>
      <c r="J32" s="8"/>
      <c r="K32" s="8"/>
      <c r="L32" s="8"/>
      <c r="M32" s="8"/>
      <c r="N32" s="8"/>
      <c r="O32" s="53" t="b">
        <f t="shared" si="1"/>
        <v>1</v>
      </c>
    </row>
    <row r="33" spans="2:15" ht="30.4" customHeight="1" thickBot="1" x14ac:dyDescent="0.3">
      <c r="C33" s="51" t="s">
        <v>313</v>
      </c>
      <c r="D33" s="81" t="s">
        <v>1204</v>
      </c>
      <c r="E33" s="8">
        <v>4</v>
      </c>
      <c r="F33" s="8">
        <v>2</v>
      </c>
      <c r="G33" s="8"/>
      <c r="H33" s="8"/>
      <c r="I33" s="8">
        <v>1</v>
      </c>
      <c r="J33" s="8">
        <v>1</v>
      </c>
      <c r="K33" s="8"/>
      <c r="L33" s="8"/>
      <c r="M33" s="8"/>
      <c r="N33" s="8"/>
      <c r="O33" s="53" t="b">
        <f t="shared" si="1"/>
        <v>1</v>
      </c>
    </row>
    <row r="34" spans="2:15" ht="30.4" customHeight="1" thickBot="1" x14ac:dyDescent="0.3">
      <c r="C34" s="51" t="s">
        <v>314</v>
      </c>
      <c r="D34" s="81" t="s">
        <v>1205</v>
      </c>
      <c r="E34" s="8">
        <v>4</v>
      </c>
      <c r="F34" s="8">
        <v>2</v>
      </c>
      <c r="G34" s="8">
        <v>1</v>
      </c>
      <c r="H34" s="8">
        <v>1</v>
      </c>
      <c r="I34" s="8"/>
      <c r="J34" s="8"/>
      <c r="K34" s="8"/>
      <c r="L34" s="8"/>
      <c r="M34" s="8"/>
      <c r="N34" s="8"/>
      <c r="O34" s="53" t="b">
        <f t="shared" si="1"/>
        <v>1</v>
      </c>
    </row>
    <row r="35" spans="2:15" ht="30.4" customHeight="1" thickBot="1" x14ac:dyDescent="0.3">
      <c r="C35" s="51" t="s">
        <v>315</v>
      </c>
      <c r="D35" s="81" t="s">
        <v>1206</v>
      </c>
      <c r="E35" s="8">
        <v>2</v>
      </c>
      <c r="F35" s="8">
        <v>1</v>
      </c>
      <c r="G35" s="8"/>
      <c r="H35" s="8"/>
      <c r="I35" s="8">
        <v>1</v>
      </c>
      <c r="J35" s="8"/>
      <c r="K35" s="8"/>
      <c r="L35" s="8"/>
      <c r="M35" s="8"/>
      <c r="N35" s="8"/>
      <c r="O35" s="53" t="b">
        <f t="shared" si="1"/>
        <v>1</v>
      </c>
    </row>
    <row r="36" spans="2:15" ht="30.4" customHeight="1" thickBot="1" x14ac:dyDescent="0.3">
      <c r="C36" s="51" t="s">
        <v>316</v>
      </c>
      <c r="D36" s="81" t="s">
        <v>1207</v>
      </c>
      <c r="E36" s="8">
        <v>2</v>
      </c>
      <c r="F36" s="8"/>
      <c r="G36" s="8"/>
      <c r="H36" s="8">
        <v>1</v>
      </c>
      <c r="I36" s="8"/>
      <c r="J36" s="8">
        <v>1</v>
      </c>
      <c r="K36" s="8"/>
      <c r="L36" s="8"/>
      <c r="M36" s="8"/>
      <c r="N36" s="8"/>
      <c r="O36" s="53" t="b">
        <f t="shared" si="1"/>
        <v>1</v>
      </c>
    </row>
    <row r="37" spans="2:15" ht="30.4" customHeight="1" thickBot="1" x14ac:dyDescent="0.3">
      <c r="C37" s="51" t="s">
        <v>317</v>
      </c>
      <c r="D37" s="81" t="s">
        <v>1208</v>
      </c>
      <c r="E37" s="8">
        <v>2</v>
      </c>
      <c r="F37" s="8">
        <v>1</v>
      </c>
      <c r="G37" s="8"/>
      <c r="H37" s="8">
        <v>1</v>
      </c>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19</v>
      </c>
      <c r="G40" s="52">
        <f t="shared" si="2"/>
        <v>4</v>
      </c>
      <c r="H40" s="52">
        <f t="shared" si="2"/>
        <v>3</v>
      </c>
      <c r="I40" s="52">
        <f t="shared" si="2"/>
        <v>2</v>
      </c>
      <c r="J40" s="52">
        <f t="shared" si="2"/>
        <v>2</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0.63</v>
      </c>
      <c r="G41" s="54">
        <f>ROUND(G40/E40,2)</f>
        <v>0.13</v>
      </c>
      <c r="H41" s="54">
        <f>ROUND(H40/E40,2)</f>
        <v>0.1</v>
      </c>
      <c r="I41" s="54">
        <f>ROUND(I40/E40,2)</f>
        <v>7.0000000000000007E-2</v>
      </c>
      <c r="J41" s="54">
        <f>ROUND(J40/E40,2)</f>
        <v>7.0000000000000007E-2</v>
      </c>
      <c r="K41" s="54">
        <f>ROUND(K40/E40,2)</f>
        <v>0</v>
      </c>
      <c r="L41" s="54">
        <f>ROUND(L40/E40,2)</f>
        <v>0</v>
      </c>
      <c r="M41" s="54">
        <f>ROUND(M40/E40,2)</f>
        <v>0</v>
      </c>
      <c r="N41" s="54">
        <f>ROUND(N40/E40,2)</f>
        <v>0</v>
      </c>
      <c r="O41" s="54">
        <f>SUM(F41:N41)</f>
        <v>1</v>
      </c>
    </row>
    <row r="42" spans="2:15" ht="55.9" customHeight="1" x14ac:dyDescent="0.25">
      <c r="C42" s="151" t="s">
        <v>322</v>
      </c>
      <c r="D42" s="151"/>
      <c r="E42" s="151"/>
      <c r="F42" s="7">
        <v>65</v>
      </c>
      <c r="G42" s="7">
        <v>15</v>
      </c>
      <c r="H42" s="7">
        <v>10</v>
      </c>
      <c r="I42" s="7">
        <v>5</v>
      </c>
      <c r="J42" s="7">
        <v>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K3.1</v>
      </c>
      <c r="G46" s="59" t="str">
        <f>C13</f>
        <v>S2.1</v>
      </c>
      <c r="H46" s="59" t="str">
        <f>C14</f>
        <v>S4.1</v>
      </c>
      <c r="I46" s="59" t="str">
        <f>C15</f>
        <v>V1.1</v>
      </c>
      <c r="J46" s="59">
        <f>C16</f>
        <v>0</v>
      </c>
      <c r="K46" s="59">
        <f>C17</f>
        <v>0</v>
      </c>
      <c r="L46" s="59">
        <f>C18</f>
        <v>0</v>
      </c>
      <c r="M46" s="59">
        <f>C19</f>
        <v>0</v>
      </c>
      <c r="N46" s="60" t="s">
        <v>327</v>
      </c>
    </row>
    <row r="47" spans="2:15" ht="55.15" customHeight="1" x14ac:dyDescent="0.25">
      <c r="C47" s="9" t="s">
        <v>328</v>
      </c>
      <c r="D47" s="10">
        <v>25</v>
      </c>
      <c r="E47" s="8">
        <v>20</v>
      </c>
      <c r="F47" s="8">
        <v>5</v>
      </c>
      <c r="G47" s="8"/>
      <c r="H47" s="8"/>
      <c r="I47" s="8"/>
      <c r="J47" s="8"/>
      <c r="K47" s="8"/>
      <c r="L47" s="8"/>
      <c r="M47" s="8"/>
      <c r="N47" s="55" t="b">
        <f t="shared" ref="N47:N54" si="3">IF(SUM(E47:M47)=D47,TRUE,"false")</f>
        <v>1</v>
      </c>
    </row>
    <row r="48" spans="2:15" ht="55.15" customHeight="1" x14ac:dyDescent="0.25">
      <c r="C48" s="9" t="s">
        <v>409</v>
      </c>
      <c r="D48" s="10">
        <v>5</v>
      </c>
      <c r="E48" s="11">
        <v>5</v>
      </c>
      <c r="F48" s="12"/>
      <c r="G48" s="12"/>
      <c r="H48" s="12"/>
      <c r="I48" s="12"/>
      <c r="J48" s="12"/>
      <c r="K48" s="12"/>
      <c r="L48" s="12"/>
      <c r="M48" s="12"/>
      <c r="N48" s="55" t="b">
        <f t="shared" si="3"/>
        <v>1</v>
      </c>
    </row>
    <row r="49" spans="3:14" ht="55.15" customHeight="1" x14ac:dyDescent="0.25">
      <c r="C49" s="9" t="s">
        <v>411</v>
      </c>
      <c r="D49" s="10"/>
      <c r="E49" s="11"/>
      <c r="F49" s="12"/>
      <c r="G49" s="12"/>
      <c r="H49" s="12"/>
      <c r="I49" s="12"/>
      <c r="J49" s="12"/>
      <c r="K49" s="12"/>
      <c r="L49" s="12"/>
      <c r="M49" s="12"/>
      <c r="N49" s="55" t="b">
        <f t="shared" si="3"/>
        <v>1</v>
      </c>
    </row>
    <row r="50" spans="3:14" ht="55.15" customHeight="1" x14ac:dyDescent="0.25">
      <c r="C50" s="9" t="s">
        <v>331</v>
      </c>
      <c r="D50" s="10">
        <v>10</v>
      </c>
      <c r="E50" s="11"/>
      <c r="F50" s="12"/>
      <c r="G50" s="12">
        <v>10</v>
      </c>
      <c r="H50" s="12"/>
      <c r="I50" s="12"/>
      <c r="J50" s="12"/>
      <c r="K50" s="12"/>
      <c r="L50" s="12"/>
      <c r="M50" s="12"/>
      <c r="N50" s="55" t="b">
        <f t="shared" si="3"/>
        <v>1</v>
      </c>
    </row>
    <row r="51" spans="3:14" ht="55.15" customHeight="1" x14ac:dyDescent="0.25">
      <c r="C51" s="9" t="s">
        <v>332</v>
      </c>
      <c r="D51" s="10">
        <v>10</v>
      </c>
      <c r="E51" s="11"/>
      <c r="F51" s="12"/>
      <c r="G51" s="12"/>
      <c r="H51" s="12">
        <v>5</v>
      </c>
      <c r="I51" s="12">
        <v>5</v>
      </c>
      <c r="J51" s="12"/>
      <c r="K51" s="12"/>
      <c r="L51" s="12"/>
      <c r="M51" s="12"/>
      <c r="N51" s="55" t="b">
        <f t="shared" si="3"/>
        <v>1</v>
      </c>
    </row>
    <row r="52" spans="3:14" ht="55.15" customHeight="1" x14ac:dyDescent="0.25">
      <c r="C52" s="9" t="s">
        <v>504</v>
      </c>
      <c r="D52" s="10">
        <v>50</v>
      </c>
      <c r="E52" s="11">
        <v>40</v>
      </c>
      <c r="F52" s="12">
        <v>10</v>
      </c>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65</v>
      </c>
      <c r="F56" s="65">
        <f t="shared" si="5"/>
        <v>15</v>
      </c>
      <c r="G56" s="65">
        <f t="shared" si="5"/>
        <v>10</v>
      </c>
      <c r="H56" s="65">
        <f t="shared" si="5"/>
        <v>5</v>
      </c>
      <c r="I56" s="65">
        <f t="shared" si="5"/>
        <v>5</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551" priority="11">
      <formula>LEN(TRIM(D47))=0</formula>
    </cfRule>
    <cfRule type="cellIs" dxfId="1550" priority="12" operator="equal">
      <formula>0</formula>
    </cfRule>
  </conditionalFormatting>
  <conditionalFormatting sqref="E50">
    <cfRule type="containsBlanks" dxfId="1549" priority="21">
      <formula>LEN(TRIM(E50))=0</formula>
    </cfRule>
    <cfRule type="cellIs" dxfId="1548" priority="22" operator="equal">
      <formula>0</formula>
    </cfRule>
  </conditionalFormatting>
  <conditionalFormatting sqref="E47:M51 E52">
    <cfRule type="containsBlanks" dxfId="1547" priority="17">
      <formula>LEN(TRIM(E47))=0</formula>
    </cfRule>
    <cfRule type="cellIs" dxfId="1546" priority="18" operator="equal">
      <formula>0</formula>
    </cfRule>
  </conditionalFormatting>
  <conditionalFormatting sqref="E53:M54">
    <cfRule type="containsBlanks" dxfId="1545" priority="15">
      <formula>LEN(TRIM(E53))=0</formula>
    </cfRule>
    <cfRule type="cellIs" dxfId="1544" priority="16" operator="equal">
      <formula>0</formula>
    </cfRule>
  </conditionalFormatting>
  <conditionalFormatting sqref="E55:M55">
    <cfRule type="containsText" dxfId="1543" priority="5" operator="containsText" text="false">
      <formula>NOT(ISERROR(SEARCH("false",E55)))</formula>
    </cfRule>
    <cfRule type="containsText" dxfId="1542" priority="6" operator="containsText" text="true">
      <formula>NOT(ISERROR(SEARCH("true",E55)))</formula>
    </cfRule>
  </conditionalFormatting>
  <conditionalFormatting sqref="E26:N39">
    <cfRule type="containsBlanks" dxfId="1541" priority="3">
      <formula>LEN(TRIM(E26))=0</formula>
    </cfRule>
    <cfRule type="cellIs" dxfId="1540" priority="4" operator="equal">
      <formula>0</formula>
    </cfRule>
  </conditionalFormatting>
  <conditionalFormatting sqref="F48:M48">
    <cfRule type="containsBlanks" dxfId="1539" priority="23">
      <formula>LEN(TRIM(F48))=0</formula>
    </cfRule>
    <cfRule type="cellIs" dxfId="1538" priority="24" operator="equal">
      <formula>0</formula>
    </cfRule>
  </conditionalFormatting>
  <conditionalFormatting sqref="F50:M52">
    <cfRule type="containsBlanks" dxfId="1537" priority="19">
      <formula>LEN(TRIM(F50))=0</formula>
    </cfRule>
    <cfRule type="cellIs" dxfId="1536" priority="20" operator="equal">
      <formula>0</formula>
    </cfRule>
  </conditionalFormatting>
  <conditionalFormatting sqref="N47:N54">
    <cfRule type="containsText" dxfId="1535" priority="7" operator="containsText" text="false">
      <formula>NOT(ISERROR(SEARCH("false",N47)))</formula>
    </cfRule>
    <cfRule type="containsText" dxfId="1534" priority="8" operator="containsText" text="true">
      <formula>NOT(ISERROR(SEARCH("true",N47)))</formula>
    </cfRule>
  </conditionalFormatting>
  <conditionalFormatting sqref="N55">
    <cfRule type="containsBlanks" dxfId="1533" priority="13">
      <formula>LEN(TRIM(N55))=0</formula>
    </cfRule>
    <cfRule type="cellIs" dxfId="1532" priority="14" operator="equal">
      <formula>0</formula>
    </cfRule>
  </conditionalFormatting>
  <conditionalFormatting sqref="O26:O40">
    <cfRule type="containsText" dxfId="1531" priority="9" operator="containsText" text="false">
      <formula>NOT(ISERROR(SEARCH("false",O26)))</formula>
    </cfRule>
    <cfRule type="containsText" dxfId="1530" priority="10" operator="containsText" text="true">
      <formula>NOT(ISERROR(SEARCH("true",O26)))</formula>
    </cfRule>
  </conditionalFormatting>
  <conditionalFormatting sqref="O42">
    <cfRule type="cellIs" dxfId="1529" priority="1" operator="notEqual">
      <formula>100</formula>
    </cfRule>
    <cfRule type="cellIs" dxfId="1528" priority="2"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'Name and Course code'!$B$2:$B$76</xm:f>
          </x14:formula1>
          <xm:sqref>I6</xm:sqref>
        </x14:dataValidation>
        <x14:dataValidation type="list" allowBlank="1" showInputMessage="1" showErrorMessage="1" xr:uid="{00000000-0002-0000-0C00-000001000000}">
          <x14:formula1>
            <xm:f>'Name and Course code'!$A$2:$A$76</xm:f>
          </x14:formula1>
          <xm:sqref>K6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3B23E-4CA2-4067-BF09-3DB9624E197D}">
  <sheetPr>
    <tabColor theme="8" tint="0.39997558519241921"/>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6.8554687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130</v>
      </c>
      <c r="J6" s="43" t="s">
        <v>278</v>
      </c>
      <c r="K6" s="1" t="s">
        <v>129</v>
      </c>
    </row>
    <row r="7" spans="2:26" ht="72.599999999999994" customHeight="1" thickBot="1" x14ac:dyDescent="0.3">
      <c r="B7" s="160"/>
      <c r="C7" s="161"/>
      <c r="D7" s="43" t="s">
        <v>279</v>
      </c>
      <c r="E7" s="1">
        <v>1</v>
      </c>
      <c r="F7" s="43" t="s">
        <v>280</v>
      </c>
      <c r="G7" s="1">
        <v>1</v>
      </c>
      <c r="H7" s="43" t="s">
        <v>281</v>
      </c>
      <c r="I7" s="1" t="s">
        <v>282</v>
      </c>
      <c r="J7" s="43" t="s">
        <v>283</v>
      </c>
      <c r="K7" s="1" t="s">
        <v>284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35">
      <c r="B11" s="36"/>
      <c r="C11" s="2" t="s">
        <v>297</v>
      </c>
      <c r="D11" s="101" t="s">
        <v>1524</v>
      </c>
      <c r="E11" s="2" t="s">
        <v>7</v>
      </c>
      <c r="F11" s="3"/>
      <c r="G11" s="17"/>
      <c r="H11" s="17">
        <v>0.6</v>
      </c>
      <c r="I11" s="17">
        <v>1</v>
      </c>
      <c r="J11" s="102" t="s">
        <v>1525</v>
      </c>
      <c r="K11" s="89" t="s">
        <v>1533</v>
      </c>
      <c r="U11" s="3">
        <f>F11</f>
        <v>0</v>
      </c>
      <c r="V11" s="2" t="str">
        <f>C11</f>
        <v>K1.1</v>
      </c>
      <c r="W11" s="2"/>
      <c r="X11" s="17"/>
      <c r="Y11" s="37"/>
      <c r="Z11" s="37"/>
    </row>
    <row r="12" spans="2:26" ht="100.9" customHeight="1" x14ac:dyDescent="0.35">
      <c r="B12" s="36"/>
      <c r="C12" s="5" t="s">
        <v>298</v>
      </c>
      <c r="D12" s="101" t="s">
        <v>1711</v>
      </c>
      <c r="E12" s="5" t="s">
        <v>7</v>
      </c>
      <c r="F12" s="6"/>
      <c r="G12" s="4"/>
      <c r="H12" s="17">
        <v>0.6</v>
      </c>
      <c r="I12" s="17">
        <v>1</v>
      </c>
      <c r="J12" s="102" t="s">
        <v>1525</v>
      </c>
      <c r="K12" s="89" t="s">
        <v>1533</v>
      </c>
      <c r="U12" s="6">
        <f t="shared" ref="U12:U19" si="0">F12</f>
        <v>0</v>
      </c>
      <c r="V12" s="2" t="str">
        <f>C12</f>
        <v>K1.2</v>
      </c>
      <c r="W12" s="5"/>
      <c r="X12" s="4"/>
      <c r="Y12" s="38"/>
      <c r="Z12" s="38"/>
    </row>
    <row r="13" spans="2:26" ht="102" customHeight="1" x14ac:dyDescent="0.25">
      <c r="B13" s="36"/>
      <c r="C13" s="5" t="s">
        <v>441</v>
      </c>
      <c r="D13" s="81" t="s">
        <v>1526</v>
      </c>
      <c r="E13" s="6" t="s">
        <v>39</v>
      </c>
      <c r="F13" s="6"/>
      <c r="G13" s="4"/>
      <c r="H13" s="17">
        <v>0.6</v>
      </c>
      <c r="I13" s="17">
        <v>1</v>
      </c>
      <c r="J13" s="81" t="s">
        <v>1658</v>
      </c>
      <c r="K13" s="84" t="s">
        <v>1618</v>
      </c>
      <c r="U13" s="6">
        <f t="shared" si="0"/>
        <v>0</v>
      </c>
      <c r="V13" s="2" t="str">
        <f>C13</f>
        <v>S6.1</v>
      </c>
      <c r="W13" s="5"/>
      <c r="X13" s="4"/>
      <c r="Y13" s="38"/>
      <c r="Z13" s="38"/>
    </row>
    <row r="14" spans="2:26" ht="58.9" customHeight="1" x14ac:dyDescent="0.35">
      <c r="B14" s="36"/>
      <c r="C14" s="5" t="s">
        <v>445</v>
      </c>
      <c r="D14" s="101" t="s">
        <v>1527</v>
      </c>
      <c r="E14" s="6" t="s">
        <v>31</v>
      </c>
      <c r="G14" s="4"/>
      <c r="H14" s="17">
        <v>0.6</v>
      </c>
      <c r="I14" s="17">
        <v>1</v>
      </c>
      <c r="J14" s="84" t="s">
        <v>1528</v>
      </c>
      <c r="K14" s="84" t="s">
        <v>1529</v>
      </c>
      <c r="U14" s="6">
        <f t="shared" si="0"/>
        <v>0</v>
      </c>
      <c r="V14" s="2" t="str">
        <f>C14</f>
        <v>S7.1</v>
      </c>
      <c r="W14" s="5"/>
      <c r="X14" s="4"/>
      <c r="Y14" s="38"/>
      <c r="Z14" s="38"/>
    </row>
    <row r="15" spans="2:26" ht="58.9" customHeight="1" x14ac:dyDescent="0.35">
      <c r="B15" s="36"/>
      <c r="C15" s="5" t="s">
        <v>300</v>
      </c>
      <c r="D15" s="101" t="s">
        <v>1530</v>
      </c>
      <c r="E15" s="6" t="s">
        <v>44</v>
      </c>
      <c r="G15" s="4"/>
      <c r="H15" s="17">
        <v>0.6</v>
      </c>
      <c r="I15" s="17">
        <v>1</v>
      </c>
      <c r="J15" s="102" t="s">
        <v>1531</v>
      </c>
      <c r="K15" s="102" t="s">
        <v>1532</v>
      </c>
      <c r="U15" s="6">
        <f t="shared" si="0"/>
        <v>0</v>
      </c>
      <c r="V15" s="2" t="str">
        <f>C15</f>
        <v>V1.1</v>
      </c>
      <c r="W15" s="5"/>
      <c r="X15" s="4"/>
      <c r="Y15" s="38"/>
      <c r="Z15" s="38"/>
    </row>
    <row r="16" spans="2:26" ht="58.9" customHeight="1" x14ac:dyDescent="0.25">
      <c r="B16" s="36"/>
      <c r="C16" s="5"/>
      <c r="D16" s="79"/>
      <c r="E16" s="5"/>
      <c r="F16" s="6"/>
      <c r="G16" s="4"/>
      <c r="H16" s="17"/>
      <c r="I16" s="17"/>
      <c r="J16" s="84"/>
      <c r="K16" s="84"/>
      <c r="U16" s="6"/>
      <c r="V16" s="2"/>
      <c r="W16" s="5"/>
      <c r="X16" s="4"/>
      <c r="Y16" s="38"/>
      <c r="Z16" s="38"/>
    </row>
    <row r="17" spans="2:26" ht="58.9" customHeight="1" x14ac:dyDescent="0.25">
      <c r="B17" s="36"/>
      <c r="C17" s="5"/>
      <c r="D17" s="79"/>
      <c r="E17" s="5"/>
      <c r="F17" s="6"/>
      <c r="G17" s="4"/>
      <c r="H17" s="17"/>
      <c r="I17" s="17"/>
      <c r="J17" s="84"/>
      <c r="K17" s="5"/>
      <c r="U17" s="6">
        <f t="shared" si="0"/>
        <v>0</v>
      </c>
      <c r="V17" s="2">
        <f>C17</f>
        <v>0</v>
      </c>
      <c r="W17" s="5"/>
      <c r="X17" s="4"/>
      <c r="Y17" s="38"/>
      <c r="Z17" s="38"/>
    </row>
    <row r="18" spans="2:26" ht="58.9" customHeight="1" x14ac:dyDescent="0.25">
      <c r="B18" s="36"/>
      <c r="C18" s="5"/>
      <c r="D18" s="79"/>
      <c r="E18" s="5"/>
      <c r="F18" s="5"/>
      <c r="G18" s="5"/>
      <c r="H18" s="17"/>
      <c r="I18" s="17"/>
      <c r="J18" s="5"/>
      <c r="K18" s="5"/>
      <c r="U18" s="6">
        <f t="shared" si="0"/>
        <v>0</v>
      </c>
      <c r="V18" s="2">
        <f>C18</f>
        <v>0</v>
      </c>
      <c r="W18" s="5"/>
      <c r="X18" s="5"/>
      <c r="Y18" s="39"/>
      <c r="Z18" s="39"/>
    </row>
    <row r="19" spans="2:26" ht="58.9" customHeight="1" x14ac:dyDescent="0.25">
      <c r="B19" s="36"/>
      <c r="C19" s="5"/>
      <c r="D19" s="79"/>
      <c r="E19" s="5"/>
      <c r="F19" s="5"/>
      <c r="G19" s="5"/>
      <c r="H19" s="17"/>
      <c r="I19" s="17"/>
      <c r="J19" s="84"/>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S6.1</v>
      </c>
      <c r="I25" s="49" t="str">
        <f>C14</f>
        <v>S7.1</v>
      </c>
      <c r="J25" s="49" t="str">
        <f>C15</f>
        <v>V1.1</v>
      </c>
      <c r="K25" s="49">
        <f>C16</f>
        <v>0</v>
      </c>
      <c r="L25" s="49">
        <f>C17</f>
        <v>0</v>
      </c>
      <c r="M25" s="49">
        <f>C18</f>
        <v>0</v>
      </c>
      <c r="N25" s="49">
        <f>C19</f>
        <v>0</v>
      </c>
      <c r="O25" s="50" t="s">
        <v>305</v>
      </c>
    </row>
    <row r="26" spans="2:26" ht="46.5" customHeight="1" thickBot="1" x14ac:dyDescent="0.3">
      <c r="C26" s="51" t="s">
        <v>306</v>
      </c>
      <c r="D26" s="122" t="s">
        <v>1534</v>
      </c>
      <c r="E26" s="8">
        <v>6</v>
      </c>
      <c r="F26" s="8">
        <v>2</v>
      </c>
      <c r="G26" s="8">
        <v>2</v>
      </c>
      <c r="H26" s="8">
        <v>1</v>
      </c>
      <c r="I26" s="8">
        <v>1</v>
      </c>
      <c r="J26" s="8"/>
      <c r="K26" s="8"/>
      <c r="L26" s="8"/>
      <c r="M26" s="8"/>
      <c r="N26" s="8"/>
      <c r="O26" s="53" t="b">
        <f>IF(SUM(F26:N26)=E26,TRUE,"false")</f>
        <v>1</v>
      </c>
    </row>
    <row r="27" spans="2:26" ht="30.4" customHeight="1" thickBot="1" x14ac:dyDescent="0.3">
      <c r="C27" s="51" t="s">
        <v>307</v>
      </c>
      <c r="D27" s="122" t="s">
        <v>1535</v>
      </c>
      <c r="E27" s="8">
        <v>6</v>
      </c>
      <c r="F27" s="8">
        <v>2</v>
      </c>
      <c r="G27" s="8">
        <v>2</v>
      </c>
      <c r="H27" s="8">
        <v>1</v>
      </c>
      <c r="I27" s="8">
        <v>1</v>
      </c>
      <c r="J27" s="8"/>
      <c r="K27" s="8"/>
      <c r="L27" s="8"/>
      <c r="M27" s="8"/>
      <c r="N27" s="8"/>
      <c r="O27" s="53" t="b">
        <f t="shared" ref="O27:O40" si="1">IF(SUM(F27:N27)=E27,TRUE,"false")</f>
        <v>1</v>
      </c>
    </row>
    <row r="28" spans="2:26" ht="30.4" customHeight="1" thickBot="1" x14ac:dyDescent="0.3">
      <c r="C28" s="51" t="s">
        <v>308</v>
      </c>
      <c r="D28" s="123" t="s">
        <v>1536</v>
      </c>
      <c r="E28" s="8">
        <v>4</v>
      </c>
      <c r="F28" s="8">
        <v>2</v>
      </c>
      <c r="G28" s="8">
        <v>0.5</v>
      </c>
      <c r="H28" s="8">
        <v>0.5</v>
      </c>
      <c r="I28" s="8">
        <v>1</v>
      </c>
      <c r="J28" s="8"/>
      <c r="K28" s="8"/>
      <c r="L28" s="8"/>
      <c r="M28" s="8"/>
      <c r="N28" s="8"/>
      <c r="O28" s="53" t="b">
        <f t="shared" si="1"/>
        <v>1</v>
      </c>
    </row>
    <row r="29" spans="2:26" ht="30.4" customHeight="1" thickBot="1" x14ac:dyDescent="0.3">
      <c r="C29" s="51" t="s">
        <v>309</v>
      </c>
      <c r="D29" s="123" t="s">
        <v>1537</v>
      </c>
      <c r="E29" s="8">
        <v>4</v>
      </c>
      <c r="F29" s="8">
        <v>1</v>
      </c>
      <c r="G29" s="8">
        <v>0.5</v>
      </c>
      <c r="H29" s="8">
        <v>1</v>
      </c>
      <c r="I29" s="8">
        <v>1</v>
      </c>
      <c r="J29" s="8">
        <v>0.5</v>
      </c>
      <c r="K29" s="8"/>
      <c r="L29" s="8"/>
      <c r="M29" s="8"/>
      <c r="N29" s="8"/>
      <c r="O29" s="53" t="b">
        <f t="shared" si="1"/>
        <v>1</v>
      </c>
    </row>
    <row r="30" spans="2:26" ht="30.4" customHeight="1" thickBot="1" x14ac:dyDescent="0.3">
      <c r="C30" s="51" t="s">
        <v>310</v>
      </c>
      <c r="D30" s="123" t="s">
        <v>1538</v>
      </c>
      <c r="E30" s="8">
        <v>4</v>
      </c>
      <c r="F30" s="8">
        <v>1</v>
      </c>
      <c r="G30" s="8">
        <v>1</v>
      </c>
      <c r="H30" s="8">
        <v>0.5</v>
      </c>
      <c r="I30" s="8">
        <v>1</v>
      </c>
      <c r="J30" s="8">
        <v>0.5</v>
      </c>
      <c r="K30" s="8"/>
      <c r="L30" s="8"/>
      <c r="M30" s="8"/>
      <c r="N30" s="8"/>
      <c r="O30" s="53" t="b">
        <f t="shared" si="1"/>
        <v>1</v>
      </c>
    </row>
    <row r="31" spans="2:26" ht="30.4" customHeight="1" thickBot="1" x14ac:dyDescent="0.3">
      <c r="C31" s="51" t="s">
        <v>311</v>
      </c>
      <c r="D31" s="123" t="s">
        <v>1539</v>
      </c>
      <c r="E31" s="8">
        <v>4</v>
      </c>
      <c r="F31" s="8">
        <v>2</v>
      </c>
      <c r="G31" s="8">
        <v>0.5</v>
      </c>
      <c r="H31" s="8">
        <v>0.5</v>
      </c>
      <c r="I31" s="8">
        <v>1</v>
      </c>
      <c r="J31" s="8"/>
      <c r="K31" s="8"/>
      <c r="L31" s="8"/>
      <c r="M31" s="8"/>
      <c r="N31" s="8"/>
      <c r="O31" s="53" t="b">
        <f t="shared" si="1"/>
        <v>1</v>
      </c>
    </row>
    <row r="32" spans="2:26" ht="30.4" customHeight="1" thickBot="1" x14ac:dyDescent="0.3">
      <c r="C32" s="51" t="s">
        <v>312</v>
      </c>
      <c r="D32" s="123" t="s">
        <v>1540</v>
      </c>
      <c r="E32" s="8">
        <v>4</v>
      </c>
      <c r="F32" s="8">
        <v>1</v>
      </c>
      <c r="G32" s="8">
        <v>1</v>
      </c>
      <c r="H32" s="8">
        <v>0.5</v>
      </c>
      <c r="I32" s="8">
        <v>1</v>
      </c>
      <c r="J32" s="8">
        <v>0.5</v>
      </c>
      <c r="K32" s="8"/>
      <c r="L32" s="8"/>
      <c r="M32" s="8"/>
      <c r="N32" s="8"/>
      <c r="O32" s="53" t="b">
        <f t="shared" si="1"/>
        <v>1</v>
      </c>
    </row>
    <row r="33" spans="2:15" ht="30.4" customHeight="1" thickBot="1" x14ac:dyDescent="0.3">
      <c r="C33" s="51" t="s">
        <v>313</v>
      </c>
      <c r="D33" s="123" t="s">
        <v>1541</v>
      </c>
      <c r="E33" s="8">
        <v>4</v>
      </c>
      <c r="F33" s="8">
        <v>1</v>
      </c>
      <c r="G33" s="8">
        <v>0.5</v>
      </c>
      <c r="H33" s="8">
        <v>0.5</v>
      </c>
      <c r="I33" s="8">
        <v>1</v>
      </c>
      <c r="J33" s="8">
        <v>1</v>
      </c>
      <c r="K33" s="8"/>
      <c r="L33" s="8"/>
      <c r="M33" s="8"/>
      <c r="N33" s="8"/>
      <c r="O33" s="53" t="b">
        <f t="shared" si="1"/>
        <v>1</v>
      </c>
    </row>
    <row r="34" spans="2:15" ht="30.4" customHeight="1" thickBot="1" x14ac:dyDescent="0.3">
      <c r="C34" s="51" t="s">
        <v>314</v>
      </c>
      <c r="D34" s="123" t="s">
        <v>1542</v>
      </c>
      <c r="E34" s="8">
        <v>4</v>
      </c>
      <c r="F34" s="8">
        <v>1</v>
      </c>
      <c r="G34" s="8">
        <v>1</v>
      </c>
      <c r="H34" s="8">
        <v>0.5</v>
      </c>
      <c r="I34" s="8">
        <v>1</v>
      </c>
      <c r="J34" s="8">
        <v>0.5</v>
      </c>
      <c r="K34" s="8"/>
      <c r="L34" s="8"/>
      <c r="M34" s="8"/>
      <c r="N34" s="8"/>
      <c r="O34" s="53" t="b">
        <f t="shared" si="1"/>
        <v>1</v>
      </c>
    </row>
    <row r="35" spans="2:15" ht="30.4" customHeight="1" thickBot="1" x14ac:dyDescent="0.3">
      <c r="C35" s="51" t="s">
        <v>315</v>
      </c>
      <c r="D35" s="123" t="s">
        <v>1543</v>
      </c>
      <c r="E35" s="8">
        <v>4</v>
      </c>
      <c r="F35" s="8">
        <v>1</v>
      </c>
      <c r="G35" s="8">
        <v>0.5</v>
      </c>
      <c r="H35" s="8">
        <v>0.5</v>
      </c>
      <c r="I35" s="8">
        <v>1</v>
      </c>
      <c r="J35" s="8">
        <v>1</v>
      </c>
      <c r="K35" s="8"/>
      <c r="L35" s="8"/>
      <c r="M35" s="8"/>
      <c r="N35" s="8"/>
      <c r="O35" s="53" t="b">
        <f t="shared" si="1"/>
        <v>1</v>
      </c>
    </row>
    <row r="36" spans="2:15" ht="30.4" customHeight="1" thickBot="1" x14ac:dyDescent="0.3">
      <c r="C36" s="51" t="s">
        <v>316</v>
      </c>
      <c r="D36" s="123" t="s">
        <v>1544</v>
      </c>
      <c r="E36" s="8">
        <v>4</v>
      </c>
      <c r="F36" s="8">
        <v>2</v>
      </c>
      <c r="G36" s="8">
        <v>0.5</v>
      </c>
      <c r="H36" s="8">
        <v>0.5</v>
      </c>
      <c r="I36" s="8">
        <v>1</v>
      </c>
      <c r="J36" s="8"/>
      <c r="K36" s="8"/>
      <c r="L36" s="8"/>
      <c r="M36" s="8"/>
      <c r="N36" s="8"/>
      <c r="O36" s="53" t="b">
        <f t="shared" si="1"/>
        <v>1</v>
      </c>
    </row>
    <row r="37" spans="2:15" ht="30.4" customHeight="1" thickBot="1" x14ac:dyDescent="0.3">
      <c r="C37" s="51" t="s">
        <v>317</v>
      </c>
      <c r="D37" s="123" t="s">
        <v>1545</v>
      </c>
      <c r="E37" s="8">
        <v>4</v>
      </c>
      <c r="F37" s="8">
        <v>1</v>
      </c>
      <c r="G37" s="8">
        <v>0.5</v>
      </c>
      <c r="H37" s="8">
        <v>1</v>
      </c>
      <c r="I37" s="8">
        <v>1</v>
      </c>
      <c r="J37" s="8">
        <v>0.5</v>
      </c>
      <c r="K37" s="8"/>
      <c r="L37" s="8"/>
      <c r="M37" s="8"/>
      <c r="N37" s="8"/>
      <c r="O37" s="53" t="b">
        <f t="shared" si="1"/>
        <v>1</v>
      </c>
    </row>
    <row r="38" spans="2:15" ht="30.4" customHeight="1" thickBot="1" x14ac:dyDescent="0.3">
      <c r="C38" s="51" t="s">
        <v>318</v>
      </c>
      <c r="D38" s="124" t="s">
        <v>1546</v>
      </c>
      <c r="E38" s="8">
        <v>4</v>
      </c>
      <c r="F38" s="8">
        <v>2</v>
      </c>
      <c r="G38" s="8">
        <v>0.5</v>
      </c>
      <c r="H38" s="8">
        <v>0.5</v>
      </c>
      <c r="I38" s="8">
        <v>0.5</v>
      </c>
      <c r="J38" s="8">
        <v>0.5</v>
      </c>
      <c r="K38" s="8"/>
      <c r="L38" s="8"/>
      <c r="M38" s="8"/>
      <c r="N38" s="8"/>
      <c r="O38" s="53" t="b">
        <f t="shared" si="1"/>
        <v>1</v>
      </c>
    </row>
    <row r="39" spans="2:15" ht="30.4" customHeight="1" x14ac:dyDescent="0.25">
      <c r="C39" s="51" t="s">
        <v>319</v>
      </c>
      <c r="D39" s="124" t="s">
        <v>1547</v>
      </c>
      <c r="E39" s="8">
        <v>4</v>
      </c>
      <c r="F39" s="8">
        <v>1</v>
      </c>
      <c r="G39" s="8">
        <v>0.5</v>
      </c>
      <c r="H39" s="8">
        <v>0.5</v>
      </c>
      <c r="I39" s="8">
        <v>1</v>
      </c>
      <c r="J39" s="8">
        <v>1</v>
      </c>
      <c r="K39" s="8"/>
      <c r="L39" s="8"/>
      <c r="M39" s="8"/>
      <c r="N39" s="8"/>
      <c r="O39" s="53" t="b">
        <f t="shared" si="1"/>
        <v>1</v>
      </c>
    </row>
    <row r="40" spans="2:15" s="20" customFormat="1" ht="78" customHeight="1" x14ac:dyDescent="0.25">
      <c r="C40" s="170" t="s">
        <v>320</v>
      </c>
      <c r="D40" s="170"/>
      <c r="E40" s="52">
        <f>SUM(E26:E39)</f>
        <v>60</v>
      </c>
      <c r="F40" s="52">
        <f t="shared" ref="F40:N40" si="2">SUM(F26:F39)</f>
        <v>20</v>
      </c>
      <c r="G40" s="52">
        <f t="shared" si="2"/>
        <v>11.5</v>
      </c>
      <c r="H40" s="52">
        <f t="shared" si="2"/>
        <v>9</v>
      </c>
      <c r="I40" s="52">
        <f t="shared" si="2"/>
        <v>13.5</v>
      </c>
      <c r="J40" s="52">
        <f t="shared" si="2"/>
        <v>6</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0.33</v>
      </c>
      <c r="G41" s="54">
        <f>ROUND(G40/E40,2)</f>
        <v>0.19</v>
      </c>
      <c r="H41" s="54">
        <f>ROUND(H40/E40,2)</f>
        <v>0.15</v>
      </c>
      <c r="I41" s="54">
        <f>ROUND(I40/E40,2)</f>
        <v>0.23</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125">
        <v>33</v>
      </c>
      <c r="G42" s="125">
        <v>19</v>
      </c>
      <c r="H42" s="7">
        <v>15</v>
      </c>
      <c r="I42" s="7">
        <v>23</v>
      </c>
      <c r="J42" s="7">
        <v>10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S6.1</v>
      </c>
      <c r="H46" s="59" t="str">
        <f>C14</f>
        <v>S7.1</v>
      </c>
      <c r="I46" s="59" t="str">
        <f>C15</f>
        <v>V1.1</v>
      </c>
      <c r="J46" s="59">
        <f>C16</f>
        <v>0</v>
      </c>
      <c r="K46" s="59">
        <f>C17</f>
        <v>0</v>
      </c>
      <c r="L46" s="59">
        <f>C18</f>
        <v>0</v>
      </c>
      <c r="M46" s="59">
        <f>C19</f>
        <v>0</v>
      </c>
      <c r="N46" s="60" t="s">
        <v>327</v>
      </c>
    </row>
    <row r="47" spans="2:15" ht="55.15" customHeight="1" x14ac:dyDescent="0.25">
      <c r="C47" s="9" t="s">
        <v>410</v>
      </c>
      <c r="D47" s="10">
        <v>25</v>
      </c>
      <c r="E47" s="8">
        <v>10</v>
      </c>
      <c r="F47" s="8">
        <v>5</v>
      </c>
      <c r="G47" s="8">
        <v>5</v>
      </c>
      <c r="H47" s="8">
        <v>5</v>
      </c>
      <c r="I47" s="8"/>
      <c r="J47" s="8"/>
      <c r="K47" s="8"/>
      <c r="L47" s="8"/>
      <c r="M47" s="8"/>
      <c r="N47" s="55" t="b">
        <f t="shared" ref="N47:N54" si="3">IF(SUM(E47:M47)=D47,TRUE,"false")</f>
        <v>1</v>
      </c>
    </row>
    <row r="48" spans="2:15" ht="55.15" customHeight="1" x14ac:dyDescent="0.25">
      <c r="C48" s="9" t="s">
        <v>1548</v>
      </c>
      <c r="D48" s="10">
        <v>5</v>
      </c>
      <c r="E48" s="11"/>
      <c r="F48" s="12"/>
      <c r="G48" s="12"/>
      <c r="H48" s="12"/>
      <c r="I48" s="12">
        <v>5</v>
      </c>
      <c r="J48" s="12"/>
      <c r="K48" s="12"/>
      <c r="L48" s="12"/>
      <c r="M48" s="12"/>
      <c r="N48" s="55" t="b">
        <f t="shared" si="3"/>
        <v>1</v>
      </c>
    </row>
    <row r="49" spans="3:14" ht="55.15" customHeight="1" x14ac:dyDescent="0.25">
      <c r="C49" s="9" t="s">
        <v>360</v>
      </c>
      <c r="D49" s="10">
        <v>5</v>
      </c>
      <c r="E49" s="11">
        <v>5</v>
      </c>
      <c r="F49" s="12"/>
      <c r="G49" s="12"/>
      <c r="H49" s="12"/>
      <c r="I49" s="12"/>
      <c r="J49" s="12"/>
      <c r="K49" s="12"/>
      <c r="L49" s="12"/>
      <c r="M49" s="12"/>
      <c r="N49" s="55" t="b">
        <f t="shared" si="3"/>
        <v>1</v>
      </c>
    </row>
    <row r="50" spans="3:14" ht="55.15" customHeight="1" x14ac:dyDescent="0.25">
      <c r="C50" s="9" t="s">
        <v>331</v>
      </c>
      <c r="D50" s="10">
        <v>15</v>
      </c>
      <c r="F50" s="11">
        <v>2</v>
      </c>
      <c r="G50" s="12"/>
      <c r="H50" s="12">
        <v>8</v>
      </c>
      <c r="I50" s="12">
        <v>5</v>
      </c>
      <c r="J50" s="12"/>
      <c r="K50" s="12"/>
      <c r="L50" s="12"/>
      <c r="M50" s="12"/>
      <c r="N50" s="55" t="b">
        <f t="shared" si="3"/>
        <v>1</v>
      </c>
    </row>
    <row r="51" spans="3:14" ht="55.15" customHeight="1" x14ac:dyDescent="0.25">
      <c r="C51" s="9" t="s">
        <v>1549</v>
      </c>
      <c r="D51" s="10">
        <v>10</v>
      </c>
      <c r="E51" s="11">
        <v>5</v>
      </c>
      <c r="F51" s="12"/>
      <c r="H51" s="12">
        <v>5</v>
      </c>
      <c r="I51" s="12"/>
      <c r="J51" s="12"/>
      <c r="K51" s="12"/>
      <c r="L51" s="12"/>
      <c r="M51" s="12"/>
      <c r="N51" s="55" t="b">
        <f t="shared" si="3"/>
        <v>1</v>
      </c>
    </row>
    <row r="52" spans="3:14" ht="55.15" customHeight="1" x14ac:dyDescent="0.25">
      <c r="C52" s="9" t="s">
        <v>334</v>
      </c>
      <c r="D52" s="10">
        <v>40</v>
      </c>
      <c r="E52" s="11">
        <v>13</v>
      </c>
      <c r="F52" s="12">
        <v>12</v>
      </c>
      <c r="G52" s="12">
        <v>10</v>
      </c>
      <c r="H52" s="12">
        <v>5</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33</v>
      </c>
      <c r="F56" s="65">
        <f t="shared" si="5"/>
        <v>19</v>
      </c>
      <c r="G56" s="65">
        <f t="shared" si="5"/>
        <v>15</v>
      </c>
      <c r="H56" s="65">
        <f t="shared" si="5"/>
        <v>23</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527" priority="9">
      <formula>LEN(TRIM(D47))=0</formula>
    </cfRule>
    <cfRule type="cellIs" dxfId="1526" priority="10" operator="equal">
      <formula>0</formula>
    </cfRule>
  </conditionalFormatting>
  <conditionalFormatting sqref="E47:F49 F50 E51:F52">
    <cfRule type="containsBlanks" dxfId="1525" priority="5">
      <formula>LEN(TRIM(E47))=0</formula>
    </cfRule>
    <cfRule type="cellIs" dxfId="1524" priority="6" operator="equal">
      <formula>0</formula>
    </cfRule>
  </conditionalFormatting>
  <conditionalFormatting sqref="E53:M54">
    <cfRule type="containsBlanks" dxfId="1523" priority="33">
      <formula>LEN(TRIM(E53))=0</formula>
    </cfRule>
    <cfRule type="cellIs" dxfId="1522" priority="34" operator="equal">
      <formula>0</formula>
    </cfRule>
  </conditionalFormatting>
  <conditionalFormatting sqref="E55:M55">
    <cfRule type="containsText" dxfId="1521" priority="23" operator="containsText" text="false">
      <formula>NOT(ISERROR(SEARCH("false",E55)))</formula>
    </cfRule>
    <cfRule type="containsText" dxfId="1520" priority="24" operator="containsText" text="true">
      <formula>NOT(ISERROR(SEARCH("true",E55)))</formula>
    </cfRule>
  </conditionalFormatting>
  <conditionalFormatting sqref="E26:N39">
    <cfRule type="containsBlanks" dxfId="1519" priority="11">
      <formula>LEN(TRIM(E26))=0</formula>
    </cfRule>
    <cfRule type="cellIs" dxfId="1518" priority="12" operator="equal">
      <formula>0</formula>
    </cfRule>
  </conditionalFormatting>
  <conditionalFormatting sqref="F48">
    <cfRule type="containsBlanks" dxfId="1517" priority="7">
      <formula>LEN(TRIM(F48))=0</formula>
    </cfRule>
    <cfRule type="cellIs" dxfId="1516" priority="8" operator="equal">
      <formula>0</formula>
    </cfRule>
  </conditionalFormatting>
  <conditionalFormatting sqref="G47:I50 H51:I51 G52:I52">
    <cfRule type="containsBlanks" dxfId="1515" priority="1">
      <formula>LEN(TRIM(G47))=0</formula>
    </cfRule>
    <cfRule type="cellIs" dxfId="1514" priority="2" operator="equal">
      <formula>0</formula>
    </cfRule>
  </conditionalFormatting>
  <conditionalFormatting sqref="J47:M52">
    <cfRule type="containsBlanks" dxfId="1513" priority="35">
      <formula>LEN(TRIM(J47))=0</formula>
    </cfRule>
    <cfRule type="cellIs" dxfId="1512" priority="36" operator="equal">
      <formula>0</formula>
    </cfRule>
  </conditionalFormatting>
  <conditionalFormatting sqref="N47:N54">
    <cfRule type="containsText" dxfId="1511" priority="25" operator="containsText" text="false">
      <formula>NOT(ISERROR(SEARCH("false",N47)))</formula>
    </cfRule>
    <cfRule type="containsText" dxfId="1510" priority="26" operator="containsText" text="true">
      <formula>NOT(ISERROR(SEARCH("true",N47)))</formula>
    </cfRule>
  </conditionalFormatting>
  <conditionalFormatting sqref="N55">
    <cfRule type="containsBlanks" dxfId="1509" priority="31">
      <formula>LEN(TRIM(N55))=0</formula>
    </cfRule>
    <cfRule type="cellIs" dxfId="1508" priority="32" operator="equal">
      <formula>0</formula>
    </cfRule>
  </conditionalFormatting>
  <conditionalFormatting sqref="O26:O40">
    <cfRule type="containsText" dxfId="1507" priority="27" operator="containsText" text="false">
      <formula>NOT(ISERROR(SEARCH("false",O26)))</formula>
    </cfRule>
    <cfRule type="containsText" dxfId="1506" priority="28" operator="containsText" text="true">
      <formula>NOT(ISERROR(SEARCH("true",O26)))</formula>
    </cfRule>
  </conditionalFormatting>
  <conditionalFormatting sqref="O42">
    <cfRule type="cellIs" dxfId="1505" priority="19" operator="notEqual">
      <formula>100</formula>
    </cfRule>
    <cfRule type="cellIs" dxfId="1504" priority="20"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A358E5E-000A-4EF3-9688-17BD6FDCCF42}">
          <x14:formula1>
            <xm:f>'Name and Course code'!$A$2:$A$76</xm:f>
          </x14:formula1>
          <xm:sqref>K6</xm:sqref>
        </x14:dataValidation>
        <x14:dataValidation type="list" allowBlank="1" showInputMessage="1" showErrorMessage="1" xr:uid="{291541AB-8909-4FF0-8DE0-4E106DC611EC}">
          <x14:formula1>
            <xm:f>'Name and Course code'!$B$2:$B$76</xm:f>
          </x14:formula1>
          <xm:sqref>I6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1BB8-5937-45BA-8097-A2200D983AEE}">
  <sheetPr>
    <tabColor theme="8" tint="0.39997558519241921"/>
  </sheetPr>
  <dimension ref="B2:AB57"/>
  <sheetViews>
    <sheetView zoomScale="50" zoomScaleNormal="50" workbookViewId="0">
      <selection activeCell="F17" sqref="F1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132</v>
      </c>
      <c r="J6" s="43" t="s">
        <v>278</v>
      </c>
      <c r="K6" s="1" t="s">
        <v>131</v>
      </c>
    </row>
    <row r="7" spans="2:26" ht="72.599999999999994" customHeight="1" thickBot="1" x14ac:dyDescent="0.3">
      <c r="B7" s="160"/>
      <c r="C7" s="161"/>
      <c r="D7" s="43" t="s">
        <v>279</v>
      </c>
      <c r="E7" s="1">
        <v>1</v>
      </c>
      <c r="F7" s="43" t="s">
        <v>280</v>
      </c>
      <c r="G7" s="1">
        <v>1</v>
      </c>
      <c r="H7" s="43" t="s">
        <v>281</v>
      </c>
      <c r="I7" s="1" t="s">
        <v>337</v>
      </c>
      <c r="J7" s="43" t="s">
        <v>283</v>
      </c>
      <c r="K7" s="1" t="s">
        <v>338</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2" t="s">
        <v>297</v>
      </c>
      <c r="D11" s="80" t="s">
        <v>339</v>
      </c>
      <c r="E11" s="2" t="s">
        <v>7</v>
      </c>
      <c r="F11" s="3"/>
      <c r="G11" s="17"/>
      <c r="H11" s="17">
        <v>0.6</v>
      </c>
      <c r="I11" s="17">
        <v>1</v>
      </c>
      <c r="J11" s="80" t="s">
        <v>1619</v>
      </c>
      <c r="K11" s="81" t="s">
        <v>1620</v>
      </c>
      <c r="U11" s="3">
        <f>F11</f>
        <v>0</v>
      </c>
      <c r="V11" s="2" t="str">
        <f>C11</f>
        <v>K1.1</v>
      </c>
      <c r="W11" s="2"/>
      <c r="X11" s="17"/>
      <c r="Y11" s="37"/>
      <c r="Z11" s="37"/>
    </row>
    <row r="12" spans="2:26" ht="100.9" customHeight="1" x14ac:dyDescent="0.25">
      <c r="B12" s="36"/>
      <c r="C12" s="5" t="s">
        <v>752</v>
      </c>
      <c r="D12" s="80" t="s">
        <v>343</v>
      </c>
      <c r="E12" s="5" t="s">
        <v>35</v>
      </c>
      <c r="F12" s="6"/>
      <c r="G12" s="4"/>
      <c r="H12" s="17">
        <v>0.6</v>
      </c>
      <c r="I12" s="17">
        <v>1</v>
      </c>
      <c r="J12" s="80" t="s">
        <v>1621</v>
      </c>
      <c r="K12" s="81" t="s">
        <v>1622</v>
      </c>
      <c r="U12" s="6">
        <f t="shared" ref="U12:U19" si="0">F12</f>
        <v>0</v>
      </c>
      <c r="V12" s="2" t="str">
        <f>C12</f>
        <v>S4.1</v>
      </c>
      <c r="W12" s="5"/>
      <c r="X12" s="4"/>
      <c r="Y12" s="38"/>
      <c r="Z12" s="38"/>
    </row>
    <row r="13" spans="2:26" ht="102" customHeight="1" x14ac:dyDescent="0.25">
      <c r="B13" s="36"/>
      <c r="C13" s="5" t="s">
        <v>1501</v>
      </c>
      <c r="D13" s="80" t="s">
        <v>346</v>
      </c>
      <c r="E13" s="5" t="s">
        <v>35</v>
      </c>
      <c r="F13" s="6"/>
      <c r="G13" s="4"/>
      <c r="H13" s="17">
        <v>0.6</v>
      </c>
      <c r="I13" s="17">
        <v>1</v>
      </c>
      <c r="J13" s="80" t="s">
        <v>1621</v>
      </c>
      <c r="K13" s="81" t="s">
        <v>1623</v>
      </c>
      <c r="U13" s="6">
        <f t="shared" si="0"/>
        <v>0</v>
      </c>
      <c r="V13" s="2" t="str">
        <f>C13</f>
        <v>S4.2</v>
      </c>
      <c r="W13" s="5"/>
      <c r="X13" s="4"/>
      <c r="Y13" s="38"/>
      <c r="Z13" s="38"/>
    </row>
    <row r="14" spans="2:26" ht="58.9" customHeight="1" x14ac:dyDescent="0.25">
      <c r="B14" s="36"/>
      <c r="C14" s="5" t="s">
        <v>1502</v>
      </c>
      <c r="D14" s="80" t="s">
        <v>348</v>
      </c>
      <c r="E14" s="5" t="s">
        <v>35</v>
      </c>
      <c r="F14" s="6"/>
      <c r="G14" s="4"/>
      <c r="H14" s="17">
        <v>0.6</v>
      </c>
      <c r="I14" s="17">
        <v>1</v>
      </c>
      <c r="J14" s="80" t="s">
        <v>1621</v>
      </c>
      <c r="K14" s="81" t="s">
        <v>1623</v>
      </c>
      <c r="U14" s="6">
        <f t="shared" si="0"/>
        <v>0</v>
      </c>
      <c r="V14" s="2" t="str">
        <f>C14</f>
        <v>S4.3</v>
      </c>
      <c r="W14" s="5"/>
      <c r="X14" s="4"/>
      <c r="Y14" s="38"/>
      <c r="Z14" s="38"/>
    </row>
    <row r="15" spans="2:26" ht="58.9" customHeight="1" x14ac:dyDescent="0.25">
      <c r="B15" s="36"/>
      <c r="C15" s="5" t="s">
        <v>1503</v>
      </c>
      <c r="D15" s="80" t="s">
        <v>350</v>
      </c>
      <c r="E15" s="5" t="s">
        <v>35</v>
      </c>
      <c r="F15" s="6"/>
      <c r="G15" s="4"/>
      <c r="H15" s="17">
        <v>0.6</v>
      </c>
      <c r="I15" s="17">
        <v>1</v>
      </c>
      <c r="J15" s="80" t="s">
        <v>1621</v>
      </c>
      <c r="K15" s="81" t="s">
        <v>1622</v>
      </c>
      <c r="U15" s="6">
        <f t="shared" si="0"/>
        <v>0</v>
      </c>
      <c r="V15" s="2" t="str">
        <f>C15</f>
        <v>S4.4</v>
      </c>
      <c r="W15" s="5"/>
      <c r="X15" s="4"/>
      <c r="Y15" s="38"/>
      <c r="Z15" s="38"/>
    </row>
    <row r="16" spans="2:26" ht="58.9" customHeight="1" x14ac:dyDescent="0.25">
      <c r="B16" s="36"/>
      <c r="C16" s="5" t="s">
        <v>1504</v>
      </c>
      <c r="D16" s="80" t="s">
        <v>351</v>
      </c>
      <c r="E16" s="5" t="s">
        <v>35</v>
      </c>
      <c r="F16" s="6"/>
      <c r="G16" s="4"/>
      <c r="H16" s="17">
        <v>0.6</v>
      </c>
      <c r="I16" s="17">
        <v>1</v>
      </c>
      <c r="J16" s="80" t="s">
        <v>1621</v>
      </c>
      <c r="K16" s="81" t="s">
        <v>1624</v>
      </c>
      <c r="U16" s="6"/>
      <c r="V16" s="2"/>
      <c r="W16" s="5"/>
      <c r="X16" s="4"/>
      <c r="Y16" s="38"/>
      <c r="Z16" s="38"/>
    </row>
    <row r="17" spans="2:26" ht="58.9" customHeight="1" x14ac:dyDescent="0.25">
      <c r="B17" s="36"/>
      <c r="C17" s="5"/>
      <c r="D17" s="80"/>
      <c r="E17" s="5"/>
      <c r="F17" s="6"/>
      <c r="G17" s="4"/>
      <c r="H17" s="17"/>
      <c r="I17" s="17"/>
      <c r="J17" s="80"/>
      <c r="K17" s="81"/>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S4.1</v>
      </c>
      <c r="H25" s="49" t="str">
        <f>C13</f>
        <v>S4.2</v>
      </c>
      <c r="I25" s="49" t="str">
        <f>C14</f>
        <v>S4.3</v>
      </c>
      <c r="J25" s="49" t="str">
        <f>C15</f>
        <v>S4.4</v>
      </c>
      <c r="K25" s="49" t="str">
        <f>C16</f>
        <v>S4.5</v>
      </c>
      <c r="L25" s="49">
        <f>C17</f>
        <v>0</v>
      </c>
      <c r="M25" s="49">
        <f>C18</f>
        <v>0</v>
      </c>
      <c r="N25" s="49">
        <f>C19</f>
        <v>0</v>
      </c>
      <c r="O25" s="50" t="s">
        <v>305</v>
      </c>
    </row>
    <row r="26" spans="2:26" ht="46.5" customHeight="1" thickBot="1" x14ac:dyDescent="0.3">
      <c r="C26" s="51" t="s">
        <v>306</v>
      </c>
      <c r="D26" s="80" t="s">
        <v>352</v>
      </c>
      <c r="E26" s="8">
        <v>24</v>
      </c>
      <c r="F26" s="8">
        <v>8</v>
      </c>
      <c r="G26" s="8">
        <v>4</v>
      </c>
      <c r="H26" s="8">
        <v>3</v>
      </c>
      <c r="I26" s="8">
        <v>3</v>
      </c>
      <c r="J26" s="8">
        <v>3</v>
      </c>
      <c r="K26" s="8">
        <v>3</v>
      </c>
      <c r="L26" s="8"/>
      <c r="M26" s="8"/>
      <c r="N26" s="8"/>
      <c r="O26" s="53" t="b">
        <f>IF(SUM(F26:N26)=E26,TRUE,"false")</f>
        <v>1</v>
      </c>
    </row>
    <row r="27" spans="2:26" ht="30.4" customHeight="1" thickBot="1" x14ac:dyDescent="0.3">
      <c r="C27" s="51" t="s">
        <v>307</v>
      </c>
      <c r="D27" s="80" t="s">
        <v>353</v>
      </c>
      <c r="E27" s="8">
        <v>24</v>
      </c>
      <c r="F27" s="8">
        <v>8</v>
      </c>
      <c r="G27" s="8">
        <v>4</v>
      </c>
      <c r="H27" s="8">
        <v>3</v>
      </c>
      <c r="I27" s="8">
        <v>3</v>
      </c>
      <c r="J27" s="8">
        <v>3</v>
      </c>
      <c r="K27" s="8">
        <v>3</v>
      </c>
      <c r="L27" s="8"/>
      <c r="M27" s="8"/>
      <c r="N27" s="8"/>
      <c r="O27" s="53" t="b">
        <f t="shared" ref="O27:O40" si="1">IF(SUM(F27:N27)=E27,TRUE,"false")</f>
        <v>1</v>
      </c>
    </row>
    <row r="28" spans="2:26" ht="30.4" customHeight="1" thickBot="1" x14ac:dyDescent="0.3">
      <c r="C28" s="51" t="s">
        <v>308</v>
      </c>
      <c r="D28" s="80" t="s">
        <v>354</v>
      </c>
      <c r="E28" s="8">
        <v>24</v>
      </c>
      <c r="F28" s="8">
        <v>8</v>
      </c>
      <c r="G28" s="8">
        <v>4</v>
      </c>
      <c r="H28" s="8">
        <v>3</v>
      </c>
      <c r="I28" s="8">
        <v>3</v>
      </c>
      <c r="J28" s="8">
        <v>3</v>
      </c>
      <c r="K28" s="8">
        <v>3</v>
      </c>
      <c r="L28" s="8"/>
      <c r="M28" s="8"/>
      <c r="N28" s="8"/>
      <c r="O28" s="53" t="b">
        <f t="shared" si="1"/>
        <v>1</v>
      </c>
    </row>
    <row r="29" spans="2:26" ht="30.4" customHeight="1" thickBot="1" x14ac:dyDescent="0.3">
      <c r="C29" s="51" t="s">
        <v>309</v>
      </c>
      <c r="D29" s="80" t="s">
        <v>355</v>
      </c>
      <c r="E29" s="8">
        <v>24</v>
      </c>
      <c r="F29" s="8">
        <v>8</v>
      </c>
      <c r="G29" s="8">
        <v>4</v>
      </c>
      <c r="H29" s="8">
        <v>3</v>
      </c>
      <c r="I29" s="8">
        <v>3</v>
      </c>
      <c r="J29" s="8">
        <v>3</v>
      </c>
      <c r="K29" s="8">
        <v>3</v>
      </c>
      <c r="L29" s="8"/>
      <c r="M29" s="8"/>
      <c r="N29" s="8"/>
      <c r="O29" s="53" t="b">
        <f t="shared" si="1"/>
        <v>1</v>
      </c>
    </row>
    <row r="30" spans="2:26" ht="30.4" customHeight="1" thickBot="1" x14ac:dyDescent="0.3">
      <c r="C30" s="51" t="s">
        <v>310</v>
      </c>
      <c r="D30" s="80" t="s">
        <v>356</v>
      </c>
      <c r="E30" s="8">
        <v>24</v>
      </c>
      <c r="F30" s="8">
        <v>8</v>
      </c>
      <c r="G30" s="8">
        <v>4</v>
      </c>
      <c r="H30" s="8">
        <v>3</v>
      </c>
      <c r="I30" s="8">
        <v>3</v>
      </c>
      <c r="J30" s="8">
        <v>3</v>
      </c>
      <c r="K30" s="8">
        <v>3</v>
      </c>
      <c r="L30" s="8"/>
      <c r="M30" s="8"/>
      <c r="N30" s="8"/>
      <c r="O30" s="53" t="b">
        <f t="shared" si="1"/>
        <v>1</v>
      </c>
    </row>
    <row r="31" spans="2:26" ht="30.4" customHeight="1" thickBot="1" x14ac:dyDescent="0.3">
      <c r="C31" s="51" t="s">
        <v>311</v>
      </c>
      <c r="D31" s="80" t="s">
        <v>357</v>
      </c>
      <c r="E31" s="8">
        <v>20</v>
      </c>
      <c r="F31" s="8">
        <v>8</v>
      </c>
      <c r="G31" s="8">
        <v>2</v>
      </c>
      <c r="H31" s="8">
        <v>2</v>
      </c>
      <c r="I31" s="8">
        <v>2</v>
      </c>
      <c r="J31" s="8">
        <v>4</v>
      </c>
      <c r="K31" s="8">
        <v>2</v>
      </c>
      <c r="L31" s="8"/>
      <c r="M31" s="8"/>
      <c r="N31" s="8"/>
      <c r="O31" s="53" t="b">
        <f t="shared" si="1"/>
        <v>1</v>
      </c>
    </row>
    <row r="32" spans="2:26" ht="30.4" customHeight="1" thickBot="1" x14ac:dyDescent="0.3">
      <c r="C32" s="51" t="s">
        <v>312</v>
      </c>
      <c r="D32" s="80" t="s">
        <v>358</v>
      </c>
      <c r="E32" s="8">
        <v>20</v>
      </c>
      <c r="F32" s="8">
        <v>8</v>
      </c>
      <c r="G32" s="8">
        <v>2</v>
      </c>
      <c r="H32" s="8">
        <v>2</v>
      </c>
      <c r="I32" s="8">
        <v>2</v>
      </c>
      <c r="J32" s="8">
        <v>4</v>
      </c>
      <c r="K32" s="8">
        <v>2</v>
      </c>
      <c r="L32" s="8"/>
      <c r="M32" s="8"/>
      <c r="N32" s="8"/>
      <c r="O32" s="53" t="b">
        <f t="shared" si="1"/>
        <v>1</v>
      </c>
    </row>
    <row r="33" spans="2:15" ht="30.4" customHeight="1" thickBot="1" x14ac:dyDescent="0.3">
      <c r="C33" s="51" t="s">
        <v>313</v>
      </c>
      <c r="D33" s="80" t="s">
        <v>359</v>
      </c>
      <c r="E33" s="8">
        <v>20</v>
      </c>
      <c r="F33" s="8">
        <v>8</v>
      </c>
      <c r="G33" s="8">
        <v>2</v>
      </c>
      <c r="H33" s="8">
        <v>2</v>
      </c>
      <c r="I33" s="8">
        <v>2</v>
      </c>
      <c r="J33" s="8">
        <v>4</v>
      </c>
      <c r="K33" s="8">
        <v>2</v>
      </c>
      <c r="L33" s="8"/>
      <c r="M33" s="8"/>
      <c r="N33" s="8"/>
      <c r="O33" s="53" t="b">
        <f t="shared" si="1"/>
        <v>1</v>
      </c>
    </row>
    <row r="34" spans="2:15" ht="30.4" customHeight="1" thickBot="1" x14ac:dyDescent="0.3">
      <c r="C34" s="51" t="s">
        <v>314</v>
      </c>
      <c r="D34" s="79"/>
      <c r="E34" s="8"/>
      <c r="F34" s="8"/>
      <c r="G34" s="8"/>
      <c r="H34" s="8"/>
      <c r="I34" s="8"/>
      <c r="J34" s="8"/>
      <c r="K34" s="8"/>
      <c r="L34" s="8"/>
      <c r="M34" s="8"/>
      <c r="N34" s="8"/>
      <c r="O34" s="53" t="b">
        <f t="shared" si="1"/>
        <v>1</v>
      </c>
    </row>
    <row r="35" spans="2:15" ht="30.4" customHeight="1" thickBot="1" x14ac:dyDescent="0.3">
      <c r="C35" s="51" t="s">
        <v>315</v>
      </c>
      <c r="D35" s="79"/>
      <c r="E35" s="8"/>
      <c r="F35" s="8"/>
      <c r="G35" s="8"/>
      <c r="H35" s="8"/>
      <c r="I35" s="8"/>
      <c r="J35" s="8"/>
      <c r="K35" s="8"/>
      <c r="L35" s="8"/>
      <c r="M35" s="8"/>
      <c r="N35" s="8"/>
      <c r="O35" s="53" t="b">
        <f t="shared" si="1"/>
        <v>1</v>
      </c>
    </row>
    <row r="36" spans="2:15" ht="30.4" customHeight="1" thickBot="1" x14ac:dyDescent="0.3">
      <c r="C36" s="51" t="s">
        <v>316</v>
      </c>
      <c r="D36" s="79"/>
      <c r="E36" s="8"/>
      <c r="F36" s="8"/>
      <c r="G36" s="8"/>
      <c r="H36" s="8"/>
      <c r="I36" s="8"/>
      <c r="J36" s="8"/>
      <c r="K36" s="8"/>
      <c r="L36" s="8"/>
      <c r="M36" s="8"/>
      <c r="N36" s="8"/>
      <c r="O36" s="53" t="b">
        <f t="shared" si="1"/>
        <v>1</v>
      </c>
    </row>
    <row r="37" spans="2:15" ht="30.4" customHeight="1" thickBot="1" x14ac:dyDescent="0.3">
      <c r="C37" s="51" t="s">
        <v>317</v>
      </c>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180</v>
      </c>
      <c r="F40" s="52">
        <f t="shared" ref="F40:N40" si="2">SUM(F26:F39)</f>
        <v>64</v>
      </c>
      <c r="G40" s="52">
        <f t="shared" si="2"/>
        <v>26</v>
      </c>
      <c r="H40" s="52">
        <f t="shared" si="2"/>
        <v>21</v>
      </c>
      <c r="I40" s="52">
        <f t="shared" si="2"/>
        <v>21</v>
      </c>
      <c r="J40" s="52">
        <f t="shared" si="2"/>
        <v>27</v>
      </c>
      <c r="K40" s="52">
        <f t="shared" si="2"/>
        <v>21</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0.36</v>
      </c>
      <c r="G41" s="54">
        <f>ROUND(G40/E40,2)</f>
        <v>0.14000000000000001</v>
      </c>
      <c r="H41" s="54">
        <f>ROUND(H40/E40,2)</f>
        <v>0.12</v>
      </c>
      <c r="I41" s="54">
        <f>ROUND(I40/E40,2)</f>
        <v>0.12</v>
      </c>
      <c r="J41" s="54">
        <f>ROUND(J40/E40,2)</f>
        <v>0.15</v>
      </c>
      <c r="K41" s="54">
        <f>ROUND(K40/E40,2)</f>
        <v>0.12</v>
      </c>
      <c r="L41" s="54">
        <f>ROUND(L40/E40,2)</f>
        <v>0</v>
      </c>
      <c r="M41" s="54">
        <f>ROUND(M40/E40,2)</f>
        <v>0</v>
      </c>
      <c r="N41" s="54">
        <f>ROUND(N40/E40,2)</f>
        <v>0</v>
      </c>
      <c r="O41" s="54">
        <f>SUM(F41:N41)</f>
        <v>1.01</v>
      </c>
    </row>
    <row r="42" spans="2:15" ht="55.9" customHeight="1" x14ac:dyDescent="0.25">
      <c r="C42" s="151" t="s">
        <v>322</v>
      </c>
      <c r="D42" s="151"/>
      <c r="E42" s="151"/>
      <c r="F42" s="7">
        <v>35</v>
      </c>
      <c r="G42" s="7">
        <v>15</v>
      </c>
      <c r="H42" s="7">
        <v>10</v>
      </c>
      <c r="I42" s="7">
        <v>10</v>
      </c>
      <c r="J42" s="7">
        <v>15</v>
      </c>
      <c r="K42" s="7">
        <v>15</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S4.1</v>
      </c>
      <c r="G46" s="59" t="str">
        <f>C13</f>
        <v>S4.2</v>
      </c>
      <c r="H46" s="59" t="str">
        <f>C14</f>
        <v>S4.3</v>
      </c>
      <c r="I46" s="59" t="str">
        <f>C15</f>
        <v>S4.4</v>
      </c>
      <c r="J46" s="59" t="str">
        <f>C16</f>
        <v>S4.5</v>
      </c>
      <c r="K46" s="59">
        <f>C17</f>
        <v>0</v>
      </c>
      <c r="L46" s="59">
        <f>C18</f>
        <v>0</v>
      </c>
      <c r="M46" s="59">
        <f>C19</f>
        <v>0</v>
      </c>
      <c r="N46" s="60" t="s">
        <v>327</v>
      </c>
    </row>
    <row r="47" spans="2:15" ht="55.15" customHeight="1" x14ac:dyDescent="0.25">
      <c r="C47" s="9" t="s">
        <v>360</v>
      </c>
      <c r="D47" s="10">
        <v>5</v>
      </c>
      <c r="E47" s="8">
        <v>3</v>
      </c>
      <c r="F47" s="8"/>
      <c r="G47" s="8"/>
      <c r="H47" s="8"/>
      <c r="I47" s="8">
        <v>2</v>
      </c>
      <c r="J47" s="8"/>
      <c r="K47" s="8"/>
      <c r="L47" s="8"/>
      <c r="M47" s="8"/>
      <c r="N47" s="55" t="b">
        <f t="shared" ref="N47:N54" si="3">IF(SUM(E47:M47)=D47,TRUE,"false")</f>
        <v>1</v>
      </c>
    </row>
    <row r="48" spans="2:15" ht="55.15" customHeight="1" x14ac:dyDescent="0.25">
      <c r="C48" s="9" t="s">
        <v>361</v>
      </c>
      <c r="D48" s="10">
        <v>20</v>
      </c>
      <c r="E48" s="11">
        <v>8</v>
      </c>
      <c r="F48" s="12">
        <v>4</v>
      </c>
      <c r="G48" s="12"/>
      <c r="H48" s="12"/>
      <c r="I48" s="12">
        <v>4</v>
      </c>
      <c r="J48" s="12">
        <v>4</v>
      </c>
      <c r="K48" s="12"/>
      <c r="L48" s="12"/>
      <c r="M48" s="12"/>
      <c r="N48" s="55" t="b">
        <f t="shared" si="3"/>
        <v>1</v>
      </c>
    </row>
    <row r="49" spans="3:14" ht="55.15" customHeight="1" x14ac:dyDescent="0.25">
      <c r="C49" s="9" t="s">
        <v>362</v>
      </c>
      <c r="D49" s="10">
        <v>10</v>
      </c>
      <c r="E49" s="11">
        <v>2</v>
      </c>
      <c r="F49" s="12"/>
      <c r="G49" s="12"/>
      <c r="H49" s="12">
        <v>5</v>
      </c>
      <c r="I49" s="12"/>
      <c r="J49" s="12">
        <v>3</v>
      </c>
      <c r="K49" s="12"/>
      <c r="L49" s="12"/>
      <c r="M49" s="12"/>
      <c r="N49" s="55" t="b">
        <f t="shared" si="3"/>
        <v>1</v>
      </c>
    </row>
    <row r="50" spans="3:14" ht="55.15" customHeight="1" x14ac:dyDescent="0.25">
      <c r="C50" s="9" t="s">
        <v>363</v>
      </c>
      <c r="D50" s="10">
        <v>5</v>
      </c>
      <c r="E50" s="11"/>
      <c r="F50" s="12"/>
      <c r="G50" s="12"/>
      <c r="H50" s="12"/>
      <c r="I50" s="12"/>
      <c r="J50" s="12">
        <v>5</v>
      </c>
      <c r="K50" s="12"/>
      <c r="L50" s="12"/>
      <c r="M50" s="12"/>
      <c r="N50" s="55" t="b">
        <f t="shared" si="3"/>
        <v>1</v>
      </c>
    </row>
    <row r="51" spans="3:14" ht="55.15" customHeight="1" x14ac:dyDescent="0.25">
      <c r="C51" s="9" t="s">
        <v>364</v>
      </c>
      <c r="D51" s="10">
        <v>20</v>
      </c>
      <c r="E51" s="11">
        <v>2</v>
      </c>
      <c r="F51" s="12">
        <v>3</v>
      </c>
      <c r="G51" s="12">
        <v>10</v>
      </c>
      <c r="H51" s="12">
        <v>5</v>
      </c>
      <c r="I51" s="12"/>
      <c r="J51" s="12"/>
      <c r="K51" s="12"/>
      <c r="L51" s="12"/>
      <c r="M51" s="12"/>
      <c r="N51" s="55" t="b">
        <f t="shared" si="3"/>
        <v>1</v>
      </c>
    </row>
    <row r="52" spans="3:14" ht="55.15" customHeight="1" x14ac:dyDescent="0.25">
      <c r="C52" s="9" t="s">
        <v>334</v>
      </c>
      <c r="D52" s="10">
        <v>40</v>
      </c>
      <c r="E52" s="11">
        <v>20</v>
      </c>
      <c r="F52" s="12">
        <v>8</v>
      </c>
      <c r="G52" s="12"/>
      <c r="H52" s="12"/>
      <c r="I52" s="12">
        <v>9</v>
      </c>
      <c r="J52" s="12">
        <v>3</v>
      </c>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35</v>
      </c>
      <c r="F56" s="65">
        <f t="shared" si="5"/>
        <v>15</v>
      </c>
      <c r="G56" s="65">
        <f t="shared" si="5"/>
        <v>10</v>
      </c>
      <c r="H56" s="65">
        <f t="shared" si="5"/>
        <v>10</v>
      </c>
      <c r="I56" s="65">
        <f t="shared" si="5"/>
        <v>15</v>
      </c>
      <c r="J56" s="65">
        <f t="shared" si="5"/>
        <v>15</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503" priority="5">
      <formula>LEN(TRIM(D47))=0</formula>
    </cfRule>
    <cfRule type="cellIs" dxfId="1502" priority="6" operator="equal">
      <formula>0</formula>
    </cfRule>
  </conditionalFormatting>
  <conditionalFormatting sqref="E50">
    <cfRule type="containsBlanks" dxfId="1501" priority="11">
      <formula>LEN(TRIM(E50))=0</formula>
    </cfRule>
    <cfRule type="cellIs" dxfId="1500" priority="12" operator="equal">
      <formula>0</formula>
    </cfRule>
  </conditionalFormatting>
  <conditionalFormatting sqref="E47:J51 E52">
    <cfRule type="containsBlanks" dxfId="1499" priority="7">
      <formula>LEN(TRIM(E47))=0</formula>
    </cfRule>
    <cfRule type="cellIs" dxfId="1498" priority="8" operator="equal">
      <formula>0</formula>
    </cfRule>
  </conditionalFormatting>
  <conditionalFormatting sqref="E53:M54">
    <cfRule type="containsBlanks" dxfId="1497" priority="43">
      <formula>LEN(TRIM(E53))=0</formula>
    </cfRule>
    <cfRule type="cellIs" dxfId="1496" priority="44" operator="equal">
      <formula>0</formula>
    </cfRule>
  </conditionalFormatting>
  <conditionalFormatting sqref="E55:M55">
    <cfRule type="containsText" dxfId="1495" priority="33" operator="containsText" text="false">
      <formula>NOT(ISERROR(SEARCH("false",E55)))</formula>
    </cfRule>
    <cfRule type="containsText" dxfId="1494" priority="34" operator="containsText" text="true">
      <formula>NOT(ISERROR(SEARCH("true",E55)))</formula>
    </cfRule>
  </conditionalFormatting>
  <conditionalFormatting sqref="E26:N39">
    <cfRule type="containsBlanks" dxfId="1493" priority="1">
      <formula>LEN(TRIM(E26))=0</formula>
    </cfRule>
    <cfRule type="cellIs" dxfId="1492" priority="2" operator="equal">
      <formula>0</formula>
    </cfRule>
  </conditionalFormatting>
  <conditionalFormatting sqref="F48:J48">
    <cfRule type="containsBlanks" dxfId="1491" priority="13">
      <formula>LEN(TRIM(F48))=0</formula>
    </cfRule>
    <cfRule type="cellIs" dxfId="1490" priority="14" operator="equal">
      <formula>0</formula>
    </cfRule>
  </conditionalFormatting>
  <conditionalFormatting sqref="F50:J52">
    <cfRule type="containsBlanks" dxfId="1489" priority="9">
      <formula>LEN(TRIM(F50))=0</formula>
    </cfRule>
    <cfRule type="cellIs" dxfId="1488" priority="10" operator="equal">
      <formula>0</formula>
    </cfRule>
  </conditionalFormatting>
  <conditionalFormatting sqref="K47:M52">
    <cfRule type="containsBlanks" dxfId="1487" priority="19">
      <formula>LEN(TRIM(K47))=0</formula>
    </cfRule>
    <cfRule type="cellIs" dxfId="1486" priority="20" operator="equal">
      <formula>0</formula>
    </cfRule>
  </conditionalFormatting>
  <conditionalFormatting sqref="N47:N54">
    <cfRule type="containsText" dxfId="1485" priority="35" operator="containsText" text="false">
      <formula>NOT(ISERROR(SEARCH("false",N47)))</formula>
    </cfRule>
    <cfRule type="containsText" dxfId="1484" priority="36" operator="containsText" text="true">
      <formula>NOT(ISERROR(SEARCH("true",N47)))</formula>
    </cfRule>
  </conditionalFormatting>
  <conditionalFormatting sqref="N55">
    <cfRule type="containsBlanks" dxfId="1483" priority="41">
      <formula>LEN(TRIM(N55))=0</formula>
    </cfRule>
    <cfRule type="cellIs" dxfId="1482" priority="42" operator="equal">
      <formula>0</formula>
    </cfRule>
  </conditionalFormatting>
  <conditionalFormatting sqref="O26:O40">
    <cfRule type="containsText" dxfId="1481" priority="37" operator="containsText" text="false">
      <formula>NOT(ISERROR(SEARCH("false",O26)))</formula>
    </cfRule>
    <cfRule type="containsText" dxfId="1480" priority="38" operator="containsText" text="true">
      <formula>NOT(ISERROR(SEARCH("true",O26)))</formula>
    </cfRule>
  </conditionalFormatting>
  <conditionalFormatting sqref="O42">
    <cfRule type="cellIs" dxfId="1479" priority="29" operator="notEqual">
      <formula>100</formula>
    </cfRule>
    <cfRule type="cellIs" dxfId="1478" priority="30"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E5F949B-DADB-404D-8E27-B41D71BE0BB4}">
          <x14:formula1>
            <xm:f>'Name and Course code'!$A$2:$A$76</xm:f>
          </x14:formula1>
          <xm:sqref>K6</xm:sqref>
        </x14:dataValidation>
        <x14:dataValidation type="list" allowBlank="1" showInputMessage="1" showErrorMessage="1" xr:uid="{83E300FD-54BB-43B6-B0ED-9577FE63FEF8}">
          <x14:formula1>
            <xm:f>'Name and Course code'!$B$2:$B$76</xm:f>
          </x14:formula1>
          <xm:sqref>I6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85BEB-6703-40F1-B10C-189ED93988A2}">
  <sheetPr>
    <tabColor theme="8" tint="0.39997558519241921"/>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134</v>
      </c>
      <c r="J6" s="43" t="s">
        <v>278</v>
      </c>
      <c r="K6" s="1" t="s">
        <v>133</v>
      </c>
    </row>
    <row r="7" spans="2:26" ht="72.599999999999994" customHeight="1" thickBot="1" x14ac:dyDescent="0.3">
      <c r="B7" s="160"/>
      <c r="C7" s="161"/>
      <c r="D7" s="43" t="s">
        <v>279</v>
      </c>
      <c r="E7" s="1">
        <v>1</v>
      </c>
      <c r="F7" s="43" t="s">
        <v>280</v>
      </c>
      <c r="G7" s="1">
        <v>1</v>
      </c>
      <c r="H7" s="43" t="s">
        <v>281</v>
      </c>
      <c r="I7" s="1" t="s">
        <v>282</v>
      </c>
      <c r="J7" s="43" t="s">
        <v>283</v>
      </c>
      <c r="K7" s="1" t="s">
        <v>1523</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84" t="s">
        <v>297</v>
      </c>
      <c r="D11" s="79" t="s">
        <v>1712</v>
      </c>
      <c r="E11" s="84" t="s">
        <v>7</v>
      </c>
      <c r="F11" s="3"/>
      <c r="G11" s="17"/>
      <c r="H11" s="17"/>
      <c r="I11" s="17"/>
      <c r="J11" s="90" t="s">
        <v>1573</v>
      </c>
      <c r="K11" s="90" t="s">
        <v>1574</v>
      </c>
      <c r="U11" s="3">
        <f>F11</f>
        <v>0</v>
      </c>
      <c r="V11" s="2" t="str">
        <f>C11</f>
        <v>K1.1</v>
      </c>
      <c r="W11" s="2"/>
      <c r="X11" s="17"/>
      <c r="Y11" s="37"/>
      <c r="Z11" s="37"/>
    </row>
    <row r="12" spans="2:26" ht="100.9" customHeight="1" x14ac:dyDescent="0.25">
      <c r="B12" s="36"/>
      <c r="C12" s="84" t="s">
        <v>298</v>
      </c>
      <c r="D12" s="79" t="s">
        <v>1713</v>
      </c>
      <c r="E12" s="84" t="s">
        <v>7</v>
      </c>
      <c r="F12" s="6"/>
      <c r="G12" s="4"/>
      <c r="H12" s="4"/>
      <c r="I12" s="4"/>
      <c r="J12" s="90" t="s">
        <v>1573</v>
      </c>
      <c r="K12" s="90" t="s">
        <v>1574</v>
      </c>
      <c r="U12" s="6">
        <f t="shared" ref="U12:U19" si="0">F12</f>
        <v>0</v>
      </c>
      <c r="V12" s="2" t="str">
        <f>C12</f>
        <v>K1.2</v>
      </c>
      <c r="W12" s="5"/>
      <c r="X12" s="4"/>
      <c r="Y12" s="38"/>
      <c r="Z12" s="38"/>
    </row>
    <row r="13" spans="2:26" ht="102" customHeight="1" x14ac:dyDescent="0.25">
      <c r="B13" s="36"/>
      <c r="C13" s="84" t="s">
        <v>441</v>
      </c>
      <c r="D13" s="79" t="s">
        <v>1510</v>
      </c>
      <c r="E13" s="84" t="s">
        <v>39</v>
      </c>
      <c r="F13" s="6"/>
      <c r="G13" s="4"/>
      <c r="H13" s="4"/>
      <c r="I13" s="4"/>
      <c r="J13" s="118" t="s">
        <v>1575</v>
      </c>
      <c r="K13" s="118" t="s">
        <v>1576</v>
      </c>
      <c r="U13" s="6">
        <f t="shared" si="0"/>
        <v>0</v>
      </c>
      <c r="V13" s="2" t="str">
        <f>C13</f>
        <v>S6.1</v>
      </c>
      <c r="W13" s="5"/>
      <c r="X13" s="4"/>
      <c r="Y13" s="38"/>
      <c r="Z13" s="38"/>
    </row>
    <row r="14" spans="2:26" ht="58.9" customHeight="1" x14ac:dyDescent="0.25">
      <c r="B14" s="36"/>
      <c r="C14" s="84" t="s">
        <v>1511</v>
      </c>
      <c r="D14" s="79" t="s">
        <v>1512</v>
      </c>
      <c r="E14" s="84" t="s">
        <v>39</v>
      </c>
      <c r="F14" s="6"/>
      <c r="G14" s="4"/>
      <c r="H14" s="4"/>
      <c r="I14" s="4"/>
      <c r="J14" s="118" t="s">
        <v>1577</v>
      </c>
      <c r="K14" s="118" t="s">
        <v>1576</v>
      </c>
      <c r="U14" s="6">
        <f t="shared" si="0"/>
        <v>0</v>
      </c>
      <c r="V14" s="2" t="str">
        <f>C14</f>
        <v>S6.2</v>
      </c>
      <c r="W14" s="5"/>
      <c r="X14" s="4"/>
      <c r="Y14" s="38"/>
      <c r="Z14" s="38"/>
    </row>
    <row r="15" spans="2:26" ht="58.9" customHeight="1" x14ac:dyDescent="0.25">
      <c r="B15" s="36"/>
      <c r="C15" s="84"/>
      <c r="D15" s="79"/>
      <c r="E15" s="84"/>
      <c r="F15" s="6"/>
      <c r="G15" s="4"/>
      <c r="H15" s="4"/>
      <c r="I15" s="4"/>
      <c r="J15" s="118"/>
      <c r="K15" s="118"/>
      <c r="U15" s="6">
        <f t="shared" si="0"/>
        <v>0</v>
      </c>
      <c r="V15" s="2">
        <f>C15</f>
        <v>0</v>
      </c>
      <c r="W15" s="5"/>
      <c r="X15" s="4"/>
      <c r="Y15" s="38"/>
      <c r="Z15" s="38"/>
    </row>
    <row r="16" spans="2:26" ht="58.9" customHeight="1" x14ac:dyDescent="0.25">
      <c r="B16" s="36"/>
      <c r="C16" s="5"/>
      <c r="D16" s="79"/>
      <c r="E16" s="5"/>
      <c r="F16" s="6"/>
      <c r="G16" s="4"/>
      <c r="H16" s="4"/>
      <c r="I16" s="4"/>
      <c r="J16" s="118"/>
      <c r="K16" s="118"/>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S6.1</v>
      </c>
      <c r="I25" s="49" t="str">
        <f>C14</f>
        <v>S6.2</v>
      </c>
      <c r="J25" s="49">
        <f>C15</f>
        <v>0</v>
      </c>
      <c r="K25" s="49">
        <f>C16</f>
        <v>0</v>
      </c>
      <c r="L25" s="49">
        <f>C17</f>
        <v>0</v>
      </c>
      <c r="M25" s="49">
        <f>C18</f>
        <v>0</v>
      </c>
      <c r="N25" s="49">
        <f>C19</f>
        <v>0</v>
      </c>
      <c r="O25" s="50" t="s">
        <v>305</v>
      </c>
    </row>
    <row r="26" spans="2:26" ht="46.5" customHeight="1" thickBot="1" x14ac:dyDescent="0.35">
      <c r="C26" s="51" t="s">
        <v>306</v>
      </c>
      <c r="D26" s="119" t="s">
        <v>1513</v>
      </c>
      <c r="E26" s="8">
        <v>2</v>
      </c>
      <c r="F26" s="8">
        <v>1</v>
      </c>
      <c r="G26" s="8">
        <v>1</v>
      </c>
      <c r="H26" s="8"/>
      <c r="I26" s="8"/>
      <c r="J26" s="8"/>
      <c r="K26" s="8"/>
      <c r="L26" s="8"/>
      <c r="M26" s="8"/>
      <c r="N26" s="8"/>
      <c r="O26" s="53" t="b">
        <f>IF(SUM(F26:N26)=E26,TRUE,"false")</f>
        <v>1</v>
      </c>
    </row>
    <row r="27" spans="2:26" ht="30.4" customHeight="1" thickBot="1" x14ac:dyDescent="0.3">
      <c r="C27" s="51" t="s">
        <v>307</v>
      </c>
      <c r="D27" s="120" t="s">
        <v>1514</v>
      </c>
      <c r="E27" s="8">
        <v>2</v>
      </c>
      <c r="F27" s="8"/>
      <c r="G27" s="8"/>
      <c r="H27" s="8">
        <v>1</v>
      </c>
      <c r="I27" s="8">
        <v>1</v>
      </c>
      <c r="J27" s="8"/>
      <c r="K27" s="8"/>
      <c r="L27" s="8"/>
      <c r="M27" s="8"/>
      <c r="N27" s="8"/>
      <c r="O27" s="53" t="b">
        <f t="shared" ref="O27:O40" si="1">IF(SUM(F27:N27)=E27,TRUE,"false")</f>
        <v>1</v>
      </c>
    </row>
    <row r="28" spans="2:26" ht="30.4" customHeight="1" thickBot="1" x14ac:dyDescent="0.3">
      <c r="C28" s="51" t="s">
        <v>308</v>
      </c>
      <c r="D28" s="120" t="s">
        <v>1515</v>
      </c>
      <c r="E28" s="8">
        <v>4</v>
      </c>
      <c r="F28" s="8">
        <v>1</v>
      </c>
      <c r="G28" s="8">
        <v>1</v>
      </c>
      <c r="H28" s="8">
        <v>1</v>
      </c>
      <c r="I28" s="8">
        <v>1</v>
      </c>
      <c r="J28" s="8"/>
      <c r="K28" s="8"/>
      <c r="L28" s="8"/>
      <c r="M28" s="8"/>
      <c r="N28" s="8"/>
      <c r="O28" s="53" t="b">
        <f t="shared" si="1"/>
        <v>1</v>
      </c>
    </row>
    <row r="29" spans="2:26" ht="30.4" customHeight="1" thickBot="1" x14ac:dyDescent="0.3">
      <c r="C29" s="51" t="s">
        <v>309</v>
      </c>
      <c r="D29" s="120" t="s">
        <v>1516</v>
      </c>
      <c r="E29" s="8">
        <v>4</v>
      </c>
      <c r="F29" s="8">
        <v>1</v>
      </c>
      <c r="G29" s="8">
        <v>1</v>
      </c>
      <c r="H29" s="8">
        <v>1</v>
      </c>
      <c r="I29" s="8">
        <v>1</v>
      </c>
      <c r="J29" s="8"/>
      <c r="K29" s="8"/>
      <c r="L29" s="8"/>
      <c r="M29" s="8"/>
      <c r="N29" s="8"/>
      <c r="O29" s="53" t="b">
        <f t="shared" si="1"/>
        <v>1</v>
      </c>
    </row>
    <row r="30" spans="2:26" ht="30.4" customHeight="1" thickBot="1" x14ac:dyDescent="0.3">
      <c r="C30" s="51" t="s">
        <v>310</v>
      </c>
      <c r="D30" s="120" t="s">
        <v>1517</v>
      </c>
      <c r="E30" s="8">
        <v>4</v>
      </c>
      <c r="F30" s="8">
        <v>1</v>
      </c>
      <c r="G30" s="8">
        <v>1</v>
      </c>
      <c r="H30" s="8">
        <v>1</v>
      </c>
      <c r="I30" s="8">
        <v>1</v>
      </c>
      <c r="J30" s="8"/>
      <c r="K30" s="8"/>
      <c r="L30" s="8"/>
      <c r="M30" s="8"/>
      <c r="N30" s="8"/>
      <c r="O30" s="53" t="b">
        <f t="shared" si="1"/>
        <v>1</v>
      </c>
    </row>
    <row r="31" spans="2:26" ht="30.4" customHeight="1" thickBot="1" x14ac:dyDescent="0.3">
      <c r="C31" s="51" t="s">
        <v>311</v>
      </c>
      <c r="D31" s="120" t="s">
        <v>1518</v>
      </c>
      <c r="E31" s="8">
        <v>2</v>
      </c>
      <c r="F31" s="8">
        <v>1</v>
      </c>
      <c r="G31" s="8">
        <v>1</v>
      </c>
      <c r="H31" s="8"/>
      <c r="I31" s="8"/>
      <c r="J31" s="8"/>
      <c r="K31" s="8"/>
      <c r="L31" s="8"/>
      <c r="M31" s="8"/>
      <c r="N31" s="8"/>
      <c r="O31" s="53" t="b">
        <f t="shared" si="1"/>
        <v>1</v>
      </c>
    </row>
    <row r="32" spans="2:26" ht="30.4" customHeight="1" thickBot="1" x14ac:dyDescent="0.3">
      <c r="C32" s="51" t="s">
        <v>312</v>
      </c>
      <c r="D32" s="120" t="s">
        <v>1519</v>
      </c>
      <c r="E32" s="8">
        <v>4</v>
      </c>
      <c r="F32" s="8">
        <v>2</v>
      </c>
      <c r="G32" s="8">
        <v>1</v>
      </c>
      <c r="H32" s="8"/>
      <c r="I32" s="8">
        <v>1</v>
      </c>
      <c r="J32" s="8"/>
      <c r="K32" s="8"/>
      <c r="L32" s="8"/>
      <c r="M32" s="8"/>
      <c r="N32" s="8"/>
      <c r="O32" s="53" t="b">
        <f t="shared" si="1"/>
        <v>1</v>
      </c>
    </row>
    <row r="33" spans="2:15" ht="30.4" customHeight="1" thickBot="1" x14ac:dyDescent="0.3">
      <c r="C33" s="51" t="s">
        <v>313</v>
      </c>
      <c r="D33" s="120" t="s">
        <v>1520</v>
      </c>
      <c r="E33" s="8">
        <v>2</v>
      </c>
      <c r="F33" s="8">
        <v>1</v>
      </c>
      <c r="G33" s="8"/>
      <c r="H33" s="8">
        <v>1</v>
      </c>
      <c r="I33" s="8"/>
      <c r="J33" s="8"/>
      <c r="K33" s="8"/>
      <c r="L33" s="8"/>
      <c r="M33" s="8"/>
      <c r="N33" s="8"/>
      <c r="O33" s="53" t="b">
        <f t="shared" si="1"/>
        <v>1</v>
      </c>
    </row>
    <row r="34" spans="2:15" ht="30.4" customHeight="1" thickBot="1" x14ac:dyDescent="0.3">
      <c r="C34" s="51" t="s">
        <v>314</v>
      </c>
      <c r="D34" s="121" t="s">
        <v>1521</v>
      </c>
      <c r="E34" s="8">
        <v>4</v>
      </c>
      <c r="F34" s="8">
        <v>1</v>
      </c>
      <c r="G34" s="8">
        <v>1</v>
      </c>
      <c r="H34" s="8">
        <v>1</v>
      </c>
      <c r="I34" s="8">
        <v>1</v>
      </c>
      <c r="J34" s="8"/>
      <c r="K34" s="8"/>
      <c r="L34" s="8"/>
      <c r="M34" s="8"/>
      <c r="N34" s="8"/>
      <c r="O34" s="53" t="b">
        <f t="shared" si="1"/>
        <v>1</v>
      </c>
    </row>
    <row r="35" spans="2:15" ht="30.4" customHeight="1" thickBot="1" x14ac:dyDescent="0.3">
      <c r="C35" s="51" t="s">
        <v>315</v>
      </c>
      <c r="D35" s="121" t="s">
        <v>1522</v>
      </c>
      <c r="E35" s="8">
        <v>2</v>
      </c>
      <c r="F35" s="8">
        <v>1</v>
      </c>
      <c r="G35" s="8">
        <v>1</v>
      </c>
      <c r="H35" s="8"/>
      <c r="I35" s="8"/>
      <c r="J35" s="8"/>
      <c r="K35" s="8"/>
      <c r="L35" s="8"/>
      <c r="M35" s="8"/>
      <c r="N35" s="8"/>
      <c r="O35" s="53" t="b">
        <f t="shared" si="1"/>
        <v>1</v>
      </c>
    </row>
    <row r="36" spans="2:15" ht="30.4" customHeight="1" thickBot="1" x14ac:dyDescent="0.3">
      <c r="C36" s="51" t="s">
        <v>316</v>
      </c>
      <c r="D36" s="79"/>
      <c r="E36" s="8"/>
      <c r="F36" s="8"/>
      <c r="G36" s="8"/>
      <c r="H36" s="8"/>
      <c r="I36" s="8"/>
      <c r="J36" s="8"/>
      <c r="K36" s="8"/>
      <c r="L36" s="8"/>
      <c r="M36" s="8"/>
      <c r="N36" s="8"/>
      <c r="O36" s="53" t="b">
        <f t="shared" si="1"/>
        <v>1</v>
      </c>
    </row>
    <row r="37" spans="2:15" ht="30.4" customHeight="1" thickBot="1" x14ac:dyDescent="0.3">
      <c r="C37" s="51" t="s">
        <v>317</v>
      </c>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10</v>
      </c>
      <c r="G40" s="52">
        <f t="shared" si="2"/>
        <v>8</v>
      </c>
      <c r="H40" s="52">
        <f t="shared" si="2"/>
        <v>6</v>
      </c>
      <c r="I40" s="52">
        <f t="shared" si="2"/>
        <v>6</v>
      </c>
      <c r="J40" s="52">
        <f t="shared" si="2"/>
        <v>0</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0.33</v>
      </c>
      <c r="G41" s="54">
        <f>ROUND(G40/E40,2)</f>
        <v>0.27</v>
      </c>
      <c r="H41" s="54">
        <f>ROUND(H40/E40,2)</f>
        <v>0.2</v>
      </c>
      <c r="I41" s="54">
        <f>ROUND(I40/E40,2)</f>
        <v>0.2</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30</v>
      </c>
      <c r="G42" s="7">
        <v>30</v>
      </c>
      <c r="H42" s="7">
        <v>20</v>
      </c>
      <c r="I42" s="7">
        <v>20</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S6.1</v>
      </c>
      <c r="H46" s="59" t="str">
        <f>C14</f>
        <v>S6.2</v>
      </c>
      <c r="I46" s="59">
        <f>C15</f>
        <v>0</v>
      </c>
      <c r="J46" s="59">
        <f>C16</f>
        <v>0</v>
      </c>
      <c r="K46" s="59">
        <f>C17</f>
        <v>0</v>
      </c>
      <c r="L46" s="59">
        <f>C18</f>
        <v>0</v>
      </c>
      <c r="M46" s="59">
        <f>C19</f>
        <v>0</v>
      </c>
      <c r="N46" s="60" t="s">
        <v>327</v>
      </c>
    </row>
    <row r="47" spans="2:15" ht="55.15" customHeight="1" x14ac:dyDescent="0.25">
      <c r="C47" s="9" t="s">
        <v>410</v>
      </c>
      <c r="D47" s="10">
        <v>20</v>
      </c>
      <c r="E47" s="8">
        <v>10</v>
      </c>
      <c r="F47" s="8">
        <v>5</v>
      </c>
      <c r="G47" s="8">
        <v>5</v>
      </c>
      <c r="H47" s="8"/>
      <c r="I47" s="8"/>
      <c r="J47" s="8"/>
      <c r="K47" s="8"/>
      <c r="L47" s="8"/>
      <c r="M47" s="8"/>
      <c r="N47" s="55" t="b">
        <f t="shared" ref="N47:N54" si="3">IF(SUM(E47:M47)=D47,TRUE,"false")</f>
        <v>1</v>
      </c>
    </row>
    <row r="48" spans="2:15" ht="55.15" customHeight="1" x14ac:dyDescent="0.25">
      <c r="C48" s="9" t="s">
        <v>458</v>
      </c>
      <c r="D48" s="10">
        <v>10</v>
      </c>
      <c r="E48" s="11">
        <v>5</v>
      </c>
      <c r="F48" s="12"/>
      <c r="G48" s="12"/>
      <c r="H48" s="12">
        <v>5</v>
      </c>
      <c r="I48" s="12"/>
      <c r="J48" s="12"/>
      <c r="K48" s="12"/>
      <c r="L48" s="12"/>
      <c r="M48" s="12"/>
      <c r="N48" s="55" t="b">
        <f t="shared" si="3"/>
        <v>1</v>
      </c>
    </row>
    <row r="49" spans="3:14" ht="55.15" customHeight="1" x14ac:dyDescent="0.25">
      <c r="C49" s="9" t="s">
        <v>331</v>
      </c>
      <c r="D49" s="10">
        <v>10</v>
      </c>
      <c r="E49" s="11">
        <v>5</v>
      </c>
      <c r="F49" s="12">
        <v>5</v>
      </c>
      <c r="G49" s="12"/>
      <c r="H49" s="12"/>
      <c r="I49" s="12"/>
      <c r="J49" s="12"/>
      <c r="K49" s="12"/>
      <c r="L49" s="12"/>
      <c r="M49" s="12"/>
      <c r="N49" s="55" t="b">
        <f t="shared" si="3"/>
        <v>1</v>
      </c>
    </row>
    <row r="50" spans="3:14" ht="55.15" customHeight="1" x14ac:dyDescent="0.25">
      <c r="C50" s="9" t="s">
        <v>480</v>
      </c>
      <c r="D50" s="10">
        <v>10</v>
      </c>
      <c r="E50" s="11"/>
      <c r="F50" s="12">
        <v>5</v>
      </c>
      <c r="G50" s="12"/>
      <c r="H50" s="12">
        <v>5</v>
      </c>
      <c r="I50" s="12"/>
      <c r="J50" s="12"/>
      <c r="K50" s="12"/>
      <c r="L50" s="12"/>
      <c r="M50" s="12"/>
      <c r="N50" s="55" t="b">
        <f t="shared" si="3"/>
        <v>1</v>
      </c>
    </row>
    <row r="51" spans="3:14" ht="55.15" customHeight="1" x14ac:dyDescent="0.25">
      <c r="C51" s="9" t="s">
        <v>332</v>
      </c>
      <c r="D51" s="10">
        <v>10</v>
      </c>
      <c r="E51" s="11"/>
      <c r="F51" s="12">
        <v>5</v>
      </c>
      <c r="G51" s="12">
        <v>5</v>
      </c>
      <c r="H51" s="12"/>
      <c r="I51" s="12"/>
      <c r="J51" s="12"/>
      <c r="K51" s="12"/>
      <c r="L51" s="12"/>
      <c r="M51" s="12"/>
      <c r="N51" s="55" t="b">
        <f t="shared" si="3"/>
        <v>1</v>
      </c>
    </row>
    <row r="52" spans="3:14" ht="55.15" customHeight="1" x14ac:dyDescent="0.25">
      <c r="C52" s="9" t="s">
        <v>460</v>
      </c>
      <c r="D52" s="10">
        <v>40</v>
      </c>
      <c r="E52" s="11">
        <v>10</v>
      </c>
      <c r="F52" s="12">
        <v>10</v>
      </c>
      <c r="G52" s="12">
        <v>10</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30</v>
      </c>
      <c r="F56" s="65">
        <f t="shared" si="5"/>
        <v>30</v>
      </c>
      <c r="G56" s="65">
        <f t="shared" si="5"/>
        <v>20</v>
      </c>
      <c r="H56" s="65">
        <f t="shared" si="5"/>
        <v>20</v>
      </c>
      <c r="I56" s="65">
        <f t="shared" si="5"/>
        <v>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477" priority="1">
      <formula>LEN(TRIM(D47))=0</formula>
    </cfRule>
    <cfRule type="cellIs" dxfId="1476" priority="2" operator="equal">
      <formula>0</formula>
    </cfRule>
  </conditionalFormatting>
  <conditionalFormatting sqref="E50">
    <cfRule type="containsBlanks" dxfId="1475" priority="7">
      <formula>LEN(TRIM(E50))=0</formula>
    </cfRule>
    <cfRule type="cellIs" dxfId="1474" priority="8" operator="equal">
      <formula>0</formula>
    </cfRule>
  </conditionalFormatting>
  <conditionalFormatting sqref="E47:J51 E52">
    <cfRule type="containsBlanks" dxfId="1473" priority="3">
      <formula>LEN(TRIM(E47))=0</formula>
    </cfRule>
    <cfRule type="cellIs" dxfId="1472" priority="4" operator="equal">
      <formula>0</formula>
    </cfRule>
  </conditionalFormatting>
  <conditionalFormatting sqref="E53:M54">
    <cfRule type="containsBlanks" dxfId="1471" priority="37">
      <formula>LEN(TRIM(E53))=0</formula>
    </cfRule>
    <cfRule type="cellIs" dxfId="1470" priority="38" operator="equal">
      <formula>0</formula>
    </cfRule>
  </conditionalFormatting>
  <conditionalFormatting sqref="E55:M55">
    <cfRule type="containsText" dxfId="1469" priority="27" operator="containsText" text="false">
      <formula>NOT(ISERROR(SEARCH("false",E55)))</formula>
    </cfRule>
    <cfRule type="containsText" dxfId="1468" priority="28" operator="containsText" text="true">
      <formula>NOT(ISERROR(SEARCH("true",E55)))</formula>
    </cfRule>
  </conditionalFormatting>
  <conditionalFormatting sqref="E26:N39">
    <cfRule type="containsBlanks" dxfId="1467" priority="21">
      <formula>LEN(TRIM(E26))=0</formula>
    </cfRule>
    <cfRule type="cellIs" dxfId="1466" priority="22" operator="equal">
      <formula>0</formula>
    </cfRule>
  </conditionalFormatting>
  <conditionalFormatting sqref="F48:J48">
    <cfRule type="containsBlanks" dxfId="1465" priority="9">
      <formula>LEN(TRIM(F48))=0</formula>
    </cfRule>
    <cfRule type="cellIs" dxfId="1464" priority="10" operator="equal">
      <formula>0</formula>
    </cfRule>
  </conditionalFormatting>
  <conditionalFormatting sqref="F50:J52">
    <cfRule type="containsBlanks" dxfId="1463" priority="5">
      <formula>LEN(TRIM(F50))=0</formula>
    </cfRule>
    <cfRule type="cellIs" dxfId="1462" priority="6" operator="equal">
      <formula>0</formula>
    </cfRule>
  </conditionalFormatting>
  <conditionalFormatting sqref="K47:M52">
    <cfRule type="containsBlanks" dxfId="1461" priority="39">
      <formula>LEN(TRIM(K47))=0</formula>
    </cfRule>
    <cfRule type="cellIs" dxfId="1460" priority="40" operator="equal">
      <formula>0</formula>
    </cfRule>
  </conditionalFormatting>
  <conditionalFormatting sqref="N47:N54">
    <cfRule type="containsText" dxfId="1459" priority="29" operator="containsText" text="false">
      <formula>NOT(ISERROR(SEARCH("false",N47)))</formula>
    </cfRule>
    <cfRule type="containsText" dxfId="1458" priority="30" operator="containsText" text="true">
      <formula>NOT(ISERROR(SEARCH("true",N47)))</formula>
    </cfRule>
  </conditionalFormatting>
  <conditionalFormatting sqref="N55">
    <cfRule type="containsBlanks" dxfId="1457" priority="35">
      <formula>LEN(TRIM(N55))=0</formula>
    </cfRule>
    <cfRule type="cellIs" dxfId="1456" priority="36" operator="equal">
      <formula>0</formula>
    </cfRule>
  </conditionalFormatting>
  <conditionalFormatting sqref="O26:O40">
    <cfRule type="containsText" dxfId="1455" priority="31" operator="containsText" text="false">
      <formula>NOT(ISERROR(SEARCH("false",O26)))</formula>
    </cfRule>
    <cfRule type="containsText" dxfId="1454" priority="32" operator="containsText" text="true">
      <formula>NOT(ISERROR(SEARCH("true",O26)))</formula>
    </cfRule>
  </conditionalFormatting>
  <conditionalFormatting sqref="O42">
    <cfRule type="cellIs" dxfId="1453" priority="23" operator="notEqual">
      <formula>100</formula>
    </cfRule>
    <cfRule type="cellIs" dxfId="1452" priority="24"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0953962-F5C4-40FE-82A9-C95A59B8FF14}">
          <x14:formula1>
            <xm:f>'Name and Course code'!$A$2:$A$76</xm:f>
          </x14:formula1>
          <xm:sqref>K6</xm:sqref>
        </x14:dataValidation>
        <x14:dataValidation type="list" allowBlank="1" showInputMessage="1" showErrorMessage="1" xr:uid="{09E66B4B-98C8-40D4-B894-6A10C35FB529}">
          <x14:formula1>
            <xm:f>'Name and Course code'!$B$2:$B$76</xm:f>
          </x14:formula1>
          <xm:sqref>I6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A8052-8FC8-42F6-A9B7-DF937F0BE466}">
  <sheetPr>
    <tabColor theme="8" tint="0.39997558519241921"/>
  </sheetPr>
  <dimension ref="B2:AB57"/>
  <sheetViews>
    <sheetView topLeftCell="B1"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136</v>
      </c>
      <c r="J6" s="43" t="s">
        <v>278</v>
      </c>
      <c r="K6" s="1" t="s">
        <v>135</v>
      </c>
    </row>
    <row r="7" spans="2:26" ht="72.599999999999994" customHeight="1" thickBot="1" x14ac:dyDescent="0.3">
      <c r="B7" s="160"/>
      <c r="C7" s="161"/>
      <c r="D7" s="43" t="s">
        <v>279</v>
      </c>
      <c r="E7" s="1">
        <v>1</v>
      </c>
      <c r="F7" s="43" t="s">
        <v>280</v>
      </c>
      <c r="G7" s="1">
        <v>2</v>
      </c>
      <c r="H7" s="43" t="s">
        <v>281</v>
      </c>
      <c r="I7" s="1">
        <v>2</v>
      </c>
      <c r="J7" s="43" t="s">
        <v>283</v>
      </c>
      <c r="K7" s="1" t="s">
        <v>365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2" t="s">
        <v>297</v>
      </c>
      <c r="D11" s="80" t="s">
        <v>1714</v>
      </c>
      <c r="E11" s="2" t="s">
        <v>7</v>
      </c>
      <c r="F11" s="3"/>
      <c r="G11" s="17"/>
      <c r="H11" s="17">
        <v>0.6</v>
      </c>
      <c r="I11" s="17">
        <v>1</v>
      </c>
      <c r="J11" s="80" t="s">
        <v>340</v>
      </c>
      <c r="K11" s="81" t="s">
        <v>341</v>
      </c>
      <c r="U11" s="3">
        <f>F11</f>
        <v>0</v>
      </c>
      <c r="V11" s="2" t="str">
        <f>C11</f>
        <v>K1.1</v>
      </c>
      <c r="W11" s="2"/>
      <c r="X11" s="17"/>
      <c r="Y11" s="37"/>
      <c r="Z11" s="37"/>
    </row>
    <row r="12" spans="2:26" ht="100.9" customHeight="1" x14ac:dyDescent="0.25">
      <c r="B12" s="36"/>
      <c r="C12" s="2" t="s">
        <v>298</v>
      </c>
      <c r="D12" s="80" t="s">
        <v>366</v>
      </c>
      <c r="E12" s="2" t="s">
        <v>7</v>
      </c>
      <c r="F12" s="6"/>
      <c r="G12" s="4"/>
      <c r="H12" s="4">
        <v>0.6</v>
      </c>
      <c r="I12" s="4">
        <v>1</v>
      </c>
      <c r="J12" s="80" t="s">
        <v>367</v>
      </c>
      <c r="K12" s="81" t="s">
        <v>368</v>
      </c>
      <c r="U12" s="6">
        <f t="shared" ref="U12:U19" si="0">F12</f>
        <v>0</v>
      </c>
      <c r="V12" s="2" t="str">
        <f>C12</f>
        <v>K1.2</v>
      </c>
      <c r="W12" s="5"/>
      <c r="X12" s="4"/>
      <c r="Y12" s="38"/>
      <c r="Z12" s="38"/>
    </row>
    <row r="13" spans="2:26" ht="102" customHeight="1" x14ac:dyDescent="0.25">
      <c r="B13" s="36"/>
      <c r="C13" s="5" t="s">
        <v>752</v>
      </c>
      <c r="D13" s="80" t="s">
        <v>369</v>
      </c>
      <c r="E13" s="5" t="s">
        <v>35</v>
      </c>
      <c r="F13" s="6"/>
      <c r="G13" s="4"/>
      <c r="H13" s="4">
        <v>0.6</v>
      </c>
      <c r="I13" s="4">
        <v>1</v>
      </c>
      <c r="J13" s="80" t="s">
        <v>370</v>
      </c>
      <c r="K13" s="81" t="s">
        <v>344</v>
      </c>
      <c r="U13" s="6">
        <f t="shared" si="0"/>
        <v>0</v>
      </c>
      <c r="V13" s="2" t="str">
        <f>C13</f>
        <v>S4.1</v>
      </c>
      <c r="W13" s="5"/>
      <c r="X13" s="4"/>
      <c r="Y13" s="38"/>
      <c r="Z13" s="38"/>
    </row>
    <row r="14" spans="2:26" ht="58.9" customHeight="1" x14ac:dyDescent="0.25">
      <c r="B14" s="36"/>
      <c r="C14" s="5" t="s">
        <v>1501</v>
      </c>
      <c r="D14" s="80" t="s">
        <v>371</v>
      </c>
      <c r="E14" s="5" t="s">
        <v>35</v>
      </c>
      <c r="F14" s="6"/>
      <c r="G14" s="4"/>
      <c r="H14" s="4">
        <v>0.6</v>
      </c>
      <c r="I14" s="4">
        <v>1</v>
      </c>
      <c r="J14" s="80" t="s">
        <v>372</v>
      </c>
      <c r="K14" s="81" t="s">
        <v>347</v>
      </c>
      <c r="U14" s="6">
        <f t="shared" si="0"/>
        <v>0</v>
      </c>
      <c r="V14" s="2" t="str">
        <f>C14</f>
        <v>S4.2</v>
      </c>
      <c r="W14" s="5"/>
      <c r="X14" s="4"/>
      <c r="Y14" s="38"/>
      <c r="Z14" s="38"/>
    </row>
    <row r="15" spans="2:26" ht="58.9" customHeight="1" x14ac:dyDescent="0.25">
      <c r="B15" s="36"/>
      <c r="C15" s="5" t="s">
        <v>1502</v>
      </c>
      <c r="D15" s="80" t="s">
        <v>373</v>
      </c>
      <c r="E15" s="5" t="s">
        <v>35</v>
      </c>
      <c r="F15" s="6"/>
      <c r="G15" s="4"/>
      <c r="H15" s="4">
        <v>0.6</v>
      </c>
      <c r="I15" s="4">
        <v>1</v>
      </c>
      <c r="J15" s="80" t="s">
        <v>374</v>
      </c>
      <c r="K15" s="81" t="s">
        <v>349</v>
      </c>
      <c r="U15" s="6">
        <f t="shared" si="0"/>
        <v>0</v>
      </c>
      <c r="V15" s="2" t="str">
        <f>C15</f>
        <v>S4.3</v>
      </c>
      <c r="W15" s="5"/>
      <c r="X15" s="4"/>
      <c r="Y15" s="38"/>
      <c r="Z15" s="38"/>
    </row>
    <row r="16" spans="2:26" ht="58.9" customHeight="1" x14ac:dyDescent="0.25">
      <c r="B16" s="36"/>
      <c r="C16" s="5" t="s">
        <v>1503</v>
      </c>
      <c r="D16" s="80" t="s">
        <v>375</v>
      </c>
      <c r="E16" s="5" t="s">
        <v>35</v>
      </c>
      <c r="F16" s="6"/>
      <c r="G16" s="4"/>
      <c r="H16" s="4">
        <v>0.6</v>
      </c>
      <c r="I16" s="4">
        <v>1</v>
      </c>
      <c r="J16" s="80" t="s">
        <v>376</v>
      </c>
      <c r="K16" s="81" t="s">
        <v>377</v>
      </c>
      <c r="U16" s="6"/>
      <c r="V16" s="2"/>
      <c r="W16" s="5"/>
      <c r="X16" s="4"/>
      <c r="Y16" s="38"/>
      <c r="Z16" s="38"/>
    </row>
    <row r="17" spans="2:26" ht="58.9" customHeight="1" x14ac:dyDescent="0.25">
      <c r="B17" s="36"/>
      <c r="C17" s="5" t="s">
        <v>300</v>
      </c>
      <c r="D17" s="80" t="s">
        <v>378</v>
      </c>
      <c r="E17" s="5" t="s">
        <v>44</v>
      </c>
      <c r="F17" s="6"/>
      <c r="G17" s="4"/>
      <c r="H17" s="4">
        <v>0.6</v>
      </c>
      <c r="I17" s="4">
        <v>1</v>
      </c>
      <c r="J17" s="80" t="s">
        <v>379</v>
      </c>
      <c r="K17" s="81" t="s">
        <v>380</v>
      </c>
      <c r="U17" s="6">
        <f t="shared" si="0"/>
        <v>0</v>
      </c>
      <c r="V17" s="2" t="str">
        <f>C17</f>
        <v>V1.1</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S4.1</v>
      </c>
      <c r="I25" s="49" t="str">
        <f>C14</f>
        <v>S4.2</v>
      </c>
      <c r="J25" s="49" t="str">
        <f>C15</f>
        <v>S4.3</v>
      </c>
      <c r="K25" s="49" t="str">
        <f>C16</f>
        <v>S4.4</v>
      </c>
      <c r="L25" s="49" t="str">
        <f>C17</f>
        <v>V1.1</v>
      </c>
      <c r="M25" s="49">
        <f>C18</f>
        <v>0</v>
      </c>
      <c r="N25" s="49">
        <f>C19</f>
        <v>0</v>
      </c>
      <c r="O25" s="50" t="s">
        <v>305</v>
      </c>
    </row>
    <row r="26" spans="2:26" ht="46.5" customHeight="1" thickBot="1" x14ac:dyDescent="0.3">
      <c r="C26" s="51" t="s">
        <v>306</v>
      </c>
      <c r="D26" s="80" t="s">
        <v>381</v>
      </c>
      <c r="E26" s="8">
        <v>2</v>
      </c>
      <c r="F26" s="8">
        <v>1</v>
      </c>
      <c r="G26" s="8">
        <v>1</v>
      </c>
      <c r="H26" s="8"/>
      <c r="I26" s="8"/>
      <c r="J26" s="8"/>
      <c r="K26" s="8"/>
      <c r="L26" s="8"/>
      <c r="M26" s="8"/>
      <c r="N26" s="8"/>
      <c r="O26" s="53" t="b">
        <f>IF(SUM(F26:N26)=E26,TRUE,"false")</f>
        <v>1</v>
      </c>
    </row>
    <row r="27" spans="2:26" ht="30.4" customHeight="1" thickBot="1" x14ac:dyDescent="0.3">
      <c r="C27" s="51" t="s">
        <v>307</v>
      </c>
      <c r="D27" s="80" t="s">
        <v>382</v>
      </c>
      <c r="E27" s="8">
        <v>4</v>
      </c>
      <c r="F27" s="8">
        <v>2</v>
      </c>
      <c r="G27" s="8">
        <v>2</v>
      </c>
      <c r="H27" s="8"/>
      <c r="I27" s="8"/>
      <c r="J27" s="8"/>
      <c r="K27" s="8"/>
      <c r="L27" s="8"/>
      <c r="M27" s="8"/>
      <c r="N27" s="8"/>
      <c r="O27" s="53" t="b">
        <f t="shared" ref="O27:O40" si="1">IF(SUM(F27:N27)=E27,TRUE,"false")</f>
        <v>1</v>
      </c>
    </row>
    <row r="28" spans="2:26" ht="30.4" customHeight="1" thickBot="1" x14ac:dyDescent="0.3">
      <c r="C28" s="51" t="s">
        <v>308</v>
      </c>
      <c r="D28" s="80" t="s">
        <v>383</v>
      </c>
      <c r="E28" s="8">
        <v>4</v>
      </c>
      <c r="F28" s="8"/>
      <c r="G28" s="8">
        <v>2</v>
      </c>
      <c r="H28" s="8">
        <v>1</v>
      </c>
      <c r="I28" s="8">
        <v>1</v>
      </c>
      <c r="J28" s="8"/>
      <c r="K28" s="8"/>
      <c r="L28" s="8"/>
      <c r="M28" s="8"/>
      <c r="N28" s="8"/>
      <c r="O28" s="53" t="b">
        <f t="shared" si="1"/>
        <v>1</v>
      </c>
    </row>
    <row r="29" spans="2:26" ht="30.4" customHeight="1" thickBot="1" x14ac:dyDescent="0.3">
      <c r="C29" s="51" t="s">
        <v>309</v>
      </c>
      <c r="D29" s="80" t="s">
        <v>384</v>
      </c>
      <c r="E29" s="8">
        <v>4</v>
      </c>
      <c r="F29" s="8"/>
      <c r="G29" s="8">
        <v>2</v>
      </c>
      <c r="H29" s="8">
        <v>1</v>
      </c>
      <c r="I29" s="8"/>
      <c r="J29" s="8">
        <v>1</v>
      </c>
      <c r="K29" s="8"/>
      <c r="L29" s="8"/>
      <c r="M29" s="8"/>
      <c r="N29" s="8"/>
      <c r="O29" s="53" t="b">
        <f t="shared" si="1"/>
        <v>1</v>
      </c>
    </row>
    <row r="30" spans="2:26" ht="30.4" customHeight="1" thickBot="1" x14ac:dyDescent="0.3">
      <c r="C30" s="51" t="s">
        <v>310</v>
      </c>
      <c r="D30" s="80" t="s">
        <v>385</v>
      </c>
      <c r="E30" s="8">
        <v>2</v>
      </c>
      <c r="F30" s="8">
        <v>1</v>
      </c>
      <c r="H30" s="8">
        <v>0.5</v>
      </c>
      <c r="J30" s="8">
        <v>0.5</v>
      </c>
      <c r="K30" s="8"/>
      <c r="L30" s="8"/>
      <c r="M30" s="8"/>
      <c r="N30" s="8"/>
      <c r="O30" s="53" t="b">
        <f t="shared" si="1"/>
        <v>1</v>
      </c>
    </row>
    <row r="31" spans="2:26" ht="30.4" customHeight="1" thickBot="1" x14ac:dyDescent="0.3">
      <c r="C31" s="51" t="s">
        <v>311</v>
      </c>
      <c r="D31" s="80" t="s">
        <v>386</v>
      </c>
      <c r="E31" s="8">
        <v>2</v>
      </c>
      <c r="F31" s="8">
        <v>1</v>
      </c>
      <c r="G31" s="8"/>
      <c r="H31" s="8"/>
      <c r="I31" s="8">
        <v>0.5</v>
      </c>
      <c r="J31" s="8">
        <v>0.5</v>
      </c>
      <c r="K31" s="8"/>
      <c r="L31" s="8"/>
      <c r="M31" s="8"/>
      <c r="N31" s="8"/>
      <c r="O31" s="53" t="b">
        <f t="shared" si="1"/>
        <v>1</v>
      </c>
    </row>
    <row r="32" spans="2:26" ht="30.4" customHeight="1" thickBot="1" x14ac:dyDescent="0.3">
      <c r="C32" s="51" t="s">
        <v>312</v>
      </c>
      <c r="D32" s="80" t="s">
        <v>387</v>
      </c>
      <c r="E32" s="8">
        <v>2</v>
      </c>
      <c r="F32" s="8"/>
      <c r="G32" s="8">
        <v>0.5</v>
      </c>
      <c r="H32" s="8"/>
      <c r="I32" s="8">
        <v>0.5</v>
      </c>
      <c r="J32" s="8">
        <v>0.5</v>
      </c>
      <c r="K32" s="8">
        <v>0.5</v>
      </c>
      <c r="L32" s="8"/>
      <c r="M32" s="8"/>
      <c r="N32" s="8"/>
      <c r="O32" s="53" t="b">
        <f t="shared" si="1"/>
        <v>1</v>
      </c>
    </row>
    <row r="33" spans="2:15" ht="30.4" customHeight="1" thickBot="1" x14ac:dyDescent="0.3">
      <c r="C33" s="51" t="s">
        <v>313</v>
      </c>
      <c r="D33" s="80" t="s">
        <v>388</v>
      </c>
      <c r="E33" s="8">
        <v>2</v>
      </c>
      <c r="F33" s="8"/>
      <c r="G33" s="8">
        <v>0.5</v>
      </c>
      <c r="H33" s="8">
        <v>0.5</v>
      </c>
      <c r="I33" s="8">
        <v>0.5</v>
      </c>
      <c r="J33" s="8">
        <v>0.5</v>
      </c>
      <c r="K33" s="8"/>
      <c r="L33" s="8"/>
      <c r="M33" s="8"/>
      <c r="N33" s="8"/>
      <c r="O33" s="53" t="b">
        <f t="shared" si="1"/>
        <v>1</v>
      </c>
    </row>
    <row r="34" spans="2:15" ht="30.4" customHeight="1" thickBot="1" x14ac:dyDescent="0.3">
      <c r="C34" s="51" t="s">
        <v>314</v>
      </c>
      <c r="D34" s="80" t="s">
        <v>389</v>
      </c>
      <c r="E34" s="8">
        <v>4</v>
      </c>
      <c r="F34" s="8">
        <v>0.5</v>
      </c>
      <c r="G34" s="8">
        <v>0.5</v>
      </c>
      <c r="H34" s="8"/>
      <c r="I34" s="8">
        <v>0.5</v>
      </c>
      <c r="J34" s="8">
        <v>0.5</v>
      </c>
      <c r="K34" s="8"/>
      <c r="L34" s="8">
        <v>2</v>
      </c>
      <c r="M34" s="8"/>
      <c r="N34" s="8"/>
      <c r="O34" s="53" t="b">
        <f t="shared" si="1"/>
        <v>1</v>
      </c>
    </row>
    <row r="35" spans="2:15" ht="30.4" customHeight="1" thickBot="1" x14ac:dyDescent="0.3">
      <c r="C35" s="51" t="s">
        <v>315</v>
      </c>
      <c r="D35" s="80" t="s">
        <v>390</v>
      </c>
      <c r="E35" s="8">
        <v>2</v>
      </c>
      <c r="F35" s="8">
        <v>0.5</v>
      </c>
      <c r="G35" s="8"/>
      <c r="H35" s="8">
        <v>0.5</v>
      </c>
      <c r="I35" s="8">
        <v>0.5</v>
      </c>
      <c r="J35" s="8">
        <v>0.5</v>
      </c>
      <c r="K35" s="8"/>
      <c r="L35" s="8"/>
      <c r="M35" s="8"/>
      <c r="N35" s="8"/>
      <c r="O35" s="53" t="b">
        <f t="shared" si="1"/>
        <v>1</v>
      </c>
    </row>
    <row r="36" spans="2:15" ht="30.4" customHeight="1" thickBot="1" x14ac:dyDescent="0.3">
      <c r="C36" s="51" t="s">
        <v>316</v>
      </c>
      <c r="D36" s="80" t="s">
        <v>391</v>
      </c>
      <c r="E36" s="8">
        <v>2</v>
      </c>
      <c r="F36" s="8">
        <v>0.5</v>
      </c>
      <c r="G36" s="8"/>
      <c r="H36" s="8"/>
      <c r="I36" s="8"/>
      <c r="J36" s="8"/>
      <c r="K36" s="8">
        <v>1.5</v>
      </c>
      <c r="L36" s="8"/>
      <c r="M36" s="8"/>
      <c r="N36" s="8"/>
      <c r="O36" s="53" t="b">
        <f t="shared" si="1"/>
        <v>1</v>
      </c>
    </row>
    <row r="37" spans="2:15" ht="30.4" customHeight="1" thickBot="1" x14ac:dyDescent="0.3">
      <c r="C37" s="51" t="s">
        <v>317</v>
      </c>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6.5</v>
      </c>
      <c r="G40" s="52">
        <f t="shared" si="2"/>
        <v>8.5</v>
      </c>
      <c r="H40" s="52">
        <f t="shared" si="2"/>
        <v>3.5</v>
      </c>
      <c r="I40" s="52">
        <f t="shared" si="2"/>
        <v>3.5</v>
      </c>
      <c r="J40" s="52">
        <f t="shared" si="2"/>
        <v>4</v>
      </c>
      <c r="K40" s="52">
        <f t="shared" si="2"/>
        <v>2</v>
      </c>
      <c r="L40" s="52">
        <f t="shared" si="2"/>
        <v>2</v>
      </c>
      <c r="M40" s="52">
        <f t="shared" si="2"/>
        <v>0</v>
      </c>
      <c r="N40" s="52">
        <f t="shared" si="2"/>
        <v>0</v>
      </c>
      <c r="O40" s="53" t="b">
        <f t="shared" si="1"/>
        <v>1</v>
      </c>
    </row>
    <row r="41" spans="2:15" s="20" customFormat="1" ht="71.650000000000006" customHeight="1" x14ac:dyDescent="0.25">
      <c r="C41" s="150" t="s">
        <v>321</v>
      </c>
      <c r="D41" s="150"/>
      <c r="E41" s="150"/>
      <c r="F41" s="54">
        <f>ROUND(F40/E40,2)</f>
        <v>0.22</v>
      </c>
      <c r="G41" s="54">
        <f>ROUND(G40/E40,2)</f>
        <v>0.28000000000000003</v>
      </c>
      <c r="H41" s="54">
        <f>ROUND(H40/E40,2)</f>
        <v>0.12</v>
      </c>
      <c r="I41" s="54">
        <f>ROUND(I40/E40,2)</f>
        <v>0.12</v>
      </c>
      <c r="J41" s="54">
        <f>ROUND(J40/E40,2)</f>
        <v>0.13</v>
      </c>
      <c r="K41" s="54">
        <f>ROUND(K40/E40,2)</f>
        <v>7.0000000000000007E-2</v>
      </c>
      <c r="L41" s="54">
        <f>ROUND(L40/E40,2)</f>
        <v>7.0000000000000007E-2</v>
      </c>
      <c r="M41" s="54">
        <f>ROUND(M40/E40,2)</f>
        <v>0</v>
      </c>
      <c r="N41" s="54">
        <f>ROUND(N40/E40,2)</f>
        <v>0</v>
      </c>
      <c r="O41" s="54">
        <f>SUM(F41:N41)</f>
        <v>1.01</v>
      </c>
    </row>
    <row r="42" spans="2:15" ht="55.9" customHeight="1" x14ac:dyDescent="0.25">
      <c r="C42" s="151" t="s">
        <v>322</v>
      </c>
      <c r="D42" s="151"/>
      <c r="E42" s="151"/>
      <c r="F42" s="7">
        <v>25</v>
      </c>
      <c r="G42" s="7">
        <v>25</v>
      </c>
      <c r="H42" s="7">
        <v>10</v>
      </c>
      <c r="I42" s="7">
        <v>15</v>
      </c>
      <c r="J42" s="7">
        <v>15</v>
      </c>
      <c r="K42" s="7">
        <v>5</v>
      </c>
      <c r="L42" s="7">
        <v>5</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S4.1</v>
      </c>
      <c r="H46" s="59" t="str">
        <f>C14</f>
        <v>S4.2</v>
      </c>
      <c r="I46" s="59" t="str">
        <f>C15</f>
        <v>S4.3</v>
      </c>
      <c r="J46" s="59" t="str">
        <f>C16</f>
        <v>S4.4</v>
      </c>
      <c r="K46" s="59" t="str">
        <f>C17</f>
        <v>V1.1</v>
      </c>
      <c r="L46" s="59">
        <f>C18</f>
        <v>0</v>
      </c>
      <c r="M46" s="59">
        <f>C19</f>
        <v>0</v>
      </c>
      <c r="N46" s="60" t="s">
        <v>327</v>
      </c>
    </row>
    <row r="47" spans="2:15" ht="55.15" customHeight="1" x14ac:dyDescent="0.25">
      <c r="C47" s="9" t="s">
        <v>328</v>
      </c>
      <c r="D47" s="10">
        <v>25</v>
      </c>
      <c r="E47" s="8">
        <v>10</v>
      </c>
      <c r="F47" s="8">
        <v>5</v>
      </c>
      <c r="G47" s="8">
        <v>5</v>
      </c>
      <c r="H47" s="8">
        <v>5</v>
      </c>
      <c r="I47" s="8"/>
      <c r="J47" s="8"/>
      <c r="K47" s="8"/>
      <c r="L47" s="8"/>
      <c r="M47" s="8"/>
      <c r="N47" s="55" t="b">
        <f t="shared" ref="N47:N54" si="3">IF(SUM(E47:M47)=D47,TRUE,"false")</f>
        <v>1</v>
      </c>
    </row>
    <row r="48" spans="2:15" ht="55.15" customHeight="1" x14ac:dyDescent="0.25">
      <c r="C48" s="9" t="s">
        <v>329</v>
      </c>
      <c r="D48" s="10">
        <v>5</v>
      </c>
      <c r="E48" s="11"/>
      <c r="F48" s="12"/>
      <c r="G48" s="12"/>
      <c r="H48" s="12">
        <v>5</v>
      </c>
      <c r="I48" s="12"/>
      <c r="J48" s="12"/>
      <c r="K48" s="12"/>
      <c r="L48" s="12"/>
      <c r="M48" s="12"/>
      <c r="N48" s="55" t="b">
        <f t="shared" si="3"/>
        <v>1</v>
      </c>
    </row>
    <row r="49" spans="3:14" ht="55.15" customHeight="1" x14ac:dyDescent="0.25">
      <c r="C49" s="9" t="s">
        <v>330</v>
      </c>
      <c r="D49" s="10"/>
      <c r="E49" s="11"/>
      <c r="F49" s="12"/>
      <c r="G49" s="12"/>
      <c r="H49" s="12"/>
      <c r="I49" s="12"/>
      <c r="J49" s="12"/>
      <c r="K49" s="12"/>
      <c r="L49" s="12"/>
      <c r="M49" s="12"/>
      <c r="N49" s="55" t="b">
        <f t="shared" si="3"/>
        <v>1</v>
      </c>
    </row>
    <row r="50" spans="3:14" ht="55.15" customHeight="1" x14ac:dyDescent="0.25">
      <c r="C50" s="9" t="s">
        <v>331</v>
      </c>
      <c r="D50" s="10"/>
      <c r="E50" s="11"/>
      <c r="F50" s="12"/>
      <c r="G50" s="12"/>
      <c r="H50" s="12"/>
      <c r="I50" s="12"/>
      <c r="J50" s="12"/>
      <c r="K50" s="12"/>
      <c r="L50" s="12"/>
      <c r="M50" s="12"/>
      <c r="N50" s="55" t="b">
        <f t="shared" si="3"/>
        <v>1</v>
      </c>
    </row>
    <row r="51" spans="3:14" ht="55.15" customHeight="1" x14ac:dyDescent="0.25">
      <c r="C51" s="9" t="s">
        <v>332</v>
      </c>
      <c r="D51" s="10"/>
      <c r="E51" s="11"/>
      <c r="F51" s="12"/>
      <c r="G51" s="12"/>
      <c r="H51" s="12"/>
      <c r="I51" s="12"/>
      <c r="J51" s="12"/>
      <c r="K51" s="12"/>
      <c r="L51" s="12"/>
      <c r="M51" s="12"/>
      <c r="N51" s="55" t="b">
        <f t="shared" si="3"/>
        <v>1</v>
      </c>
    </row>
    <row r="52" spans="3:14" ht="55.15" customHeight="1" x14ac:dyDescent="0.25">
      <c r="C52" s="9" t="s">
        <v>333</v>
      </c>
      <c r="D52" s="10">
        <v>20</v>
      </c>
      <c r="E52" s="11"/>
      <c r="F52" s="12"/>
      <c r="G52" s="12"/>
      <c r="H52" s="12"/>
      <c r="I52" s="12">
        <v>15</v>
      </c>
      <c r="J52" s="12">
        <v>5</v>
      </c>
      <c r="K52" s="12"/>
      <c r="L52" s="12"/>
      <c r="M52" s="12"/>
      <c r="N52" s="55" t="b">
        <f t="shared" si="3"/>
        <v>1</v>
      </c>
    </row>
    <row r="53" spans="3:14" ht="55.15" customHeight="1" x14ac:dyDescent="0.25">
      <c r="C53" s="9" t="s">
        <v>334</v>
      </c>
      <c r="D53" s="10">
        <v>50</v>
      </c>
      <c r="E53" s="11">
        <v>15</v>
      </c>
      <c r="F53" s="12">
        <v>20</v>
      </c>
      <c r="G53" s="12">
        <v>5</v>
      </c>
      <c r="H53" s="12">
        <v>5</v>
      </c>
      <c r="I53" s="12"/>
      <c r="J53" s="12"/>
      <c r="K53" s="12">
        <v>5</v>
      </c>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25</v>
      </c>
      <c r="G56" s="65">
        <f t="shared" si="5"/>
        <v>10</v>
      </c>
      <c r="H56" s="65">
        <f t="shared" si="5"/>
        <v>15</v>
      </c>
      <c r="I56" s="65">
        <f t="shared" si="5"/>
        <v>15</v>
      </c>
      <c r="J56" s="65">
        <f t="shared" si="5"/>
        <v>5</v>
      </c>
      <c r="K56" s="65">
        <f t="shared" si="5"/>
        <v>5</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451" priority="13">
      <formula>LEN(TRIM(D47))=0</formula>
    </cfRule>
    <cfRule type="cellIs" dxfId="1450" priority="14" operator="equal">
      <formula>0</formula>
    </cfRule>
  </conditionalFormatting>
  <conditionalFormatting sqref="E50">
    <cfRule type="containsBlanks" dxfId="1449" priority="23">
      <formula>LEN(TRIM(E50))=0</formula>
    </cfRule>
    <cfRule type="cellIs" dxfId="1448" priority="24" operator="equal">
      <formula>0</formula>
    </cfRule>
  </conditionalFormatting>
  <conditionalFormatting sqref="E26:M29 E30:F30 H30 J30:M30 E31:M36">
    <cfRule type="containsBlanks" dxfId="1447" priority="1">
      <formula>LEN(TRIM(E26))=0</formula>
    </cfRule>
    <cfRule type="cellIs" dxfId="1446" priority="2" operator="equal">
      <formula>0</formula>
    </cfRule>
  </conditionalFormatting>
  <conditionalFormatting sqref="E47:M51 E52">
    <cfRule type="containsBlanks" dxfId="1445" priority="19">
      <formula>LEN(TRIM(E47))=0</formula>
    </cfRule>
    <cfRule type="cellIs" dxfId="1444" priority="20" operator="equal">
      <formula>0</formula>
    </cfRule>
  </conditionalFormatting>
  <conditionalFormatting sqref="E53:M54">
    <cfRule type="containsBlanks" dxfId="1443" priority="17">
      <formula>LEN(TRIM(E53))=0</formula>
    </cfRule>
    <cfRule type="cellIs" dxfId="1442" priority="18" operator="equal">
      <formula>0</formula>
    </cfRule>
  </conditionalFormatting>
  <conditionalFormatting sqref="E55:M55">
    <cfRule type="containsText" dxfId="1441" priority="7" operator="containsText" text="false">
      <formula>NOT(ISERROR(SEARCH("false",E55)))</formula>
    </cfRule>
    <cfRule type="containsText" dxfId="1440" priority="8" operator="containsText" text="true">
      <formula>NOT(ISERROR(SEARCH("true",E55)))</formula>
    </cfRule>
  </conditionalFormatting>
  <conditionalFormatting sqref="F48:M48">
    <cfRule type="containsBlanks" dxfId="1439" priority="25">
      <formula>LEN(TRIM(F48))=0</formula>
    </cfRule>
    <cfRule type="cellIs" dxfId="1438" priority="26" operator="equal">
      <formula>0</formula>
    </cfRule>
  </conditionalFormatting>
  <conditionalFormatting sqref="F50:M52">
    <cfRule type="containsBlanks" dxfId="1437" priority="21">
      <formula>LEN(TRIM(F50))=0</formula>
    </cfRule>
    <cfRule type="cellIs" dxfId="1436" priority="22" operator="equal">
      <formula>0</formula>
    </cfRule>
  </conditionalFormatting>
  <conditionalFormatting sqref="N26:N36 E37:N39">
    <cfRule type="containsBlanks" dxfId="1435" priority="5">
      <formula>LEN(TRIM(E26))=0</formula>
    </cfRule>
    <cfRule type="cellIs" dxfId="1434" priority="6" operator="equal">
      <formula>0</formula>
    </cfRule>
  </conditionalFormatting>
  <conditionalFormatting sqref="N47:N54">
    <cfRule type="containsText" dxfId="1433" priority="9" operator="containsText" text="false">
      <formula>NOT(ISERROR(SEARCH("false",N47)))</formula>
    </cfRule>
    <cfRule type="containsText" dxfId="1432" priority="10" operator="containsText" text="true">
      <formula>NOT(ISERROR(SEARCH("true",N47)))</formula>
    </cfRule>
  </conditionalFormatting>
  <conditionalFormatting sqref="N55">
    <cfRule type="containsBlanks" dxfId="1431" priority="15">
      <formula>LEN(TRIM(N55))=0</formula>
    </cfRule>
    <cfRule type="cellIs" dxfId="1430" priority="16" operator="equal">
      <formula>0</formula>
    </cfRule>
  </conditionalFormatting>
  <conditionalFormatting sqref="O26:O40">
    <cfRule type="containsText" dxfId="1429" priority="11" operator="containsText" text="false">
      <formula>NOT(ISERROR(SEARCH("false",O26)))</formula>
    </cfRule>
    <cfRule type="containsText" dxfId="1428" priority="12" operator="containsText" text="true">
      <formula>NOT(ISERROR(SEARCH("true",O26)))</formula>
    </cfRule>
  </conditionalFormatting>
  <conditionalFormatting sqref="O42">
    <cfRule type="cellIs" dxfId="1427" priority="3" operator="notEqual">
      <formula>100</formula>
    </cfRule>
    <cfRule type="cellIs" dxfId="1426" priority="4"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CE852CA-ED4D-4E7D-8BB1-73A6FAD62B1D}">
          <x14:formula1>
            <xm:f>'Name and Course code'!$B$2:$B$76</xm:f>
          </x14:formula1>
          <xm:sqref>I6</xm:sqref>
        </x14:dataValidation>
        <x14:dataValidation type="list" allowBlank="1" showInputMessage="1" showErrorMessage="1" xr:uid="{45D583D0-3AE4-497A-9B7A-32EE9C4C0BEA}">
          <x14:formula1>
            <xm:f>'Name and Course code'!$A$2:$A$76</xm:f>
          </x14:formula1>
          <xm:sqref>K6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0013F-E43A-4A85-8858-D9CC7B42D610}">
  <sheetPr>
    <tabColor theme="8" tint="0.39997558519241921"/>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138</v>
      </c>
      <c r="J6" s="43" t="s">
        <v>278</v>
      </c>
      <c r="K6" s="1" t="s">
        <v>137</v>
      </c>
    </row>
    <row r="7" spans="2:26" ht="72.599999999999994" customHeight="1" thickBot="1" x14ac:dyDescent="0.3">
      <c r="B7" s="160"/>
      <c r="C7" s="161"/>
      <c r="D7" s="43" t="s">
        <v>279</v>
      </c>
      <c r="E7" s="1">
        <v>1</v>
      </c>
      <c r="F7" s="43" t="s">
        <v>280</v>
      </c>
      <c r="G7" s="1">
        <v>2</v>
      </c>
      <c r="H7" s="43" t="s">
        <v>281</v>
      </c>
      <c r="I7" s="1">
        <v>2</v>
      </c>
      <c r="J7" s="43" t="s">
        <v>283</v>
      </c>
      <c r="K7" s="1" t="s">
        <v>392</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2" t="s">
        <v>297</v>
      </c>
      <c r="D11" s="80" t="s">
        <v>1715</v>
      </c>
      <c r="E11" s="2" t="s">
        <v>7</v>
      </c>
      <c r="F11" s="3"/>
      <c r="G11" s="17"/>
      <c r="H11" s="17">
        <v>0.6</v>
      </c>
      <c r="I11" s="17">
        <v>1</v>
      </c>
      <c r="J11" s="80" t="s">
        <v>393</v>
      </c>
      <c r="K11" s="103" t="s">
        <v>394</v>
      </c>
      <c r="U11" s="3">
        <f>F11</f>
        <v>0</v>
      </c>
      <c r="V11" s="2" t="str">
        <f>C11</f>
        <v>K1.1</v>
      </c>
      <c r="W11" s="2"/>
      <c r="X11" s="17"/>
      <c r="Y11" s="37"/>
      <c r="Z11" s="37"/>
    </row>
    <row r="12" spans="2:26" ht="100.9" customHeight="1" x14ac:dyDescent="0.25">
      <c r="B12" s="36"/>
      <c r="C12" s="5" t="s">
        <v>395</v>
      </c>
      <c r="D12" s="80" t="s">
        <v>1615</v>
      </c>
      <c r="E12" s="5" t="s">
        <v>24</v>
      </c>
      <c r="F12" s="6"/>
      <c r="G12" s="4"/>
      <c r="H12" s="17">
        <v>0.6</v>
      </c>
      <c r="I12" s="17">
        <v>1</v>
      </c>
      <c r="J12" s="80" t="s">
        <v>393</v>
      </c>
      <c r="K12" s="103" t="s">
        <v>394</v>
      </c>
      <c r="U12" s="6" t="e">
        <f>#REF!</f>
        <v>#REF!</v>
      </c>
      <c r="V12" s="2" t="e">
        <f>#REF!</f>
        <v>#REF!</v>
      </c>
      <c r="W12" s="5"/>
      <c r="X12" s="4"/>
      <c r="Y12" s="38"/>
      <c r="Z12" s="38"/>
    </row>
    <row r="13" spans="2:26" ht="102" customHeight="1" x14ac:dyDescent="0.25">
      <c r="B13" s="36"/>
      <c r="C13" s="5" t="s">
        <v>441</v>
      </c>
      <c r="D13" s="80" t="s">
        <v>1616</v>
      </c>
      <c r="E13" s="5" t="s">
        <v>39</v>
      </c>
      <c r="F13" s="6"/>
      <c r="G13" s="4"/>
      <c r="H13" s="17">
        <v>0.6</v>
      </c>
      <c r="I13" s="17">
        <v>1</v>
      </c>
      <c r="J13" s="80" t="s">
        <v>1617</v>
      </c>
      <c r="K13" s="81" t="s">
        <v>1618</v>
      </c>
      <c r="U13" s="6">
        <f>F12</f>
        <v>0</v>
      </c>
      <c r="V13" s="2" t="str">
        <f>C12</f>
        <v>S3.1</v>
      </c>
      <c r="W13" s="5"/>
      <c r="X13" s="4"/>
      <c r="Y13" s="38"/>
      <c r="Z13" s="38"/>
    </row>
    <row r="14" spans="2:26" ht="58.9" customHeight="1" x14ac:dyDescent="0.25">
      <c r="B14" s="36"/>
      <c r="U14" s="6">
        <f>F13</f>
        <v>0</v>
      </c>
      <c r="V14" s="2" t="str">
        <f>C13</f>
        <v>S6.1</v>
      </c>
      <c r="W14" s="5"/>
      <c r="X14" s="4"/>
      <c r="Y14" s="38"/>
      <c r="Z14" s="38"/>
    </row>
    <row r="15" spans="2:26" ht="58.9" customHeight="1" x14ac:dyDescent="0.25">
      <c r="B15" s="36"/>
      <c r="C15" s="5"/>
      <c r="D15" s="79"/>
      <c r="E15" s="5"/>
      <c r="F15" s="6"/>
      <c r="G15" s="4"/>
      <c r="H15" s="4"/>
      <c r="I15" s="4"/>
      <c r="J15" s="80"/>
      <c r="K15" s="81"/>
      <c r="U15" s="6">
        <f t="shared" ref="U15:U19" si="0">F15</f>
        <v>0</v>
      </c>
      <c r="V15" s="2">
        <f>C15</f>
        <v>0</v>
      </c>
      <c r="W15" s="5"/>
      <c r="X15" s="4"/>
      <c r="Y15" s="38"/>
      <c r="Z15" s="38"/>
    </row>
    <row r="16" spans="2:26" ht="58.9" customHeight="1" x14ac:dyDescent="0.25">
      <c r="B16" s="36"/>
      <c r="C16" s="5"/>
      <c r="D16" s="79"/>
      <c r="E16" s="5"/>
      <c r="F16" s="6"/>
      <c r="G16" s="4"/>
      <c r="H16" s="4"/>
      <c r="I16" s="4"/>
      <c r="J16" s="80"/>
      <c r="K16" s="81"/>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e">
        <f>#REF!</f>
        <v>#REF!</v>
      </c>
      <c r="H25" s="49" t="str">
        <f>C12</f>
        <v>S3.1</v>
      </c>
      <c r="I25" s="49" t="str">
        <f>C13</f>
        <v>S6.1</v>
      </c>
      <c r="J25" s="49">
        <f>C15</f>
        <v>0</v>
      </c>
      <c r="K25" s="49">
        <f>C16</f>
        <v>0</v>
      </c>
      <c r="L25" s="49">
        <f>C17</f>
        <v>0</v>
      </c>
      <c r="M25" s="49">
        <f>C18</f>
        <v>0</v>
      </c>
      <c r="N25" s="49">
        <f>C19</f>
        <v>0</v>
      </c>
      <c r="O25" s="50" t="s">
        <v>305</v>
      </c>
    </row>
    <row r="26" spans="2:26" ht="46.5" customHeight="1" thickBot="1" x14ac:dyDescent="0.3">
      <c r="C26" s="51" t="s">
        <v>306</v>
      </c>
      <c r="D26" s="104" t="s">
        <v>396</v>
      </c>
      <c r="E26" s="8">
        <v>2</v>
      </c>
      <c r="F26" s="8">
        <v>2</v>
      </c>
      <c r="G26" s="8"/>
      <c r="H26" s="8"/>
      <c r="I26" s="8"/>
      <c r="J26" s="8"/>
      <c r="K26" s="8"/>
      <c r="L26" s="8"/>
      <c r="M26" s="8"/>
      <c r="N26" s="8"/>
      <c r="O26" s="53" t="b">
        <f>IF(SUM(F26:N26)=E26,TRUE,"false")</f>
        <v>1</v>
      </c>
    </row>
    <row r="27" spans="2:26" ht="30.4" customHeight="1" thickBot="1" x14ac:dyDescent="0.3">
      <c r="C27" s="51" t="s">
        <v>307</v>
      </c>
      <c r="D27" s="104" t="s">
        <v>397</v>
      </c>
      <c r="E27" s="8">
        <v>2</v>
      </c>
      <c r="F27" s="8"/>
      <c r="G27" s="8"/>
      <c r="H27" s="8">
        <v>2</v>
      </c>
      <c r="I27" s="8"/>
      <c r="J27" s="8"/>
      <c r="K27" s="8"/>
      <c r="L27" s="8"/>
      <c r="M27" s="8"/>
      <c r="N27" s="8"/>
      <c r="O27" s="53" t="b">
        <f t="shared" ref="O27:O40" si="1">IF(SUM(F27:N27)=E27,TRUE,"false")</f>
        <v>1</v>
      </c>
    </row>
    <row r="28" spans="2:26" ht="30.4" customHeight="1" thickBot="1" x14ac:dyDescent="0.3">
      <c r="C28" s="51" t="s">
        <v>308</v>
      </c>
      <c r="D28" s="104" t="s">
        <v>398</v>
      </c>
      <c r="E28" s="8">
        <v>2</v>
      </c>
      <c r="F28" s="8"/>
      <c r="G28" s="8"/>
      <c r="H28" s="8"/>
      <c r="I28" s="8">
        <v>2</v>
      </c>
      <c r="J28" s="8"/>
      <c r="K28" s="8"/>
      <c r="L28" s="8"/>
      <c r="M28" s="8"/>
      <c r="N28" s="8"/>
      <c r="O28" s="53" t="b">
        <f t="shared" si="1"/>
        <v>1</v>
      </c>
    </row>
    <row r="29" spans="2:26" ht="30.4" customHeight="1" thickBot="1" x14ac:dyDescent="0.3">
      <c r="C29" s="51" t="s">
        <v>309</v>
      </c>
      <c r="D29" s="104" t="s">
        <v>399</v>
      </c>
      <c r="E29" s="8">
        <v>2</v>
      </c>
      <c r="F29" s="8">
        <v>2</v>
      </c>
      <c r="G29" s="8"/>
      <c r="H29" s="8"/>
      <c r="I29" s="8"/>
      <c r="J29" s="8"/>
      <c r="K29" s="8"/>
      <c r="L29" s="8"/>
      <c r="M29" s="8"/>
      <c r="N29" s="8"/>
      <c r="O29" s="53" t="b">
        <f t="shared" si="1"/>
        <v>1</v>
      </c>
    </row>
    <row r="30" spans="2:26" ht="30.4" customHeight="1" thickBot="1" x14ac:dyDescent="0.3">
      <c r="C30" s="51" t="s">
        <v>310</v>
      </c>
      <c r="D30" s="104" t="s">
        <v>400</v>
      </c>
      <c r="E30" s="8">
        <v>2</v>
      </c>
      <c r="F30" s="8"/>
      <c r="G30" s="8"/>
      <c r="H30" s="8">
        <v>2</v>
      </c>
      <c r="I30" s="8"/>
      <c r="J30" s="8"/>
      <c r="K30" s="8"/>
      <c r="L30" s="8"/>
      <c r="M30" s="8"/>
      <c r="N30" s="8"/>
      <c r="O30" s="53" t="b">
        <f t="shared" si="1"/>
        <v>1</v>
      </c>
    </row>
    <row r="31" spans="2:26" ht="30.4" customHeight="1" thickBot="1" x14ac:dyDescent="0.3">
      <c r="C31" s="51" t="s">
        <v>311</v>
      </c>
      <c r="D31" s="104" t="s">
        <v>401</v>
      </c>
      <c r="E31" s="8">
        <v>2</v>
      </c>
      <c r="F31" s="8"/>
      <c r="G31" s="8"/>
      <c r="H31" s="8"/>
      <c r="I31" s="8">
        <v>2</v>
      </c>
      <c r="J31" s="8"/>
      <c r="K31" s="8"/>
      <c r="L31" s="8"/>
      <c r="M31" s="8"/>
      <c r="N31" s="8"/>
      <c r="O31" s="53" t="b">
        <f t="shared" si="1"/>
        <v>1</v>
      </c>
    </row>
    <row r="32" spans="2:26" ht="30.4" customHeight="1" thickBot="1" x14ac:dyDescent="0.3">
      <c r="C32" s="51" t="s">
        <v>312</v>
      </c>
      <c r="D32" s="104" t="s">
        <v>402</v>
      </c>
      <c r="E32" s="8">
        <v>2</v>
      </c>
      <c r="F32" s="8">
        <v>2</v>
      </c>
      <c r="G32" s="8"/>
      <c r="H32" s="8"/>
      <c r="I32" s="8"/>
      <c r="J32" s="8"/>
      <c r="K32" s="8"/>
      <c r="L32" s="8"/>
      <c r="M32" s="8"/>
      <c r="N32" s="8"/>
      <c r="O32" s="53" t="b">
        <f t="shared" si="1"/>
        <v>1</v>
      </c>
    </row>
    <row r="33" spans="2:15" ht="30.4" customHeight="1" thickBot="1" x14ac:dyDescent="0.3">
      <c r="C33" s="51" t="s">
        <v>313</v>
      </c>
      <c r="D33" s="104" t="s">
        <v>403</v>
      </c>
      <c r="E33" s="8">
        <v>2</v>
      </c>
      <c r="F33" s="8"/>
      <c r="G33" s="8"/>
      <c r="H33" s="8">
        <v>2</v>
      </c>
      <c r="I33" s="8"/>
      <c r="J33" s="8"/>
      <c r="K33" s="8"/>
      <c r="L33" s="8"/>
      <c r="M33" s="8"/>
      <c r="N33" s="8"/>
      <c r="O33" s="53" t="b">
        <f t="shared" si="1"/>
        <v>1</v>
      </c>
    </row>
    <row r="34" spans="2:15" ht="30.4" customHeight="1" thickBot="1" x14ac:dyDescent="0.3">
      <c r="C34" s="51" t="s">
        <v>314</v>
      </c>
      <c r="D34" s="83" t="s">
        <v>404</v>
      </c>
      <c r="E34" s="8">
        <v>2</v>
      </c>
      <c r="F34" s="8"/>
      <c r="G34" s="8"/>
      <c r="H34" s="8"/>
      <c r="I34" s="8">
        <v>2</v>
      </c>
      <c r="J34" s="8"/>
      <c r="K34" s="8"/>
      <c r="L34" s="8"/>
      <c r="M34" s="8"/>
      <c r="N34" s="8"/>
      <c r="O34" s="53" t="b">
        <f t="shared" si="1"/>
        <v>1</v>
      </c>
    </row>
    <row r="35" spans="2:15" ht="30.4" customHeight="1" thickBot="1" x14ac:dyDescent="0.3">
      <c r="C35" s="51" t="s">
        <v>315</v>
      </c>
      <c r="D35" s="83" t="s">
        <v>405</v>
      </c>
      <c r="E35" s="8">
        <v>2</v>
      </c>
      <c r="F35" s="8">
        <v>2</v>
      </c>
      <c r="G35" s="8"/>
      <c r="H35" s="8"/>
      <c r="I35" s="8"/>
      <c r="J35" s="8"/>
      <c r="K35" s="8"/>
      <c r="L35" s="8"/>
      <c r="M35" s="8"/>
      <c r="N35" s="8"/>
      <c r="O35" s="53" t="b">
        <f t="shared" si="1"/>
        <v>1</v>
      </c>
    </row>
    <row r="36" spans="2:15" ht="30.4" customHeight="1" thickBot="1" x14ac:dyDescent="0.3">
      <c r="C36" s="51" t="s">
        <v>316</v>
      </c>
      <c r="D36" s="83" t="s">
        <v>406</v>
      </c>
      <c r="E36" s="8">
        <v>2</v>
      </c>
      <c r="F36" s="8"/>
      <c r="G36" s="8"/>
      <c r="H36" s="8"/>
      <c r="I36" s="8">
        <v>2</v>
      </c>
      <c r="J36" s="8"/>
      <c r="K36" s="8"/>
      <c r="L36" s="8"/>
      <c r="M36" s="8"/>
      <c r="N36" s="8"/>
      <c r="O36" s="53" t="b">
        <f t="shared" si="1"/>
        <v>1</v>
      </c>
    </row>
    <row r="37" spans="2:15" ht="30.4" customHeight="1" thickBot="1" x14ac:dyDescent="0.3">
      <c r="C37" s="51" t="s">
        <v>317</v>
      </c>
      <c r="D37" s="83" t="s">
        <v>406</v>
      </c>
      <c r="E37" s="8">
        <v>2</v>
      </c>
      <c r="F37" s="8">
        <v>2</v>
      </c>
      <c r="G37" s="8"/>
      <c r="H37" s="8"/>
      <c r="I37" s="8"/>
      <c r="J37" s="8"/>
      <c r="K37" s="8"/>
      <c r="L37" s="8"/>
      <c r="M37" s="8"/>
      <c r="N37" s="8"/>
      <c r="O37" s="53" t="b">
        <f t="shared" si="1"/>
        <v>1</v>
      </c>
    </row>
    <row r="38" spans="2:15" ht="30.4" customHeight="1" thickBot="1" x14ac:dyDescent="0.3">
      <c r="C38" s="51" t="s">
        <v>318</v>
      </c>
      <c r="D38" s="83" t="s">
        <v>407</v>
      </c>
      <c r="E38" s="8">
        <v>2</v>
      </c>
      <c r="F38" s="8"/>
      <c r="G38" s="8"/>
      <c r="H38" s="8">
        <v>2</v>
      </c>
      <c r="I38" s="8"/>
      <c r="J38" s="8"/>
      <c r="K38" s="8"/>
      <c r="L38" s="8"/>
      <c r="M38" s="8"/>
      <c r="N38" s="8"/>
      <c r="O38" s="53" t="b">
        <f t="shared" si="1"/>
        <v>1</v>
      </c>
    </row>
    <row r="39" spans="2:15" ht="30.4" customHeight="1" x14ac:dyDescent="0.25">
      <c r="C39" s="51" t="s">
        <v>319</v>
      </c>
      <c r="D39" s="105" t="s">
        <v>408</v>
      </c>
      <c r="E39" s="8">
        <v>4</v>
      </c>
      <c r="F39" s="8"/>
      <c r="G39" s="8"/>
      <c r="H39" s="8">
        <v>2</v>
      </c>
      <c r="I39" s="8">
        <v>2</v>
      </c>
      <c r="J39" s="8"/>
      <c r="K39" s="8"/>
      <c r="L39" s="8"/>
      <c r="M39" s="8"/>
      <c r="N39" s="8"/>
      <c r="O39" s="53" t="b">
        <f t="shared" si="1"/>
        <v>1</v>
      </c>
    </row>
    <row r="40" spans="2:15" s="20" customFormat="1" ht="78" customHeight="1" x14ac:dyDescent="0.25">
      <c r="C40" s="170" t="s">
        <v>320</v>
      </c>
      <c r="D40" s="170"/>
      <c r="E40" s="52">
        <f>SUM(E26:E39)</f>
        <v>30</v>
      </c>
      <c r="F40" s="52">
        <f t="shared" ref="F40:N40" si="2">SUM(F26:F39)</f>
        <v>10</v>
      </c>
      <c r="G40" s="52">
        <f t="shared" si="2"/>
        <v>0</v>
      </c>
      <c r="H40" s="52">
        <f t="shared" si="2"/>
        <v>10</v>
      </c>
      <c r="I40" s="52">
        <f t="shared" si="2"/>
        <v>10</v>
      </c>
      <c r="J40" s="52">
        <f t="shared" si="2"/>
        <v>0</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0.33</v>
      </c>
      <c r="G41" s="54">
        <f>ROUND(G40/E40,2)</f>
        <v>0</v>
      </c>
      <c r="H41" s="54">
        <f>ROUND(H40/E40,2)</f>
        <v>0.33</v>
      </c>
      <c r="I41" s="54">
        <f>ROUND(I40/E40,2)</f>
        <v>0.33</v>
      </c>
      <c r="J41" s="54">
        <f>ROUND(J40/E40,2)</f>
        <v>0</v>
      </c>
      <c r="K41" s="54">
        <f>ROUND(K40/E40,2)</f>
        <v>0</v>
      </c>
      <c r="L41" s="54">
        <f>ROUND(L40/E40,2)</f>
        <v>0</v>
      </c>
      <c r="M41" s="54">
        <f>ROUND(M40/E40,2)</f>
        <v>0</v>
      </c>
      <c r="N41" s="54">
        <f>ROUND(N40/E40,2)</f>
        <v>0</v>
      </c>
      <c r="O41" s="54">
        <f>SUM(F41:N41)</f>
        <v>0.99</v>
      </c>
    </row>
    <row r="42" spans="2:15" ht="55.9" customHeight="1" x14ac:dyDescent="0.25">
      <c r="C42" s="151" t="s">
        <v>322</v>
      </c>
      <c r="D42" s="151"/>
      <c r="E42" s="151"/>
      <c r="F42" s="7">
        <v>35</v>
      </c>
      <c r="G42" s="7"/>
      <c r="H42" s="7">
        <v>35</v>
      </c>
      <c r="I42" s="7">
        <v>30</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e">
        <f>#REF!</f>
        <v>#REF!</v>
      </c>
      <c r="G46" s="59" t="str">
        <f>C12</f>
        <v>S3.1</v>
      </c>
      <c r="H46" s="59" t="str">
        <f>C13</f>
        <v>S6.1</v>
      </c>
      <c r="I46" s="59">
        <f>C15</f>
        <v>0</v>
      </c>
      <c r="J46" s="59">
        <f>C16</f>
        <v>0</v>
      </c>
      <c r="K46" s="59">
        <f>C17</f>
        <v>0</v>
      </c>
      <c r="L46" s="59">
        <f>C18</f>
        <v>0</v>
      </c>
      <c r="M46" s="59">
        <f>C19</f>
        <v>0</v>
      </c>
      <c r="N46" s="60" t="s">
        <v>327</v>
      </c>
    </row>
    <row r="47" spans="2:15" ht="55.15" customHeight="1" x14ac:dyDescent="0.25">
      <c r="C47" s="9" t="s">
        <v>409</v>
      </c>
      <c r="D47" s="10">
        <v>10</v>
      </c>
      <c r="E47" s="8">
        <v>10</v>
      </c>
      <c r="F47" s="8"/>
      <c r="G47" s="8"/>
      <c r="H47" s="8"/>
      <c r="I47" s="8"/>
      <c r="J47" s="8"/>
      <c r="K47" s="8"/>
      <c r="L47" s="8"/>
      <c r="M47" s="8"/>
      <c r="N47" s="55" t="b">
        <f t="shared" ref="N47:N54" si="3">IF(SUM(E47:M47)=D47,TRUE,"false")</f>
        <v>1</v>
      </c>
    </row>
    <row r="48" spans="2:15" ht="55.15" customHeight="1" x14ac:dyDescent="0.25">
      <c r="C48" s="9" t="s">
        <v>410</v>
      </c>
      <c r="D48" s="10">
        <v>25</v>
      </c>
      <c r="E48" s="11">
        <v>25</v>
      </c>
      <c r="F48" s="12"/>
      <c r="G48" s="12"/>
      <c r="H48" s="12"/>
      <c r="I48" s="12"/>
      <c r="J48" s="12"/>
      <c r="K48" s="12"/>
      <c r="L48" s="12"/>
      <c r="M48" s="12"/>
      <c r="N48" s="55" t="b">
        <f t="shared" si="3"/>
        <v>1</v>
      </c>
    </row>
    <row r="49" spans="3:14" ht="55.15" customHeight="1" x14ac:dyDescent="0.25">
      <c r="C49" s="9" t="s">
        <v>411</v>
      </c>
      <c r="D49" s="10">
        <v>10</v>
      </c>
      <c r="E49" s="11"/>
      <c r="F49" s="12"/>
      <c r="G49" s="12">
        <v>10</v>
      </c>
      <c r="H49" s="12"/>
      <c r="I49" s="12"/>
      <c r="J49" s="12"/>
      <c r="K49" s="12"/>
      <c r="L49" s="12"/>
      <c r="M49" s="12"/>
      <c r="N49" s="55" t="b">
        <f t="shared" si="3"/>
        <v>1</v>
      </c>
    </row>
    <row r="50" spans="3:14" ht="55.15" customHeight="1" x14ac:dyDescent="0.25">
      <c r="C50" s="9" t="s">
        <v>412</v>
      </c>
      <c r="D50" s="10">
        <v>15</v>
      </c>
      <c r="E50" s="11"/>
      <c r="F50" s="12"/>
      <c r="G50" s="12">
        <v>15</v>
      </c>
      <c r="H50" s="12"/>
      <c r="I50" s="12"/>
      <c r="J50" s="12"/>
      <c r="K50" s="12"/>
      <c r="L50" s="12"/>
      <c r="M50" s="12"/>
      <c r="N50" s="55" t="b">
        <f t="shared" si="3"/>
        <v>1</v>
      </c>
    </row>
    <row r="51" spans="3:14" ht="55.15" customHeight="1" x14ac:dyDescent="0.25">
      <c r="C51" s="9" t="s">
        <v>413</v>
      </c>
      <c r="D51" s="10">
        <v>40</v>
      </c>
      <c r="E51" s="11"/>
      <c r="F51" s="12"/>
      <c r="G51" s="12">
        <v>10</v>
      </c>
      <c r="H51" s="12">
        <v>30</v>
      </c>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35</v>
      </c>
      <c r="F56" s="65">
        <f t="shared" si="5"/>
        <v>0</v>
      </c>
      <c r="G56" s="65">
        <f t="shared" si="5"/>
        <v>35</v>
      </c>
      <c r="H56" s="65">
        <f t="shared" si="5"/>
        <v>30</v>
      </c>
      <c r="I56" s="65">
        <f t="shared" si="5"/>
        <v>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1425" priority="1">
      <formula>LEN(TRIM(D47))=0</formula>
    </cfRule>
    <cfRule type="cellIs" dxfId="1424" priority="2" operator="equal">
      <formula>0</formula>
    </cfRule>
  </conditionalFormatting>
  <conditionalFormatting sqref="E55:M55">
    <cfRule type="containsText" dxfId="1423" priority="33" operator="containsText" text="false">
      <formula>NOT(ISERROR(SEARCH("false",E55)))</formula>
    </cfRule>
    <cfRule type="containsText" dxfId="1422" priority="34" operator="containsText" text="true">
      <formula>NOT(ISERROR(SEARCH("true",E55)))</formula>
    </cfRule>
  </conditionalFormatting>
  <conditionalFormatting sqref="E26:N39">
    <cfRule type="containsBlanks" dxfId="1421" priority="11">
      <formula>LEN(TRIM(E26))=0</formula>
    </cfRule>
    <cfRule type="cellIs" dxfId="1420" priority="12" operator="equal">
      <formula>0</formula>
    </cfRule>
  </conditionalFormatting>
  <conditionalFormatting sqref="F48:G48">
    <cfRule type="containsBlanks" dxfId="1419" priority="25">
      <formula>LEN(TRIM(F48))=0</formula>
    </cfRule>
    <cfRule type="cellIs" dxfId="1418" priority="26" operator="equal">
      <formula>0</formula>
    </cfRule>
  </conditionalFormatting>
  <conditionalFormatting sqref="N47:N54">
    <cfRule type="containsText" dxfId="1417" priority="35" operator="containsText" text="false">
      <formula>NOT(ISERROR(SEARCH("false",N47)))</formula>
    </cfRule>
    <cfRule type="containsText" dxfId="1416" priority="36" operator="containsText" text="true">
      <formula>NOT(ISERROR(SEARCH("true",N47)))</formula>
    </cfRule>
  </conditionalFormatting>
  <conditionalFormatting sqref="N55">
    <cfRule type="containsBlanks" dxfId="1415" priority="41">
      <formula>LEN(TRIM(N55))=0</formula>
    </cfRule>
    <cfRule type="cellIs" dxfId="1414" priority="42" operator="equal">
      <formula>0</formula>
    </cfRule>
  </conditionalFormatting>
  <conditionalFormatting sqref="O26:O40">
    <cfRule type="containsText" dxfId="1413" priority="37" operator="containsText" text="false">
      <formula>NOT(ISERROR(SEARCH("false",O26)))</formula>
    </cfRule>
    <cfRule type="containsText" dxfId="1412" priority="38" operator="containsText" text="true">
      <formula>NOT(ISERROR(SEARCH("true",O26)))</formula>
    </cfRule>
  </conditionalFormatting>
  <conditionalFormatting sqref="O42">
    <cfRule type="cellIs" dxfId="1411" priority="29" operator="notEqual">
      <formula>100</formula>
    </cfRule>
    <cfRule type="cellIs" dxfId="1410" priority="30"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AFFED41-DD39-4A1C-A87C-9AEEFC59DDC4}">
          <x14:formula1>
            <xm:f>'Name and Course code'!$A$2:$A$76</xm:f>
          </x14:formula1>
          <xm:sqref>K6</xm:sqref>
        </x14:dataValidation>
        <x14:dataValidation type="list" allowBlank="1" showInputMessage="1" showErrorMessage="1" xr:uid="{810FC733-DC24-48C6-A4FB-D388873BC967}">
          <x14:formula1>
            <xm:f>'Name and Course code'!$B$2:$B$76</xm:f>
          </x14:formula1>
          <xm:sqref>I6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42DE-403A-4364-9528-2A1688AD1216}">
  <sheetPr>
    <tabColor theme="8" tint="0.39997558519241921"/>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140</v>
      </c>
      <c r="J6" s="43" t="s">
        <v>278</v>
      </c>
      <c r="K6" s="1" t="s">
        <v>139</v>
      </c>
    </row>
    <row r="7" spans="2:26" ht="72.599999999999994" customHeight="1" thickBot="1" x14ac:dyDescent="0.3">
      <c r="B7" s="160"/>
      <c r="C7" s="161"/>
      <c r="D7" s="43" t="s">
        <v>279</v>
      </c>
      <c r="E7" s="1">
        <v>1</v>
      </c>
      <c r="F7" s="43" t="s">
        <v>280</v>
      </c>
      <c r="G7" s="1">
        <v>2</v>
      </c>
      <c r="H7" s="43" t="s">
        <v>281</v>
      </c>
      <c r="I7" s="1" t="s">
        <v>282</v>
      </c>
      <c r="J7" s="43" t="s">
        <v>283</v>
      </c>
      <c r="K7" s="1" t="s">
        <v>414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2" t="s">
        <v>415</v>
      </c>
      <c r="D11" s="80" t="s">
        <v>416</v>
      </c>
      <c r="E11" s="2" t="s">
        <v>10</v>
      </c>
      <c r="F11" s="3"/>
      <c r="G11" s="17"/>
      <c r="H11" s="17">
        <v>0.6</v>
      </c>
      <c r="I11" s="17">
        <v>1</v>
      </c>
      <c r="J11" s="80" t="s">
        <v>340</v>
      </c>
      <c r="K11" s="80" t="s">
        <v>417</v>
      </c>
      <c r="U11" s="3">
        <f>F11</f>
        <v>0</v>
      </c>
      <c r="V11" s="2" t="str">
        <f>C11</f>
        <v>K2.1</v>
      </c>
      <c r="W11" s="2"/>
      <c r="X11" s="17"/>
      <c r="Y11" s="37"/>
      <c r="Z11" s="37"/>
    </row>
    <row r="12" spans="2:26" ht="100.9" customHeight="1" x14ac:dyDescent="0.25">
      <c r="B12" s="36"/>
      <c r="C12" s="5" t="s">
        <v>445</v>
      </c>
      <c r="D12" s="80" t="s">
        <v>418</v>
      </c>
      <c r="E12" s="5" t="s">
        <v>31</v>
      </c>
      <c r="F12" s="6"/>
      <c r="G12" s="4"/>
      <c r="H12" s="17">
        <v>0.6</v>
      </c>
      <c r="I12" s="17">
        <v>1</v>
      </c>
      <c r="J12" s="80" t="s">
        <v>370</v>
      </c>
      <c r="K12" s="80" t="s">
        <v>419</v>
      </c>
      <c r="U12" s="6">
        <f t="shared" ref="U12:U19" si="0">F12</f>
        <v>0</v>
      </c>
      <c r="V12" s="2" t="str">
        <f>C12</f>
        <v>S7.1</v>
      </c>
      <c r="W12" s="5"/>
      <c r="X12" s="4"/>
      <c r="Y12" s="38"/>
      <c r="Z12" s="38"/>
    </row>
    <row r="13" spans="2:26" ht="102" customHeight="1" x14ac:dyDescent="0.25">
      <c r="B13" s="36"/>
      <c r="C13" s="5"/>
      <c r="D13" s="79"/>
      <c r="E13" s="5"/>
      <c r="F13" s="6"/>
      <c r="G13" s="4"/>
      <c r="H13" s="4"/>
      <c r="I13" s="4"/>
      <c r="J13" s="80"/>
      <c r="K13" s="80"/>
      <c r="U13" s="6">
        <f t="shared" si="0"/>
        <v>0</v>
      </c>
      <c r="V13" s="2">
        <f>C13</f>
        <v>0</v>
      </c>
      <c r="W13" s="5"/>
      <c r="X13" s="4"/>
      <c r="Y13" s="38"/>
      <c r="Z13" s="38"/>
    </row>
    <row r="14" spans="2:26" ht="58.9" customHeight="1" x14ac:dyDescent="0.25">
      <c r="B14" s="36"/>
      <c r="C14" s="5"/>
      <c r="D14" s="79"/>
      <c r="E14" s="5"/>
      <c r="F14" s="6"/>
      <c r="G14" s="4"/>
      <c r="H14" s="4"/>
      <c r="I14" s="4"/>
      <c r="J14" s="80"/>
      <c r="K14" s="81"/>
      <c r="U14" s="6">
        <f t="shared" si="0"/>
        <v>0</v>
      </c>
      <c r="V14" s="2">
        <f>C14</f>
        <v>0</v>
      </c>
      <c r="W14" s="5"/>
      <c r="X14" s="4"/>
      <c r="Y14" s="38"/>
      <c r="Z14" s="38"/>
    </row>
    <row r="15" spans="2:26" ht="58.9" customHeight="1" x14ac:dyDescent="0.25">
      <c r="B15" s="36"/>
      <c r="C15" s="5"/>
      <c r="D15" s="79"/>
      <c r="E15" s="5"/>
      <c r="F15" s="6"/>
      <c r="G15" s="4"/>
      <c r="H15" s="4"/>
      <c r="I15" s="4"/>
      <c r="J15" s="80"/>
      <c r="K15" s="81"/>
      <c r="U15" s="6">
        <f t="shared" si="0"/>
        <v>0</v>
      </c>
      <c r="V15" s="2">
        <f>C15</f>
        <v>0</v>
      </c>
      <c r="W15" s="5"/>
      <c r="X15" s="4"/>
      <c r="Y15" s="38"/>
      <c r="Z15" s="38"/>
    </row>
    <row r="16" spans="2:26" ht="58.9" customHeight="1" x14ac:dyDescent="0.25">
      <c r="B16" s="36"/>
      <c r="C16" s="5"/>
      <c r="D16" s="79"/>
      <c r="E16" s="5"/>
      <c r="F16" s="6"/>
      <c r="G16" s="4"/>
      <c r="H16" s="4"/>
      <c r="I16" s="4"/>
      <c r="J16" s="80"/>
      <c r="K16" s="81"/>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S7.1</v>
      </c>
      <c r="H25" s="49">
        <f>C13</f>
        <v>0</v>
      </c>
      <c r="I25" s="49">
        <f>C14</f>
        <v>0</v>
      </c>
      <c r="J25" s="49">
        <f>C15</f>
        <v>0</v>
      </c>
      <c r="K25" s="49">
        <f>C16</f>
        <v>0</v>
      </c>
      <c r="L25" s="49">
        <f>C17</f>
        <v>0</v>
      </c>
      <c r="M25" s="49">
        <f>C18</f>
        <v>0</v>
      </c>
      <c r="N25" s="49">
        <f>C19</f>
        <v>0</v>
      </c>
      <c r="O25" s="50" t="s">
        <v>305</v>
      </c>
    </row>
    <row r="26" spans="2:26" ht="46.5" customHeight="1" thickBot="1" x14ac:dyDescent="0.3">
      <c r="C26" s="51" t="s">
        <v>306</v>
      </c>
      <c r="D26" s="80" t="s">
        <v>420</v>
      </c>
      <c r="E26" s="8">
        <v>2</v>
      </c>
      <c r="F26" s="8">
        <v>1</v>
      </c>
      <c r="G26" s="8">
        <v>1</v>
      </c>
      <c r="H26" s="8"/>
      <c r="I26" s="8"/>
      <c r="J26" s="8"/>
      <c r="K26" s="8"/>
      <c r="L26" s="8"/>
      <c r="M26" s="8"/>
      <c r="N26" s="8"/>
      <c r="O26" s="53" t="b">
        <f>IF(SUM(F26:N26)=E26,TRUE,"false")</f>
        <v>1</v>
      </c>
    </row>
    <row r="27" spans="2:26" ht="30.4" customHeight="1" thickBot="1" x14ac:dyDescent="0.3">
      <c r="C27" s="51" t="s">
        <v>307</v>
      </c>
      <c r="D27" s="80" t="s">
        <v>421</v>
      </c>
      <c r="E27" s="8">
        <v>2</v>
      </c>
      <c r="F27" s="8">
        <v>1</v>
      </c>
      <c r="G27" s="8">
        <v>1</v>
      </c>
      <c r="H27" s="8"/>
      <c r="I27" s="8"/>
      <c r="J27" s="8"/>
      <c r="K27" s="8"/>
      <c r="L27" s="8"/>
      <c r="M27" s="8"/>
      <c r="N27" s="8"/>
      <c r="O27" s="53" t="b">
        <f t="shared" ref="O27:O40" si="1">IF(SUM(F27:N27)=E27,TRUE,"false")</f>
        <v>1</v>
      </c>
    </row>
    <row r="28" spans="2:26" ht="30.4" customHeight="1" thickBot="1" x14ac:dyDescent="0.3">
      <c r="C28" s="51" t="s">
        <v>308</v>
      </c>
      <c r="D28" s="80" t="s">
        <v>422</v>
      </c>
      <c r="E28" s="8">
        <v>4</v>
      </c>
      <c r="F28" s="8">
        <v>2</v>
      </c>
      <c r="G28" s="8">
        <v>2</v>
      </c>
      <c r="H28" s="8"/>
      <c r="I28" s="8"/>
      <c r="J28" s="8"/>
      <c r="K28" s="8"/>
      <c r="L28" s="8"/>
      <c r="M28" s="8"/>
      <c r="N28" s="8"/>
      <c r="O28" s="53" t="b">
        <f t="shared" si="1"/>
        <v>1</v>
      </c>
    </row>
    <row r="29" spans="2:26" ht="30.4" customHeight="1" thickBot="1" x14ac:dyDescent="0.3">
      <c r="C29" s="51" t="s">
        <v>309</v>
      </c>
      <c r="D29" s="80" t="s">
        <v>423</v>
      </c>
      <c r="E29" s="8">
        <v>2</v>
      </c>
      <c r="F29" s="8">
        <v>1</v>
      </c>
      <c r="G29" s="8">
        <v>1</v>
      </c>
      <c r="H29" s="8"/>
      <c r="I29" s="8"/>
      <c r="J29" s="8"/>
      <c r="K29" s="8"/>
      <c r="L29" s="8"/>
      <c r="M29" s="8"/>
      <c r="N29" s="8"/>
      <c r="O29" s="53" t="b">
        <f t="shared" si="1"/>
        <v>1</v>
      </c>
    </row>
    <row r="30" spans="2:26" ht="30.4" customHeight="1" thickBot="1" x14ac:dyDescent="0.3">
      <c r="C30" s="51" t="s">
        <v>310</v>
      </c>
      <c r="D30" s="80" t="s">
        <v>424</v>
      </c>
      <c r="E30" s="8">
        <v>4</v>
      </c>
      <c r="F30" s="8">
        <v>3</v>
      </c>
      <c r="G30" s="8">
        <v>1</v>
      </c>
      <c r="H30" s="8"/>
      <c r="I30" s="8"/>
      <c r="J30" s="8"/>
      <c r="K30" s="8"/>
      <c r="L30" s="8"/>
      <c r="M30" s="8"/>
      <c r="N30" s="8"/>
      <c r="O30" s="53" t="b">
        <f t="shared" si="1"/>
        <v>1</v>
      </c>
    </row>
    <row r="31" spans="2:26" ht="30.4" customHeight="1" thickBot="1" x14ac:dyDescent="0.3">
      <c r="C31" s="51" t="s">
        <v>311</v>
      </c>
      <c r="D31" s="80" t="s">
        <v>425</v>
      </c>
      <c r="E31" s="8">
        <v>2</v>
      </c>
      <c r="F31" s="8">
        <v>1</v>
      </c>
      <c r="G31" s="8">
        <v>1</v>
      </c>
      <c r="H31" s="8"/>
      <c r="I31" s="8"/>
      <c r="J31" s="8"/>
      <c r="K31" s="8"/>
      <c r="L31" s="8"/>
      <c r="M31" s="8"/>
      <c r="N31" s="8"/>
      <c r="O31" s="53" t="b">
        <f t="shared" si="1"/>
        <v>1</v>
      </c>
    </row>
    <row r="32" spans="2:26" ht="30.4" customHeight="1" thickBot="1" x14ac:dyDescent="0.3">
      <c r="C32" s="51" t="s">
        <v>312</v>
      </c>
      <c r="D32" s="80" t="s">
        <v>426</v>
      </c>
      <c r="E32" s="8">
        <v>4</v>
      </c>
      <c r="F32" s="8">
        <v>3</v>
      </c>
      <c r="G32" s="8">
        <v>1</v>
      </c>
      <c r="H32" s="8"/>
      <c r="I32" s="8"/>
      <c r="J32" s="8"/>
      <c r="K32" s="8"/>
      <c r="L32" s="8"/>
      <c r="M32" s="8"/>
      <c r="N32" s="8"/>
      <c r="O32" s="53" t="b">
        <f t="shared" si="1"/>
        <v>1</v>
      </c>
    </row>
    <row r="33" spans="2:15" ht="30.4" customHeight="1" thickBot="1" x14ac:dyDescent="0.3">
      <c r="C33" s="51" t="s">
        <v>313</v>
      </c>
      <c r="D33" s="80" t="s">
        <v>427</v>
      </c>
      <c r="E33" s="8">
        <v>4</v>
      </c>
      <c r="F33" s="8">
        <v>3</v>
      </c>
      <c r="G33" s="8">
        <v>1</v>
      </c>
      <c r="H33" s="8"/>
      <c r="I33" s="8"/>
      <c r="J33" s="8"/>
      <c r="K33" s="8"/>
      <c r="L33" s="8"/>
      <c r="M33" s="8"/>
      <c r="N33" s="8"/>
      <c r="O33" s="53" t="b">
        <f t="shared" si="1"/>
        <v>1</v>
      </c>
    </row>
    <row r="34" spans="2:15" ht="30.4" customHeight="1" thickBot="1" x14ac:dyDescent="0.3">
      <c r="C34" s="51" t="s">
        <v>314</v>
      </c>
      <c r="D34" s="80" t="s">
        <v>428</v>
      </c>
      <c r="E34" s="8">
        <v>2</v>
      </c>
      <c r="F34" s="8">
        <v>1</v>
      </c>
      <c r="G34" s="8">
        <v>1</v>
      </c>
      <c r="H34" s="8"/>
      <c r="I34" s="8"/>
      <c r="J34" s="8"/>
      <c r="K34" s="8"/>
      <c r="L34" s="8"/>
      <c r="M34" s="8"/>
      <c r="N34" s="8"/>
      <c r="O34" s="53" t="b">
        <f t="shared" si="1"/>
        <v>1</v>
      </c>
    </row>
    <row r="35" spans="2:15" ht="30.4" customHeight="1" thickBot="1" x14ac:dyDescent="0.3">
      <c r="C35" s="51" t="s">
        <v>315</v>
      </c>
      <c r="D35" s="80" t="s">
        <v>429</v>
      </c>
      <c r="E35" s="8">
        <v>2</v>
      </c>
      <c r="F35" s="8">
        <v>1</v>
      </c>
      <c r="G35" s="8">
        <v>1</v>
      </c>
      <c r="H35" s="8"/>
      <c r="I35" s="8"/>
      <c r="J35" s="8"/>
      <c r="K35" s="8"/>
      <c r="L35" s="8"/>
      <c r="M35" s="8"/>
      <c r="N35" s="8"/>
      <c r="O35" s="53" t="b">
        <f t="shared" si="1"/>
        <v>1</v>
      </c>
    </row>
    <row r="36" spans="2:15" ht="30.4" customHeight="1" thickBot="1" x14ac:dyDescent="0.3">
      <c r="C36" s="51" t="s">
        <v>316</v>
      </c>
      <c r="D36" s="80" t="s">
        <v>430</v>
      </c>
      <c r="E36" s="8">
        <v>2</v>
      </c>
      <c r="F36" s="8">
        <v>1</v>
      </c>
      <c r="G36" s="8">
        <v>1</v>
      </c>
      <c r="H36" s="8"/>
      <c r="I36" s="8"/>
      <c r="J36" s="8"/>
      <c r="K36" s="8"/>
      <c r="L36" s="8"/>
      <c r="M36" s="8"/>
      <c r="N36" s="8"/>
      <c r="O36" s="53" t="b">
        <f t="shared" si="1"/>
        <v>1</v>
      </c>
    </row>
    <row r="37" spans="2:15" ht="30.4" customHeight="1" thickBot="1" x14ac:dyDescent="0.3">
      <c r="C37" s="51" t="s">
        <v>317</v>
      </c>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18</v>
      </c>
      <c r="G40" s="52">
        <f t="shared" si="2"/>
        <v>12</v>
      </c>
      <c r="H40" s="52">
        <f t="shared" si="2"/>
        <v>0</v>
      </c>
      <c r="I40" s="52">
        <f t="shared" si="2"/>
        <v>0</v>
      </c>
      <c r="J40" s="52">
        <f t="shared" si="2"/>
        <v>0</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0.6</v>
      </c>
      <c r="G41" s="54">
        <f>ROUND(G40/E40,2)</f>
        <v>0.4</v>
      </c>
      <c r="H41" s="54">
        <f>ROUND(H40/E40,2)</f>
        <v>0</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60</v>
      </c>
      <c r="G42" s="7">
        <v>40</v>
      </c>
      <c r="H42" s="7"/>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S7.1</v>
      </c>
      <c r="G46" s="59">
        <f>C13</f>
        <v>0</v>
      </c>
      <c r="H46" s="59">
        <f>C14</f>
        <v>0</v>
      </c>
      <c r="I46" s="59">
        <f>C15</f>
        <v>0</v>
      </c>
      <c r="J46" s="59">
        <f>C16</f>
        <v>0</v>
      </c>
      <c r="K46" s="59">
        <f>C17</f>
        <v>0</v>
      </c>
      <c r="L46" s="59">
        <f>C18</f>
        <v>0</v>
      </c>
      <c r="M46" s="59">
        <f>C19</f>
        <v>0</v>
      </c>
      <c r="N46" s="60" t="s">
        <v>327</v>
      </c>
    </row>
    <row r="47" spans="2:15" ht="55.15" customHeight="1" x14ac:dyDescent="0.25">
      <c r="C47" s="9" t="s">
        <v>410</v>
      </c>
      <c r="D47" s="10">
        <v>20</v>
      </c>
      <c r="E47" s="8">
        <v>15</v>
      </c>
      <c r="F47" s="8">
        <v>5</v>
      </c>
      <c r="G47" s="8"/>
      <c r="H47" s="8"/>
      <c r="I47" s="8"/>
      <c r="J47" s="8"/>
      <c r="K47" s="8"/>
      <c r="L47" s="8"/>
      <c r="M47" s="8"/>
      <c r="N47" s="55" t="b">
        <f t="shared" ref="N47:N54" si="3">IF(SUM(E47:M47)=D47,TRUE,"false")</f>
        <v>1</v>
      </c>
    </row>
    <row r="48" spans="2:15" ht="55.15" customHeight="1" x14ac:dyDescent="0.25">
      <c r="C48" s="9" t="s">
        <v>431</v>
      </c>
      <c r="D48" s="10">
        <v>10</v>
      </c>
      <c r="E48" s="11"/>
      <c r="F48" s="12">
        <v>10</v>
      </c>
      <c r="G48" s="12"/>
      <c r="H48" s="12"/>
      <c r="I48" s="12"/>
      <c r="J48" s="12"/>
      <c r="K48" s="12"/>
      <c r="L48" s="12"/>
      <c r="M48" s="12"/>
      <c r="N48" s="55" t="b">
        <f t="shared" si="3"/>
        <v>1</v>
      </c>
    </row>
    <row r="49" spans="3:14" ht="55.15" customHeight="1" x14ac:dyDescent="0.25">
      <c r="C49" s="9" t="s">
        <v>412</v>
      </c>
      <c r="D49" s="10">
        <v>10</v>
      </c>
      <c r="E49" s="11">
        <v>10</v>
      </c>
      <c r="F49" s="12"/>
      <c r="G49" s="12"/>
      <c r="H49" s="12"/>
      <c r="I49" s="12"/>
      <c r="J49" s="12"/>
      <c r="K49" s="12"/>
      <c r="L49" s="12"/>
      <c r="M49" s="12"/>
      <c r="N49" s="55" t="b">
        <f t="shared" si="3"/>
        <v>1</v>
      </c>
    </row>
    <row r="50" spans="3:14" ht="55.15" customHeight="1" x14ac:dyDescent="0.25">
      <c r="C50" s="9" t="s">
        <v>432</v>
      </c>
      <c r="D50" s="10">
        <v>20</v>
      </c>
      <c r="E50" s="11">
        <v>5</v>
      </c>
      <c r="F50" s="12">
        <v>15</v>
      </c>
      <c r="G50" s="12"/>
      <c r="H50" s="12"/>
      <c r="I50" s="12"/>
      <c r="J50" s="12"/>
      <c r="K50" s="12"/>
      <c r="L50" s="12"/>
      <c r="M50" s="12"/>
      <c r="N50" s="55" t="b">
        <f t="shared" si="3"/>
        <v>1</v>
      </c>
    </row>
    <row r="51" spans="3:14" ht="55.15" customHeight="1" x14ac:dyDescent="0.25">
      <c r="C51" s="9" t="s">
        <v>334</v>
      </c>
      <c r="D51" s="10">
        <v>40</v>
      </c>
      <c r="E51" s="11">
        <v>30</v>
      </c>
      <c r="F51" s="12">
        <v>10</v>
      </c>
      <c r="G51" s="12"/>
      <c r="H51" s="12"/>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60</v>
      </c>
      <c r="F56" s="65">
        <f t="shared" si="5"/>
        <v>40</v>
      </c>
      <c r="G56" s="65">
        <f t="shared" si="5"/>
        <v>0</v>
      </c>
      <c r="H56" s="65">
        <f t="shared" si="5"/>
        <v>0</v>
      </c>
      <c r="I56" s="65">
        <f t="shared" si="5"/>
        <v>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1409" priority="1">
      <formula>LEN(TRIM(D47))=0</formula>
    </cfRule>
    <cfRule type="cellIs" dxfId="1408" priority="2" operator="equal">
      <formula>0</formula>
    </cfRule>
  </conditionalFormatting>
  <conditionalFormatting sqref="E55:M55">
    <cfRule type="containsText" dxfId="1407" priority="21" operator="containsText" text="false">
      <formula>NOT(ISERROR(SEARCH("false",E55)))</formula>
    </cfRule>
    <cfRule type="containsText" dxfId="1406" priority="22" operator="containsText" text="true">
      <formula>NOT(ISERROR(SEARCH("true",E55)))</formula>
    </cfRule>
  </conditionalFormatting>
  <conditionalFormatting sqref="E26:N39">
    <cfRule type="containsBlanks" dxfId="1405" priority="13">
      <formula>LEN(TRIM(E26))=0</formula>
    </cfRule>
    <cfRule type="cellIs" dxfId="1404" priority="14" operator="equal">
      <formula>0</formula>
    </cfRule>
  </conditionalFormatting>
  <conditionalFormatting sqref="N47:N54">
    <cfRule type="containsText" dxfId="1403" priority="23" operator="containsText" text="false">
      <formula>NOT(ISERROR(SEARCH("false",N47)))</formula>
    </cfRule>
    <cfRule type="containsText" dxfId="1402" priority="24" operator="containsText" text="true">
      <formula>NOT(ISERROR(SEARCH("true",N47)))</formula>
    </cfRule>
  </conditionalFormatting>
  <conditionalFormatting sqref="N55">
    <cfRule type="containsBlanks" dxfId="1401" priority="29">
      <formula>LEN(TRIM(N55))=0</formula>
    </cfRule>
    <cfRule type="cellIs" dxfId="1400" priority="30" operator="equal">
      <formula>0</formula>
    </cfRule>
  </conditionalFormatting>
  <conditionalFormatting sqref="O26:O40">
    <cfRule type="containsText" dxfId="1399" priority="25" operator="containsText" text="false">
      <formula>NOT(ISERROR(SEARCH("false",O26)))</formula>
    </cfRule>
    <cfRule type="containsText" dxfId="1398" priority="26" operator="containsText" text="true">
      <formula>NOT(ISERROR(SEARCH("true",O26)))</formula>
    </cfRule>
  </conditionalFormatting>
  <conditionalFormatting sqref="O42">
    <cfRule type="cellIs" dxfId="1397" priority="17" operator="notEqual">
      <formula>100</formula>
    </cfRule>
    <cfRule type="cellIs" dxfId="1396" priority="18"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3CDD160C-7ABD-4B6D-9249-2F230ED46E03}">
          <x14:formula1>
            <xm:f>'Name and Course code'!$B$2:$B$76</xm:f>
          </x14:formula1>
          <xm:sqref>I6</xm:sqref>
        </x14:dataValidation>
        <x14:dataValidation type="list" allowBlank="1" showInputMessage="1" showErrorMessage="1" xr:uid="{CA4389C6-C912-47DB-BB54-5565CBF38C66}">
          <x14:formula1>
            <xm:f>'Name and Course code'!$A$2:$A$76</xm:f>
          </x14:formula1>
          <xm:sqref>K6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6C06B-D534-4793-9A09-B3E4AA41131B}">
  <sheetPr>
    <tabColor theme="8" tint="0.39997558519241921"/>
  </sheetPr>
  <dimension ref="B2:AB57"/>
  <sheetViews>
    <sheetView zoomScale="50" zoomScaleNormal="50" workbookViewId="0">
      <selection activeCell="K8" sqref="K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142</v>
      </c>
      <c r="J6" s="43" t="s">
        <v>278</v>
      </c>
      <c r="K6" s="1" t="s">
        <v>141</v>
      </c>
    </row>
    <row r="7" spans="2:26" ht="72.599999999999994" customHeight="1" thickBot="1" x14ac:dyDescent="0.3">
      <c r="B7" s="160"/>
      <c r="C7" s="161"/>
      <c r="D7" s="43" t="s">
        <v>279</v>
      </c>
      <c r="E7" s="1">
        <v>1</v>
      </c>
      <c r="F7" s="43" t="s">
        <v>280</v>
      </c>
      <c r="G7" s="1">
        <v>2</v>
      </c>
      <c r="H7" s="43" t="s">
        <v>281</v>
      </c>
      <c r="I7" s="1" t="s">
        <v>282</v>
      </c>
      <c r="J7" s="43" t="s">
        <v>283</v>
      </c>
      <c r="K7" s="1" t="s">
        <v>1740</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84" t="s">
        <v>415</v>
      </c>
      <c r="D11" s="79" t="s">
        <v>1552</v>
      </c>
      <c r="E11" s="84" t="s">
        <v>10</v>
      </c>
      <c r="F11" s="3"/>
      <c r="G11" s="17"/>
      <c r="H11" s="17">
        <v>0.6</v>
      </c>
      <c r="I11" s="17">
        <v>1</v>
      </c>
      <c r="J11" s="80" t="s">
        <v>1553</v>
      </c>
      <c r="K11" s="80" t="s">
        <v>1554</v>
      </c>
      <c r="U11" s="3">
        <f>F11</f>
        <v>0</v>
      </c>
      <c r="V11" s="2" t="str">
        <f>C11</f>
        <v>K2.1</v>
      </c>
      <c r="W11" s="2"/>
      <c r="X11" s="17"/>
      <c r="Y11" s="37"/>
      <c r="Z11" s="37"/>
    </row>
    <row r="12" spans="2:26" ht="100.9" customHeight="1" x14ac:dyDescent="0.25">
      <c r="B12" s="36"/>
      <c r="C12" s="84" t="s">
        <v>342</v>
      </c>
      <c r="D12" s="79" t="s">
        <v>1555</v>
      </c>
      <c r="E12" s="84" t="s">
        <v>22</v>
      </c>
      <c r="F12" s="3"/>
      <c r="G12" s="17"/>
      <c r="H12" s="17">
        <v>0.6</v>
      </c>
      <c r="I12" s="17">
        <v>1</v>
      </c>
      <c r="J12" s="80" t="s">
        <v>1556</v>
      </c>
      <c r="K12" s="80" t="s">
        <v>1557</v>
      </c>
      <c r="U12" s="6">
        <f t="shared" ref="U12:U19" si="0">F12</f>
        <v>0</v>
      </c>
      <c r="V12" s="2" t="str">
        <f>C12</f>
        <v>S2.1</v>
      </c>
      <c r="W12" s="5"/>
      <c r="X12" s="4"/>
      <c r="Y12" s="38"/>
      <c r="Z12" s="38"/>
    </row>
    <row r="13" spans="2:26" ht="102" customHeight="1" x14ac:dyDescent="0.25">
      <c r="B13" s="36"/>
      <c r="C13" s="84" t="s">
        <v>441</v>
      </c>
      <c r="D13" s="79" t="s">
        <v>1558</v>
      </c>
      <c r="E13" s="84" t="s">
        <v>39</v>
      </c>
      <c r="F13" s="3"/>
      <c r="G13" s="17"/>
      <c r="H13" s="17">
        <v>0.6</v>
      </c>
      <c r="I13" s="17">
        <v>1</v>
      </c>
      <c r="J13" s="80" t="s">
        <v>1559</v>
      </c>
      <c r="K13" s="80" t="s">
        <v>1560</v>
      </c>
      <c r="U13" s="6">
        <f t="shared" si="0"/>
        <v>0</v>
      </c>
      <c r="V13" s="2" t="str">
        <f>C13</f>
        <v>S6.1</v>
      </c>
      <c r="W13" s="5"/>
      <c r="X13" s="4"/>
      <c r="Y13" s="38"/>
      <c r="Z13" s="38"/>
    </row>
    <row r="14" spans="2:26" ht="58.9" customHeight="1" x14ac:dyDescent="0.25">
      <c r="B14" s="36"/>
      <c r="C14" s="84" t="s">
        <v>445</v>
      </c>
      <c r="D14" s="79" t="s">
        <v>1561</v>
      </c>
      <c r="E14" s="84" t="s">
        <v>31</v>
      </c>
      <c r="F14" s="3"/>
      <c r="G14" s="17"/>
      <c r="H14" s="17">
        <v>0.6</v>
      </c>
      <c r="I14" s="17">
        <v>1</v>
      </c>
      <c r="J14" s="80" t="s">
        <v>950</v>
      </c>
      <c r="K14" s="80" t="s">
        <v>951</v>
      </c>
      <c r="U14" s="6">
        <f t="shared" si="0"/>
        <v>0</v>
      </c>
      <c r="V14" s="2" t="str">
        <f>C14</f>
        <v>S7.1</v>
      </c>
      <c r="W14" s="5"/>
      <c r="X14" s="4"/>
      <c r="Y14" s="38"/>
      <c r="Z14" s="38"/>
    </row>
    <row r="15" spans="2:26" ht="58.9" customHeight="1" x14ac:dyDescent="0.25">
      <c r="B15" s="36"/>
      <c r="C15" s="5"/>
      <c r="D15" s="79"/>
      <c r="E15" s="5"/>
      <c r="F15" s="6"/>
      <c r="G15" s="4"/>
      <c r="H15" s="4"/>
      <c r="I15" s="4"/>
      <c r="J15" s="80"/>
      <c r="K15" s="81"/>
      <c r="U15" s="6">
        <f t="shared" si="0"/>
        <v>0</v>
      </c>
      <c r="V15" s="2">
        <f>C15</f>
        <v>0</v>
      </c>
      <c r="W15" s="5"/>
      <c r="X15" s="4"/>
      <c r="Y15" s="38"/>
      <c r="Z15" s="38"/>
    </row>
    <row r="16" spans="2:26" ht="58.9" customHeight="1" x14ac:dyDescent="0.25">
      <c r="B16" s="36"/>
      <c r="C16" s="5"/>
      <c r="D16" s="79"/>
      <c r="E16" s="5"/>
      <c r="F16" s="6"/>
      <c r="G16" s="4"/>
      <c r="H16" s="4"/>
      <c r="I16" s="4"/>
      <c r="J16" s="80"/>
      <c r="K16" s="81"/>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S2.1</v>
      </c>
      <c r="H25" s="49" t="str">
        <f>C13</f>
        <v>S6.1</v>
      </c>
      <c r="I25" s="49" t="str">
        <f>C14</f>
        <v>S7.1</v>
      </c>
      <c r="J25" s="49">
        <f>C15</f>
        <v>0</v>
      </c>
      <c r="K25" s="49">
        <f>C16</f>
        <v>0</v>
      </c>
      <c r="L25" s="49">
        <f>C17</f>
        <v>0</v>
      </c>
      <c r="M25" s="49">
        <f>C18</f>
        <v>0</v>
      </c>
      <c r="N25" s="49">
        <f>C19</f>
        <v>0</v>
      </c>
      <c r="O25" s="50" t="s">
        <v>305</v>
      </c>
    </row>
    <row r="26" spans="2:26" ht="46.5" customHeight="1" thickBot="1" x14ac:dyDescent="0.3">
      <c r="C26" s="51" t="s">
        <v>306</v>
      </c>
      <c r="D26" s="128" t="s">
        <v>1562</v>
      </c>
      <c r="E26" s="8">
        <v>8</v>
      </c>
      <c r="F26" s="8">
        <v>4</v>
      </c>
      <c r="G26" s="8">
        <v>2</v>
      </c>
      <c r="H26" s="8">
        <v>2</v>
      </c>
      <c r="I26" s="8"/>
      <c r="J26" s="8"/>
      <c r="K26" s="8"/>
      <c r="L26" s="8"/>
      <c r="M26" s="8"/>
      <c r="N26" s="8"/>
      <c r="O26" s="53" t="b">
        <f>IF(SUM(F26:N26)=E26,TRUE,"false")</f>
        <v>1</v>
      </c>
    </row>
    <row r="27" spans="2:26" ht="30.4" customHeight="1" thickBot="1" x14ac:dyDescent="0.3">
      <c r="C27" s="51" t="s">
        <v>307</v>
      </c>
      <c r="D27" s="128" t="s">
        <v>1563</v>
      </c>
      <c r="E27" s="8">
        <v>6</v>
      </c>
      <c r="F27" s="8">
        <v>4</v>
      </c>
      <c r="G27" s="8">
        <v>2</v>
      </c>
      <c r="H27" s="8"/>
      <c r="I27" s="8"/>
      <c r="J27" s="8"/>
      <c r="K27" s="8"/>
      <c r="L27" s="8"/>
      <c r="M27" s="8"/>
      <c r="N27" s="8"/>
      <c r="O27" s="53" t="b">
        <f t="shared" ref="O27:O40" si="1">IF(SUM(F27:N27)=E27,TRUE,"false")</f>
        <v>1</v>
      </c>
    </row>
    <row r="28" spans="2:26" ht="30.4" customHeight="1" thickBot="1" x14ac:dyDescent="0.3">
      <c r="C28" s="51" t="s">
        <v>308</v>
      </c>
      <c r="D28" s="128" t="s">
        <v>1564</v>
      </c>
      <c r="E28" s="8">
        <v>6</v>
      </c>
      <c r="F28" s="8">
        <v>4</v>
      </c>
      <c r="G28" s="8">
        <v>2</v>
      </c>
      <c r="H28" s="8"/>
      <c r="I28" s="8"/>
      <c r="J28" s="8"/>
      <c r="K28" s="8"/>
      <c r="L28" s="8"/>
      <c r="M28" s="8"/>
      <c r="N28" s="8"/>
      <c r="O28" s="53" t="b">
        <f t="shared" si="1"/>
        <v>1</v>
      </c>
    </row>
    <row r="29" spans="2:26" ht="30.4" customHeight="1" thickBot="1" x14ac:dyDescent="0.3">
      <c r="C29" s="51" t="s">
        <v>309</v>
      </c>
      <c r="D29" s="128" t="s">
        <v>1565</v>
      </c>
      <c r="E29" s="8">
        <v>8</v>
      </c>
      <c r="F29" s="8">
        <v>4</v>
      </c>
      <c r="G29" s="8"/>
      <c r="H29" s="8">
        <v>2</v>
      </c>
      <c r="I29" s="8">
        <v>2</v>
      </c>
      <c r="J29" s="8"/>
      <c r="K29" s="8"/>
      <c r="L29" s="8"/>
      <c r="M29" s="8"/>
      <c r="N29" s="8"/>
      <c r="O29" s="53" t="b">
        <f t="shared" si="1"/>
        <v>1</v>
      </c>
    </row>
    <row r="30" spans="2:26" ht="30.4" customHeight="1" thickBot="1" x14ac:dyDescent="0.3">
      <c r="C30" s="51" t="s">
        <v>310</v>
      </c>
      <c r="D30" s="128" t="s">
        <v>1566</v>
      </c>
      <c r="E30" s="8">
        <v>6</v>
      </c>
      <c r="F30" s="8">
        <v>4</v>
      </c>
      <c r="G30" s="8">
        <v>2</v>
      </c>
      <c r="H30" s="8"/>
      <c r="I30" s="8"/>
      <c r="J30" s="8"/>
      <c r="K30" s="8"/>
      <c r="L30" s="8"/>
      <c r="M30" s="8"/>
      <c r="N30" s="8"/>
      <c r="O30" s="53" t="b">
        <f t="shared" si="1"/>
        <v>1</v>
      </c>
    </row>
    <row r="31" spans="2:26" ht="30.4" customHeight="1" thickBot="1" x14ac:dyDescent="0.3">
      <c r="C31" s="51" t="s">
        <v>311</v>
      </c>
      <c r="D31" s="128" t="s">
        <v>1567</v>
      </c>
      <c r="E31" s="8">
        <v>6</v>
      </c>
      <c r="F31" s="8">
        <v>2</v>
      </c>
      <c r="G31" s="8"/>
      <c r="H31" s="8">
        <v>2</v>
      </c>
      <c r="I31" s="8">
        <v>2</v>
      </c>
      <c r="J31" s="8"/>
      <c r="K31" s="8"/>
      <c r="L31" s="8"/>
      <c r="M31" s="8"/>
      <c r="N31" s="8"/>
      <c r="O31" s="53" t="b">
        <f t="shared" si="1"/>
        <v>1</v>
      </c>
    </row>
    <row r="32" spans="2:26" ht="30.4" customHeight="1" thickBot="1" x14ac:dyDescent="0.3">
      <c r="C32" s="51" t="s">
        <v>312</v>
      </c>
      <c r="D32" s="128" t="s">
        <v>1568</v>
      </c>
      <c r="E32" s="8">
        <v>6</v>
      </c>
      <c r="F32" s="8">
        <v>6</v>
      </c>
      <c r="G32" s="8"/>
      <c r="H32" s="8"/>
      <c r="I32" s="8"/>
      <c r="J32" s="8"/>
      <c r="K32" s="8"/>
      <c r="L32" s="8"/>
      <c r="M32" s="8"/>
      <c r="N32" s="8"/>
      <c r="O32" s="53" t="b">
        <f t="shared" si="1"/>
        <v>1</v>
      </c>
    </row>
    <row r="33" spans="2:15" ht="30.4" customHeight="1" thickBot="1" x14ac:dyDescent="0.3">
      <c r="C33" s="51" t="s">
        <v>313</v>
      </c>
      <c r="D33" s="128" t="s">
        <v>1569</v>
      </c>
      <c r="E33" s="8">
        <v>6</v>
      </c>
      <c r="F33" s="8">
        <v>2</v>
      </c>
      <c r="G33" s="8">
        <v>2</v>
      </c>
      <c r="H33" s="8">
        <v>2</v>
      </c>
      <c r="I33" s="8"/>
      <c r="J33" s="8"/>
      <c r="K33" s="8"/>
      <c r="L33" s="8"/>
      <c r="M33" s="8"/>
      <c r="N33" s="8"/>
      <c r="O33" s="53" t="b">
        <f t="shared" si="1"/>
        <v>1</v>
      </c>
    </row>
    <row r="34" spans="2:15" ht="30.4" customHeight="1" thickBot="1" x14ac:dyDescent="0.3">
      <c r="C34" s="51" t="s">
        <v>314</v>
      </c>
      <c r="D34" s="128" t="s">
        <v>1570</v>
      </c>
      <c r="E34" s="8">
        <v>4</v>
      </c>
      <c r="F34" s="8">
        <v>2</v>
      </c>
      <c r="G34" s="8">
        <v>2</v>
      </c>
      <c r="H34" s="8"/>
      <c r="I34" s="8"/>
      <c r="J34" s="8"/>
      <c r="K34" s="8"/>
      <c r="L34" s="8"/>
      <c r="M34" s="8"/>
      <c r="N34" s="8"/>
      <c r="O34" s="53" t="b">
        <f t="shared" si="1"/>
        <v>1</v>
      </c>
    </row>
    <row r="35" spans="2:15" ht="30.4" customHeight="1" thickBot="1" x14ac:dyDescent="0.3">
      <c r="C35" s="51" t="s">
        <v>315</v>
      </c>
      <c r="D35" s="128" t="s">
        <v>1571</v>
      </c>
      <c r="E35" s="8">
        <v>4</v>
      </c>
      <c r="F35" s="8">
        <v>2</v>
      </c>
      <c r="G35" s="8">
        <v>2</v>
      </c>
      <c r="H35" s="8"/>
      <c r="I35" s="8"/>
      <c r="J35" s="8"/>
      <c r="K35" s="8"/>
      <c r="L35" s="8"/>
      <c r="M35" s="8"/>
      <c r="N35" s="8"/>
      <c r="O35" s="53" t="b">
        <f t="shared" si="1"/>
        <v>1</v>
      </c>
    </row>
    <row r="36" spans="2:15" ht="30.4" customHeight="1" thickBot="1" x14ac:dyDescent="0.3">
      <c r="C36" s="51" t="s">
        <v>316</v>
      </c>
      <c r="D36" s="79"/>
      <c r="E36" s="8"/>
      <c r="F36" s="8"/>
      <c r="G36" s="8"/>
      <c r="H36" s="8"/>
      <c r="I36" s="8"/>
      <c r="J36" s="8"/>
      <c r="K36" s="8"/>
      <c r="L36" s="8"/>
      <c r="M36" s="8"/>
      <c r="N36" s="8"/>
      <c r="O36" s="53" t="b">
        <f t="shared" si="1"/>
        <v>1</v>
      </c>
    </row>
    <row r="37" spans="2:15" ht="30.4" customHeight="1" thickBot="1" x14ac:dyDescent="0.3">
      <c r="C37" s="51" t="s">
        <v>317</v>
      </c>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60</v>
      </c>
      <c r="F40" s="52">
        <f t="shared" ref="F40:N40" si="2">SUM(F26:F39)</f>
        <v>34</v>
      </c>
      <c r="G40" s="52">
        <f t="shared" si="2"/>
        <v>14</v>
      </c>
      <c r="H40" s="52">
        <f t="shared" si="2"/>
        <v>8</v>
      </c>
      <c r="I40" s="52">
        <f t="shared" si="2"/>
        <v>4</v>
      </c>
      <c r="J40" s="52">
        <f t="shared" si="2"/>
        <v>0</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0.56999999999999995</v>
      </c>
      <c r="G41" s="54">
        <f>ROUND(G40/E40,2)</f>
        <v>0.23</v>
      </c>
      <c r="H41" s="54">
        <f>ROUND(H40/E40,2)</f>
        <v>0.13</v>
      </c>
      <c r="I41" s="54">
        <f>ROUND(I40/E40,2)</f>
        <v>7.0000000000000007E-2</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60</v>
      </c>
      <c r="G42" s="7">
        <v>20</v>
      </c>
      <c r="H42" s="7">
        <v>15</v>
      </c>
      <c r="I42" s="7">
        <v>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S2.1</v>
      </c>
      <c r="G46" s="59" t="str">
        <f>C13</f>
        <v>S6.1</v>
      </c>
      <c r="H46" s="59" t="str">
        <f>C14</f>
        <v>S7.1</v>
      </c>
      <c r="I46" s="59">
        <f>C15</f>
        <v>0</v>
      </c>
      <c r="J46" s="59">
        <f>C16</f>
        <v>0</v>
      </c>
      <c r="K46" s="59">
        <f>C17</f>
        <v>0</v>
      </c>
      <c r="L46" s="59">
        <f>C18</f>
        <v>0</v>
      </c>
      <c r="M46" s="59">
        <f>C19</f>
        <v>0</v>
      </c>
      <c r="N46" s="60" t="s">
        <v>327</v>
      </c>
    </row>
    <row r="47" spans="2:15" ht="55.15" customHeight="1" x14ac:dyDescent="0.25">
      <c r="C47" s="9" t="s">
        <v>1572</v>
      </c>
      <c r="D47" s="10">
        <v>25</v>
      </c>
      <c r="E47" s="8">
        <v>20</v>
      </c>
      <c r="F47" s="8">
        <v>5</v>
      </c>
      <c r="G47" s="8"/>
      <c r="H47" s="8"/>
      <c r="I47" s="8"/>
      <c r="J47" s="8"/>
      <c r="K47" s="8"/>
      <c r="L47" s="8"/>
      <c r="M47" s="8"/>
      <c r="N47" s="55" t="b">
        <f t="shared" ref="N47:N54" si="3">IF(SUM(E47:M47)=D47,TRUE,"false")</f>
        <v>1</v>
      </c>
    </row>
    <row r="48" spans="2:15" ht="55.15" customHeight="1" x14ac:dyDescent="0.25">
      <c r="C48" s="9" t="s">
        <v>458</v>
      </c>
      <c r="D48" s="10">
        <v>5</v>
      </c>
      <c r="E48" s="11">
        <v>5</v>
      </c>
      <c r="F48" s="12"/>
      <c r="G48" s="12"/>
      <c r="H48" s="12"/>
      <c r="I48" s="12"/>
      <c r="J48" s="12"/>
      <c r="K48" s="12"/>
      <c r="L48" s="12"/>
      <c r="M48" s="12"/>
      <c r="N48" s="55" t="b">
        <f t="shared" si="3"/>
        <v>1</v>
      </c>
    </row>
    <row r="49" spans="3:14" ht="55.15" customHeight="1" x14ac:dyDescent="0.25">
      <c r="C49" s="9" t="s">
        <v>331</v>
      </c>
      <c r="D49" s="10">
        <v>10</v>
      </c>
      <c r="E49" s="11">
        <v>5</v>
      </c>
      <c r="F49" s="12">
        <v>5</v>
      </c>
      <c r="G49" s="12"/>
      <c r="H49" s="12"/>
      <c r="I49" s="12"/>
      <c r="J49" s="12"/>
      <c r="K49" s="12"/>
      <c r="L49" s="12"/>
      <c r="M49" s="12"/>
      <c r="N49" s="55" t="b">
        <f t="shared" si="3"/>
        <v>1</v>
      </c>
    </row>
    <row r="50" spans="3:14" ht="55.15" customHeight="1" x14ac:dyDescent="0.25">
      <c r="C50" s="9" t="s">
        <v>459</v>
      </c>
      <c r="D50" s="10">
        <v>20</v>
      </c>
      <c r="E50" s="11"/>
      <c r="F50" s="12"/>
      <c r="G50" s="12">
        <v>15</v>
      </c>
      <c r="H50" s="12">
        <v>5</v>
      </c>
      <c r="I50" s="12"/>
      <c r="J50" s="12"/>
      <c r="K50" s="12"/>
      <c r="L50" s="12"/>
      <c r="M50" s="12"/>
      <c r="N50" s="55" t="b">
        <f t="shared" si="3"/>
        <v>1</v>
      </c>
    </row>
    <row r="51" spans="3:14" ht="55.15" customHeight="1" x14ac:dyDescent="0.25">
      <c r="C51" s="9" t="s">
        <v>460</v>
      </c>
      <c r="D51" s="10">
        <v>40</v>
      </c>
      <c r="E51" s="11">
        <v>30</v>
      </c>
      <c r="F51" s="12">
        <v>10</v>
      </c>
      <c r="G51" s="12"/>
      <c r="H51" s="12"/>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60</v>
      </c>
      <c r="F56" s="65">
        <f t="shared" si="5"/>
        <v>20</v>
      </c>
      <c r="G56" s="65">
        <f t="shared" si="5"/>
        <v>15</v>
      </c>
      <c r="H56" s="65">
        <f t="shared" si="5"/>
        <v>5</v>
      </c>
      <c r="I56" s="65">
        <f t="shared" si="5"/>
        <v>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1395" priority="1">
      <formula>LEN(TRIM(D47))=0</formula>
    </cfRule>
    <cfRule type="cellIs" dxfId="1394" priority="2" operator="equal">
      <formula>0</formula>
    </cfRule>
  </conditionalFormatting>
  <conditionalFormatting sqref="E50">
    <cfRule type="containsBlanks" dxfId="1393" priority="7">
      <formula>LEN(TRIM(E50))=0</formula>
    </cfRule>
    <cfRule type="cellIs" dxfId="1392" priority="8" operator="equal">
      <formula>0</formula>
    </cfRule>
  </conditionalFormatting>
  <conditionalFormatting sqref="E55:M55">
    <cfRule type="containsText" dxfId="1391" priority="17" operator="containsText" text="false">
      <formula>NOT(ISERROR(SEARCH("false",E55)))</formula>
    </cfRule>
    <cfRule type="containsText" dxfId="1390" priority="18" operator="containsText" text="true">
      <formula>NOT(ISERROR(SEARCH("true",E55)))</formula>
    </cfRule>
  </conditionalFormatting>
  <conditionalFormatting sqref="E26:N39">
    <cfRule type="containsBlanks" dxfId="1389" priority="11">
      <formula>LEN(TRIM(E26))=0</formula>
    </cfRule>
    <cfRule type="cellIs" dxfId="1388" priority="12" operator="equal">
      <formula>0</formula>
    </cfRule>
  </conditionalFormatting>
  <conditionalFormatting sqref="F48:H48">
    <cfRule type="containsBlanks" dxfId="1387" priority="9">
      <formula>LEN(TRIM(F48))=0</formula>
    </cfRule>
    <cfRule type="cellIs" dxfId="1386" priority="10" operator="equal">
      <formula>0</formula>
    </cfRule>
  </conditionalFormatting>
  <conditionalFormatting sqref="F50:H51">
    <cfRule type="containsBlanks" dxfId="1385" priority="5">
      <formula>LEN(TRIM(F50))=0</formula>
    </cfRule>
    <cfRule type="cellIs" dxfId="1384" priority="6" operator="equal">
      <formula>0</formula>
    </cfRule>
  </conditionalFormatting>
  <conditionalFormatting sqref="N47:N54">
    <cfRule type="containsText" dxfId="1383" priority="19" operator="containsText" text="false">
      <formula>NOT(ISERROR(SEARCH("false",N47)))</formula>
    </cfRule>
    <cfRule type="containsText" dxfId="1382" priority="20" operator="containsText" text="true">
      <formula>NOT(ISERROR(SEARCH("true",N47)))</formula>
    </cfRule>
  </conditionalFormatting>
  <conditionalFormatting sqref="N55">
    <cfRule type="containsBlanks" dxfId="1381" priority="25">
      <formula>LEN(TRIM(N55))=0</formula>
    </cfRule>
    <cfRule type="cellIs" dxfId="1380" priority="26" operator="equal">
      <formula>0</formula>
    </cfRule>
  </conditionalFormatting>
  <conditionalFormatting sqref="O26:O40">
    <cfRule type="containsText" dxfId="1379" priority="21" operator="containsText" text="false">
      <formula>NOT(ISERROR(SEARCH("false",O26)))</formula>
    </cfRule>
    <cfRule type="containsText" dxfId="1378" priority="22" operator="containsText" text="true">
      <formula>NOT(ISERROR(SEARCH("true",O26)))</formula>
    </cfRule>
  </conditionalFormatting>
  <conditionalFormatting sqref="O42">
    <cfRule type="cellIs" dxfId="1377" priority="13" operator="notEqual">
      <formula>100</formula>
    </cfRule>
    <cfRule type="cellIs" dxfId="1376" priority="14"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023297E-F717-436B-8052-B14A301D85CD}">
          <x14:formula1>
            <xm:f>'Name and Course code'!$A$2:$A$76</xm:f>
          </x14:formula1>
          <xm:sqref>K6</xm:sqref>
        </x14:dataValidation>
        <x14:dataValidation type="list" allowBlank="1" showInputMessage="1" showErrorMessage="1" xr:uid="{37F5BDA1-E7A6-4E54-8861-B62913E1327B}">
          <x14:formula1>
            <xm:f>'Name and Course code'!$B$2:$B$76</xm:f>
          </x14:formula1>
          <xm:sqref>I6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8" tint="0.39997558519241921"/>
  </sheetPr>
  <dimension ref="B2:AB57"/>
  <sheetViews>
    <sheetView zoomScale="50" zoomScaleNormal="50" zoomScaleSheetLayoutView="23" workbookViewId="0">
      <selection activeCell="J16" sqref="J1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144</v>
      </c>
      <c r="J6" s="43" t="s">
        <v>278</v>
      </c>
      <c r="K6" s="1" t="s">
        <v>65</v>
      </c>
    </row>
    <row r="7" spans="2:26" ht="72.599999999999994" customHeight="1" thickBot="1" x14ac:dyDescent="0.3">
      <c r="B7" s="160"/>
      <c r="C7" s="161"/>
      <c r="D7" s="43" t="s">
        <v>279</v>
      </c>
      <c r="E7" s="1">
        <v>1</v>
      </c>
      <c r="F7" s="43" t="s">
        <v>280</v>
      </c>
      <c r="G7" s="1">
        <v>2</v>
      </c>
      <c r="H7" s="43" t="s">
        <v>281</v>
      </c>
      <c r="I7" s="1" t="s">
        <v>282</v>
      </c>
      <c r="J7" s="43" t="s">
        <v>283</v>
      </c>
      <c r="K7" s="1" t="s">
        <v>434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211.5" customHeight="1" x14ac:dyDescent="0.25">
      <c r="B11" s="36"/>
      <c r="C11" s="84" t="s">
        <v>415</v>
      </c>
      <c r="D11" s="79" t="s">
        <v>435</v>
      </c>
      <c r="E11" s="84" t="s">
        <v>10</v>
      </c>
      <c r="F11" s="3"/>
      <c r="G11" s="17"/>
      <c r="H11" s="17">
        <v>0.6</v>
      </c>
      <c r="I11" s="17">
        <v>1</v>
      </c>
      <c r="J11" s="80" t="s">
        <v>436</v>
      </c>
      <c r="K11" s="80" t="s">
        <v>1742</v>
      </c>
      <c r="U11" s="3">
        <f>F11</f>
        <v>0</v>
      </c>
      <c r="V11" s="2" t="str">
        <f>C11</f>
        <v>K2.1</v>
      </c>
      <c r="W11" s="2"/>
      <c r="X11" s="17"/>
      <c r="Y11" s="37"/>
      <c r="Z11" s="37"/>
    </row>
    <row r="12" spans="2:26" ht="58.9" customHeight="1" x14ac:dyDescent="0.25">
      <c r="B12" s="36"/>
      <c r="C12" s="84" t="s">
        <v>395</v>
      </c>
      <c r="D12" s="79" t="s">
        <v>438</v>
      </c>
      <c r="E12" s="84" t="s">
        <v>24</v>
      </c>
      <c r="F12" s="6"/>
      <c r="G12" s="4"/>
      <c r="H12" s="17">
        <v>0.6</v>
      </c>
      <c r="I12" s="17">
        <v>1</v>
      </c>
      <c r="J12" s="81" t="s">
        <v>439</v>
      </c>
      <c r="K12" s="81" t="s">
        <v>1743</v>
      </c>
      <c r="U12" s="6">
        <f>F12</f>
        <v>0</v>
      </c>
      <c r="V12" s="2" t="str">
        <f>C12</f>
        <v>S3.1</v>
      </c>
      <c r="W12" s="5"/>
      <c r="X12" s="4"/>
      <c r="Y12" s="38"/>
      <c r="Z12" s="38"/>
    </row>
    <row r="13" spans="2:26" ht="58.9" customHeight="1" x14ac:dyDescent="0.25">
      <c r="B13" s="36"/>
      <c r="C13" s="84" t="s">
        <v>441</v>
      </c>
      <c r="D13" s="79" t="s">
        <v>442</v>
      </c>
      <c r="E13" s="84" t="s">
        <v>39</v>
      </c>
      <c r="F13" s="6"/>
      <c r="G13" s="4"/>
      <c r="H13" s="17">
        <v>0.6</v>
      </c>
      <c r="I13" s="17">
        <v>1</v>
      </c>
      <c r="J13" s="82" t="s">
        <v>443</v>
      </c>
      <c r="K13" s="82" t="s">
        <v>444</v>
      </c>
      <c r="U13" s="6">
        <f>F13</f>
        <v>0</v>
      </c>
      <c r="V13" s="2" t="str">
        <f>C13</f>
        <v>S6.1</v>
      </c>
      <c r="W13" s="5"/>
      <c r="X13" s="4"/>
      <c r="Y13" s="38"/>
      <c r="Z13" s="38"/>
    </row>
    <row r="14" spans="2:26" ht="58.9" customHeight="1" x14ac:dyDescent="0.25">
      <c r="B14" s="36"/>
      <c r="C14" s="84" t="s">
        <v>445</v>
      </c>
      <c r="D14" s="79" t="s">
        <v>446</v>
      </c>
      <c r="E14" s="84" t="s">
        <v>31</v>
      </c>
      <c r="F14" s="6"/>
      <c r="G14" s="4"/>
      <c r="H14" s="17">
        <v>0.6</v>
      </c>
      <c r="I14" s="17">
        <v>1</v>
      </c>
      <c r="J14" s="82" t="s">
        <v>447</v>
      </c>
      <c r="K14" s="82" t="s">
        <v>448</v>
      </c>
      <c r="U14" s="6">
        <f>F14</f>
        <v>0</v>
      </c>
      <c r="V14" s="2" t="str">
        <f>C14</f>
        <v>S7.1</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S3.1</v>
      </c>
      <c r="H25" s="49" t="str">
        <f>C13</f>
        <v>S6.1</v>
      </c>
      <c r="I25" s="49" t="str">
        <f>C14</f>
        <v>S7.1</v>
      </c>
      <c r="J25" s="49">
        <f>C15</f>
        <v>0</v>
      </c>
      <c r="K25" s="49">
        <f>C16</f>
        <v>0</v>
      </c>
      <c r="L25" s="49">
        <f>C17</f>
        <v>0</v>
      </c>
      <c r="M25" s="49">
        <f>C18</f>
        <v>0</v>
      </c>
      <c r="N25" s="49">
        <f>C19</f>
        <v>0</v>
      </c>
      <c r="O25" s="50" t="s">
        <v>305</v>
      </c>
    </row>
    <row r="26" spans="2:26" ht="30.4" customHeight="1" thickBot="1" x14ac:dyDescent="0.3">
      <c r="C26" s="51" t="s">
        <v>306</v>
      </c>
      <c r="D26" s="25" t="s">
        <v>449</v>
      </c>
      <c r="E26" s="8">
        <v>4</v>
      </c>
      <c r="F26" s="8">
        <v>4</v>
      </c>
      <c r="G26" s="8"/>
      <c r="H26" s="8"/>
      <c r="I26" s="8"/>
      <c r="J26" s="8"/>
      <c r="K26" s="8"/>
      <c r="L26" s="8"/>
      <c r="M26" s="8"/>
      <c r="N26" s="8"/>
      <c r="O26" s="53" t="b">
        <f t="shared" ref="O26:O40" si="0">IF(SUM(F26:N26)=E26,TRUE,"false")</f>
        <v>1</v>
      </c>
    </row>
    <row r="27" spans="2:26" ht="30.4" customHeight="1" thickBot="1" x14ac:dyDescent="0.3">
      <c r="C27" s="51" t="s">
        <v>307</v>
      </c>
      <c r="D27" s="25" t="s">
        <v>450</v>
      </c>
      <c r="E27" s="8">
        <v>4</v>
      </c>
      <c r="F27" s="8">
        <v>2</v>
      </c>
      <c r="G27" s="8">
        <v>2</v>
      </c>
      <c r="H27" s="8"/>
      <c r="I27" s="8"/>
      <c r="J27" s="8"/>
      <c r="K27" s="8"/>
      <c r="L27" s="8"/>
      <c r="M27" s="8"/>
      <c r="N27" s="8"/>
      <c r="O27" s="53" t="b">
        <f t="shared" si="0"/>
        <v>1</v>
      </c>
    </row>
    <row r="28" spans="2:26" ht="30.4" customHeight="1" thickBot="1" x14ac:dyDescent="0.3">
      <c r="C28" s="51" t="s">
        <v>308</v>
      </c>
      <c r="D28" s="25" t="s">
        <v>451</v>
      </c>
      <c r="E28" s="8">
        <v>10</v>
      </c>
      <c r="F28" s="8">
        <v>6</v>
      </c>
      <c r="G28" s="8">
        <v>4</v>
      </c>
      <c r="H28" s="8"/>
      <c r="I28" s="8"/>
      <c r="J28" s="8"/>
      <c r="K28" s="8"/>
      <c r="L28" s="8"/>
      <c r="M28" s="8"/>
      <c r="N28" s="8"/>
      <c r="O28" s="53" t="b">
        <f t="shared" si="0"/>
        <v>1</v>
      </c>
    </row>
    <row r="29" spans="2:26" ht="30.4" customHeight="1" thickBot="1" x14ac:dyDescent="0.3">
      <c r="C29" s="51" t="s">
        <v>309</v>
      </c>
      <c r="D29" s="25" t="s">
        <v>452</v>
      </c>
      <c r="E29" s="8">
        <v>10</v>
      </c>
      <c r="F29" s="8">
        <v>4</v>
      </c>
      <c r="G29" s="8">
        <v>6</v>
      </c>
      <c r="H29" s="8"/>
      <c r="I29" s="8"/>
      <c r="J29" s="8"/>
      <c r="K29" s="8"/>
      <c r="L29" s="8"/>
      <c r="M29" s="8"/>
      <c r="N29" s="8"/>
      <c r="O29" s="53" t="b">
        <f t="shared" si="0"/>
        <v>1</v>
      </c>
    </row>
    <row r="30" spans="2:26" ht="30.4" customHeight="1" thickBot="1" x14ac:dyDescent="0.3">
      <c r="C30" s="51" t="s">
        <v>310</v>
      </c>
      <c r="D30" s="25" t="s">
        <v>453</v>
      </c>
      <c r="E30" s="8">
        <v>12</v>
      </c>
      <c r="F30" s="8">
        <v>4</v>
      </c>
      <c r="G30" s="8"/>
      <c r="H30" s="8">
        <v>4</v>
      </c>
      <c r="I30" s="8">
        <v>4</v>
      </c>
      <c r="J30" s="8"/>
      <c r="K30" s="8"/>
      <c r="L30" s="8"/>
      <c r="M30" s="8"/>
      <c r="N30" s="8"/>
      <c r="O30" s="53" t="b">
        <f t="shared" si="0"/>
        <v>1</v>
      </c>
    </row>
    <row r="31" spans="2:26" ht="30.4" customHeight="1" thickBot="1" x14ac:dyDescent="0.3">
      <c r="C31" s="51" t="s">
        <v>311</v>
      </c>
      <c r="D31" s="25" t="s">
        <v>454</v>
      </c>
      <c r="E31" s="8">
        <v>12</v>
      </c>
      <c r="F31" s="8">
        <v>4</v>
      </c>
      <c r="G31" s="8"/>
      <c r="H31" s="8">
        <v>4</v>
      </c>
      <c r="I31" s="8">
        <v>4</v>
      </c>
      <c r="J31" s="8"/>
      <c r="K31" s="8"/>
      <c r="L31" s="8"/>
      <c r="M31" s="8"/>
      <c r="N31" s="8"/>
      <c r="O31" s="53" t="b">
        <f t="shared" si="0"/>
        <v>1</v>
      </c>
    </row>
    <row r="32" spans="2:26" ht="30.4" customHeight="1" thickBot="1" x14ac:dyDescent="0.3">
      <c r="C32" s="51" t="s">
        <v>312</v>
      </c>
      <c r="D32" s="25" t="s">
        <v>455</v>
      </c>
      <c r="E32" s="8">
        <v>2</v>
      </c>
      <c r="F32" s="8">
        <v>2</v>
      </c>
      <c r="G32" s="8"/>
      <c r="H32" s="8"/>
      <c r="I32" s="8"/>
      <c r="J32" s="8"/>
      <c r="K32" s="8"/>
      <c r="L32" s="8"/>
      <c r="M32" s="8"/>
      <c r="N32" s="8"/>
      <c r="O32" s="53" t="b">
        <f t="shared" si="0"/>
        <v>1</v>
      </c>
    </row>
    <row r="33" spans="2:15" ht="30.4" customHeight="1" thickBot="1" x14ac:dyDescent="0.3">
      <c r="C33" s="51" t="s">
        <v>313</v>
      </c>
      <c r="D33" s="25" t="s">
        <v>456</v>
      </c>
      <c r="E33" s="8">
        <v>2</v>
      </c>
      <c r="F33" s="8">
        <v>2</v>
      </c>
      <c r="G33" s="8"/>
      <c r="H33" s="8"/>
      <c r="I33" s="8"/>
      <c r="J33" s="8"/>
      <c r="K33" s="8"/>
      <c r="L33" s="8"/>
      <c r="M33" s="8"/>
      <c r="N33" s="8"/>
      <c r="O33" s="53" t="b">
        <f t="shared" si="0"/>
        <v>1</v>
      </c>
    </row>
    <row r="34" spans="2:15" ht="30.4" customHeight="1" thickBot="1" x14ac:dyDescent="0.3">
      <c r="C34" s="51" t="s">
        <v>314</v>
      </c>
      <c r="D34" s="25" t="s">
        <v>457</v>
      </c>
      <c r="E34" s="8">
        <v>4</v>
      </c>
      <c r="F34" s="8">
        <v>2</v>
      </c>
      <c r="G34" s="8"/>
      <c r="H34" s="8">
        <v>2</v>
      </c>
      <c r="I34" s="8"/>
      <c r="J34" s="8"/>
      <c r="K34" s="8"/>
      <c r="L34" s="8"/>
      <c r="M34" s="8"/>
      <c r="N34" s="8"/>
      <c r="O34" s="53" t="b">
        <f t="shared" si="0"/>
        <v>1</v>
      </c>
    </row>
    <row r="35" spans="2:15" ht="30.4" customHeight="1" thickBot="1" x14ac:dyDescent="0.3">
      <c r="C35" s="51" t="s">
        <v>315</v>
      </c>
      <c r="D35" s="25"/>
      <c r="E35" s="8"/>
      <c r="F35" s="8"/>
      <c r="G35" s="8"/>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30</v>
      </c>
      <c r="G40" s="52">
        <f t="shared" si="1"/>
        <v>12</v>
      </c>
      <c r="H40" s="52">
        <f t="shared" si="1"/>
        <v>10</v>
      </c>
      <c r="I40" s="52">
        <f t="shared" si="1"/>
        <v>8</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0.5</v>
      </c>
      <c r="G41" s="54">
        <f>ROUND(G40/E40,2)</f>
        <v>0.2</v>
      </c>
      <c r="H41" s="54">
        <f>ROUND(H40/E40,2)</f>
        <v>0.17</v>
      </c>
      <c r="I41" s="54">
        <f>ROUND(I40/E40,2)</f>
        <v>0.13</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50</v>
      </c>
      <c r="G42" s="7">
        <v>20</v>
      </c>
      <c r="H42" s="7">
        <v>15</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S3.1</v>
      </c>
      <c r="G46" s="59" t="str">
        <f>C13</f>
        <v>S6.1</v>
      </c>
      <c r="H46" s="59" t="str">
        <f>C14</f>
        <v>S7.1</v>
      </c>
      <c r="I46" s="59">
        <f>C15</f>
        <v>0</v>
      </c>
      <c r="J46" s="59">
        <f>C16</f>
        <v>0</v>
      </c>
      <c r="K46" s="59">
        <f>C17</f>
        <v>0</v>
      </c>
      <c r="L46" s="59">
        <f>C18</f>
        <v>0</v>
      </c>
      <c r="M46" s="59">
        <f>C19</f>
        <v>0</v>
      </c>
      <c r="N46" s="60" t="s">
        <v>327</v>
      </c>
    </row>
    <row r="47" spans="2:15" ht="55.15" customHeight="1" x14ac:dyDescent="0.25">
      <c r="C47" s="9" t="s">
        <v>328</v>
      </c>
      <c r="D47" s="10">
        <v>25</v>
      </c>
      <c r="E47" s="8">
        <v>20</v>
      </c>
      <c r="F47" s="8">
        <v>5</v>
      </c>
      <c r="G47" s="8"/>
      <c r="H47" s="8"/>
      <c r="I47" s="8"/>
      <c r="J47" s="8"/>
      <c r="K47" s="8"/>
      <c r="L47" s="8"/>
      <c r="M47" s="8"/>
      <c r="N47" s="55" t="b">
        <f t="shared" ref="N47:N54" si="2">IF(SUM(E47:M47)=D47,TRUE,"false")</f>
        <v>1</v>
      </c>
    </row>
    <row r="48" spans="2:15" ht="55.15" customHeight="1" x14ac:dyDescent="0.25">
      <c r="C48" s="9" t="s">
        <v>458</v>
      </c>
      <c r="D48" s="10">
        <v>5</v>
      </c>
      <c r="E48" s="11">
        <v>5</v>
      </c>
      <c r="F48" s="12"/>
      <c r="G48" s="12"/>
      <c r="H48" s="12"/>
      <c r="I48" s="12"/>
      <c r="J48" s="12"/>
      <c r="K48" s="12"/>
      <c r="L48" s="12"/>
      <c r="M48" s="12"/>
      <c r="N48" s="55" t="b">
        <f t="shared" si="2"/>
        <v>1</v>
      </c>
    </row>
    <row r="49" spans="3:14" ht="55.15" customHeight="1" x14ac:dyDescent="0.25">
      <c r="C49" s="9" t="s">
        <v>331</v>
      </c>
      <c r="D49" s="10">
        <v>10</v>
      </c>
      <c r="E49" s="11">
        <v>5</v>
      </c>
      <c r="F49" s="12">
        <v>5</v>
      </c>
      <c r="G49" s="12"/>
      <c r="H49" s="12"/>
      <c r="I49" s="12"/>
      <c r="J49" s="12"/>
      <c r="K49" s="12"/>
      <c r="L49" s="12"/>
      <c r="M49" s="12"/>
      <c r="N49" s="55" t="b">
        <f t="shared" si="2"/>
        <v>1</v>
      </c>
    </row>
    <row r="50" spans="3:14" ht="55.15" customHeight="1" x14ac:dyDescent="0.25">
      <c r="C50" s="9" t="s">
        <v>459</v>
      </c>
      <c r="D50" s="10">
        <v>20</v>
      </c>
      <c r="E50" s="11"/>
      <c r="F50" s="12"/>
      <c r="G50" s="12">
        <v>5</v>
      </c>
      <c r="H50" s="12">
        <v>15</v>
      </c>
      <c r="I50" s="12"/>
      <c r="J50" s="12"/>
      <c r="K50" s="12"/>
      <c r="L50" s="12"/>
      <c r="M50" s="12"/>
      <c r="N50" s="55" t="b">
        <f t="shared" si="2"/>
        <v>1</v>
      </c>
    </row>
    <row r="51" spans="3:14" ht="55.15" customHeight="1" x14ac:dyDescent="0.25">
      <c r="C51" s="9" t="s">
        <v>460</v>
      </c>
      <c r="D51" s="10">
        <v>40</v>
      </c>
      <c r="E51" s="11">
        <v>20</v>
      </c>
      <c r="F51" s="12">
        <v>10</v>
      </c>
      <c r="G51" s="12">
        <v>10</v>
      </c>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50</v>
      </c>
      <c r="F56" s="65">
        <f t="shared" si="4"/>
        <v>20</v>
      </c>
      <c r="G56" s="65">
        <f t="shared" si="4"/>
        <v>15</v>
      </c>
      <c r="H56" s="65">
        <f t="shared" si="4"/>
        <v>15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375" priority="11">
      <formula>LEN(TRIM(D47))=0</formula>
    </cfRule>
    <cfRule type="cellIs" dxfId="1374" priority="12" operator="equal">
      <formula>0</formula>
    </cfRule>
  </conditionalFormatting>
  <conditionalFormatting sqref="E50">
    <cfRule type="containsBlanks" dxfId="1373" priority="21">
      <formula>LEN(TRIM(E50))=0</formula>
    </cfRule>
    <cfRule type="cellIs" dxfId="1372" priority="22" operator="equal">
      <formula>0</formula>
    </cfRule>
  </conditionalFormatting>
  <conditionalFormatting sqref="E47:M51 E52">
    <cfRule type="containsBlanks" dxfId="1371" priority="17">
      <formula>LEN(TRIM(E47))=0</formula>
    </cfRule>
    <cfRule type="cellIs" dxfId="1370" priority="18" operator="equal">
      <formula>0</formula>
    </cfRule>
  </conditionalFormatting>
  <conditionalFormatting sqref="E53:M54">
    <cfRule type="containsBlanks" dxfId="1369" priority="15">
      <formula>LEN(TRIM(E53))=0</formula>
    </cfRule>
    <cfRule type="cellIs" dxfId="1368" priority="16" operator="equal">
      <formula>0</formula>
    </cfRule>
  </conditionalFormatting>
  <conditionalFormatting sqref="E55:M55">
    <cfRule type="containsText" dxfId="1367" priority="5" operator="containsText" text="false">
      <formula>NOT(ISERROR(SEARCH("false",E55)))</formula>
    </cfRule>
    <cfRule type="containsText" dxfId="1366" priority="6" operator="containsText" text="true">
      <formula>NOT(ISERROR(SEARCH("true",E55)))</formula>
    </cfRule>
  </conditionalFormatting>
  <conditionalFormatting sqref="E26:N39">
    <cfRule type="containsBlanks" dxfId="1365" priority="3">
      <formula>LEN(TRIM(E26))=0</formula>
    </cfRule>
    <cfRule type="cellIs" dxfId="1364" priority="4" operator="equal">
      <formula>0</formula>
    </cfRule>
  </conditionalFormatting>
  <conditionalFormatting sqref="F48:M48">
    <cfRule type="containsBlanks" dxfId="1363" priority="23">
      <formula>LEN(TRIM(F48))=0</formula>
    </cfRule>
    <cfRule type="cellIs" dxfId="1362" priority="24" operator="equal">
      <formula>0</formula>
    </cfRule>
  </conditionalFormatting>
  <conditionalFormatting sqref="F50:M52">
    <cfRule type="containsBlanks" dxfId="1361" priority="19">
      <formula>LEN(TRIM(F50))=0</formula>
    </cfRule>
    <cfRule type="cellIs" dxfId="1360" priority="20" operator="equal">
      <formula>0</formula>
    </cfRule>
  </conditionalFormatting>
  <conditionalFormatting sqref="N47:N54">
    <cfRule type="containsText" dxfId="1359" priority="7" operator="containsText" text="false">
      <formula>NOT(ISERROR(SEARCH("false",N47)))</formula>
    </cfRule>
    <cfRule type="containsText" dxfId="1358" priority="8" operator="containsText" text="true">
      <formula>NOT(ISERROR(SEARCH("true",N47)))</formula>
    </cfRule>
  </conditionalFormatting>
  <conditionalFormatting sqref="N55">
    <cfRule type="containsBlanks" dxfId="1357" priority="13">
      <formula>LEN(TRIM(N55))=0</formula>
    </cfRule>
    <cfRule type="cellIs" dxfId="1356" priority="14" operator="equal">
      <formula>0</formula>
    </cfRule>
  </conditionalFormatting>
  <conditionalFormatting sqref="O26:O40">
    <cfRule type="containsText" dxfId="1355" priority="9" operator="containsText" text="false">
      <formula>NOT(ISERROR(SEARCH("false",O26)))</formula>
    </cfRule>
    <cfRule type="containsText" dxfId="1354" priority="10" operator="containsText" text="true">
      <formula>NOT(ISERROR(SEARCH("true",O26)))</formula>
    </cfRule>
  </conditionalFormatting>
  <conditionalFormatting sqref="O42">
    <cfRule type="cellIs" dxfId="1353" priority="1" operator="notEqual">
      <formula>100</formula>
    </cfRule>
    <cfRule type="cellIs" dxfId="1352" priority="2" operator="equal">
      <formula>100</formula>
    </cfRule>
  </conditionalFormatting>
  <pageMargins left="0.7" right="0.7" top="0.75" bottom="0.75" header="0.3" footer="0.3"/>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9B36-BEAD-4BC5-B66D-7304BD44BF3D}">
  <sheetPr>
    <tabColor theme="8" tint="0.39997558519241921"/>
  </sheetPr>
  <dimension ref="B2:AB57"/>
  <sheetViews>
    <sheetView zoomScale="50" zoomScaleNormal="50" workbookViewId="0">
      <selection activeCell="F9" sqref="F9"/>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146</v>
      </c>
      <c r="J6" s="43" t="s">
        <v>278</v>
      </c>
      <c r="K6" s="1" t="s">
        <v>145</v>
      </c>
    </row>
    <row r="7" spans="2:26" ht="72.599999999999994" customHeight="1" thickBot="1" x14ac:dyDescent="0.3">
      <c r="B7" s="160"/>
      <c r="C7" s="161"/>
      <c r="D7" s="43" t="s">
        <v>279</v>
      </c>
      <c r="E7" s="1">
        <v>1</v>
      </c>
      <c r="F7" s="43" t="s">
        <v>280</v>
      </c>
      <c r="G7" s="1">
        <v>2</v>
      </c>
      <c r="H7" s="43" t="s">
        <v>281</v>
      </c>
      <c r="I7" s="1">
        <v>2</v>
      </c>
      <c r="J7" s="43" t="s">
        <v>283</v>
      </c>
      <c r="K7" s="1" t="s">
        <v>365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92.2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2" t="s">
        <v>297</v>
      </c>
      <c r="D11" s="80" t="s">
        <v>461</v>
      </c>
      <c r="E11" s="2" t="s">
        <v>7</v>
      </c>
      <c r="F11" s="3"/>
      <c r="G11" s="17"/>
      <c r="H11" s="17">
        <v>0.6</v>
      </c>
      <c r="I11" s="17">
        <v>1</v>
      </c>
      <c r="J11" s="80" t="s">
        <v>1649</v>
      </c>
      <c r="K11" s="81" t="s">
        <v>1620</v>
      </c>
      <c r="U11" s="3">
        <f>F11</f>
        <v>0</v>
      </c>
      <c r="V11" s="2" t="str">
        <f>C11</f>
        <v>K1.1</v>
      </c>
      <c r="W11" s="2"/>
      <c r="X11" s="17"/>
      <c r="Y11" s="37"/>
      <c r="Z11" s="37"/>
    </row>
    <row r="12" spans="2:26" ht="100.9" customHeight="1" x14ac:dyDescent="0.25">
      <c r="B12" s="36"/>
      <c r="C12" s="2" t="s">
        <v>298</v>
      </c>
      <c r="D12" s="80" t="s">
        <v>1716</v>
      </c>
      <c r="E12" s="2" t="s">
        <v>7</v>
      </c>
      <c r="F12" s="6"/>
      <c r="G12" s="4"/>
      <c r="H12" s="17">
        <v>0.6</v>
      </c>
      <c r="I12" s="17">
        <v>1</v>
      </c>
      <c r="J12" s="80" t="s">
        <v>1649</v>
      </c>
      <c r="K12" s="81" t="s">
        <v>1625</v>
      </c>
      <c r="U12" s="6">
        <f t="shared" ref="U12:U19" si="0">F12</f>
        <v>0</v>
      </c>
      <c r="V12" s="2" t="str">
        <f>C12</f>
        <v>K1.2</v>
      </c>
      <c r="W12" s="5"/>
      <c r="X12" s="4"/>
      <c r="Y12" s="38"/>
      <c r="Z12" s="38"/>
    </row>
    <row r="13" spans="2:26" ht="76.5" customHeight="1" x14ac:dyDescent="0.25">
      <c r="B13" s="36"/>
      <c r="C13" s="5" t="s">
        <v>644</v>
      </c>
      <c r="D13" s="80" t="s">
        <v>462</v>
      </c>
      <c r="E13" s="5" t="s">
        <v>18</v>
      </c>
      <c r="F13" s="6"/>
      <c r="G13" s="4"/>
      <c r="H13" s="17">
        <v>0.6</v>
      </c>
      <c r="I13" s="17">
        <v>1</v>
      </c>
      <c r="J13" s="80" t="s">
        <v>1650</v>
      </c>
      <c r="K13" s="81" t="s">
        <v>1651</v>
      </c>
      <c r="U13" s="6">
        <f t="shared" si="0"/>
        <v>0</v>
      </c>
      <c r="V13" s="2" t="str">
        <f>C13</f>
        <v>S1.1</v>
      </c>
      <c r="W13" s="5"/>
      <c r="X13" s="4"/>
      <c r="Y13" s="38"/>
      <c r="Z13" s="38"/>
    </row>
    <row r="14" spans="2:26" ht="67.5" customHeight="1" x14ac:dyDescent="0.25">
      <c r="B14" s="36"/>
      <c r="C14" s="5" t="s">
        <v>1550</v>
      </c>
      <c r="D14" s="80" t="s">
        <v>463</v>
      </c>
      <c r="E14" s="5" t="s">
        <v>18</v>
      </c>
      <c r="F14" s="6"/>
      <c r="G14" s="4"/>
      <c r="H14" s="17">
        <v>0.6</v>
      </c>
      <c r="I14" s="17">
        <v>1</v>
      </c>
      <c r="J14" s="80" t="s">
        <v>1650</v>
      </c>
      <c r="K14" s="81" t="s">
        <v>1651</v>
      </c>
      <c r="U14" s="6">
        <f t="shared" si="0"/>
        <v>0</v>
      </c>
      <c r="V14" s="2" t="str">
        <f>C14</f>
        <v>S1.2</v>
      </c>
      <c r="W14" s="5"/>
      <c r="X14" s="4"/>
      <c r="Y14" s="38"/>
      <c r="Z14" s="38"/>
    </row>
    <row r="15" spans="2:26" ht="91.5" customHeight="1" x14ac:dyDescent="0.25">
      <c r="B15" s="36"/>
      <c r="C15" s="5" t="s">
        <v>752</v>
      </c>
      <c r="D15" s="80" t="s">
        <v>464</v>
      </c>
      <c r="E15" s="5" t="s">
        <v>35</v>
      </c>
      <c r="F15" s="6"/>
      <c r="G15" s="4"/>
      <c r="H15" s="17">
        <v>0.6</v>
      </c>
      <c r="I15" s="17">
        <v>1</v>
      </c>
      <c r="J15" s="80" t="s">
        <v>1621</v>
      </c>
      <c r="K15" s="81" t="s">
        <v>1623</v>
      </c>
      <c r="U15" s="6">
        <f t="shared" si="0"/>
        <v>0</v>
      </c>
      <c r="V15" s="2" t="str">
        <f>C15</f>
        <v>S4.1</v>
      </c>
      <c r="W15" s="5"/>
      <c r="X15" s="4"/>
      <c r="Y15" s="38"/>
      <c r="Z15" s="38"/>
    </row>
    <row r="16" spans="2:26" ht="66" customHeight="1" x14ac:dyDescent="0.25">
      <c r="B16" s="36"/>
      <c r="C16" s="5" t="s">
        <v>300</v>
      </c>
      <c r="D16" s="80" t="s">
        <v>465</v>
      </c>
      <c r="E16" s="5" t="s">
        <v>44</v>
      </c>
      <c r="F16" s="5"/>
      <c r="G16" s="5"/>
      <c r="H16" s="17">
        <v>0.6</v>
      </c>
      <c r="I16" s="17">
        <v>1</v>
      </c>
      <c r="J16" s="80" t="s">
        <v>1621</v>
      </c>
      <c r="K16" s="81" t="s">
        <v>1652</v>
      </c>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S1.2</v>
      </c>
      <c r="J25" s="49" t="str">
        <f>C15</f>
        <v>S4.1</v>
      </c>
      <c r="K25" s="49" t="str">
        <f>C16</f>
        <v>V1.1</v>
      </c>
      <c r="L25" s="49">
        <f>C17</f>
        <v>0</v>
      </c>
      <c r="M25" s="49">
        <f>C18</f>
        <v>0</v>
      </c>
      <c r="N25" s="49">
        <f>C19</f>
        <v>0</v>
      </c>
      <c r="O25" s="50" t="s">
        <v>305</v>
      </c>
    </row>
    <row r="26" spans="2:26" ht="46.5" customHeight="1" thickBot="1" x14ac:dyDescent="0.3">
      <c r="C26" s="51" t="s">
        <v>306</v>
      </c>
      <c r="D26" s="80" t="s">
        <v>466</v>
      </c>
      <c r="E26" s="8">
        <v>4</v>
      </c>
      <c r="F26" s="8">
        <v>1</v>
      </c>
      <c r="G26" s="8">
        <v>1</v>
      </c>
      <c r="H26" s="8"/>
      <c r="I26" s="8">
        <v>0.5</v>
      </c>
      <c r="J26" s="8">
        <v>0.5</v>
      </c>
      <c r="K26" s="8">
        <v>1</v>
      </c>
      <c r="L26" s="8"/>
      <c r="M26" s="8"/>
      <c r="N26" s="8"/>
      <c r="O26" s="53" t="b">
        <f>IF(SUM(F26:N26)=E26,TRUE,"false")</f>
        <v>1</v>
      </c>
    </row>
    <row r="27" spans="2:26" ht="30.4" customHeight="1" thickBot="1" x14ac:dyDescent="0.3">
      <c r="C27" s="51" t="s">
        <v>307</v>
      </c>
      <c r="D27" s="80" t="s">
        <v>467</v>
      </c>
      <c r="E27" s="8">
        <v>2</v>
      </c>
      <c r="F27" s="8">
        <v>1</v>
      </c>
      <c r="G27" s="8"/>
      <c r="H27" s="8">
        <v>1</v>
      </c>
      <c r="I27" s="8"/>
      <c r="J27" s="8"/>
      <c r="K27" s="8"/>
      <c r="L27" s="8"/>
      <c r="M27" s="8"/>
      <c r="N27" s="8"/>
      <c r="O27" s="53" t="b">
        <f t="shared" ref="O27:O40" si="1">IF(SUM(F27:N27)=E27,TRUE,"false")</f>
        <v>1</v>
      </c>
    </row>
    <row r="28" spans="2:26" ht="30.4" customHeight="1" thickBot="1" x14ac:dyDescent="0.3">
      <c r="C28" s="51" t="s">
        <v>308</v>
      </c>
      <c r="D28" s="80" t="s">
        <v>468</v>
      </c>
      <c r="E28" s="8">
        <v>2</v>
      </c>
      <c r="F28" s="8">
        <v>0.5</v>
      </c>
      <c r="G28" s="8">
        <v>0.5</v>
      </c>
      <c r="H28" s="8">
        <v>0.5</v>
      </c>
      <c r="I28" s="8">
        <v>0.5</v>
      </c>
      <c r="J28" s="8"/>
      <c r="K28" s="8"/>
      <c r="L28" s="8"/>
      <c r="M28" s="8"/>
      <c r="N28" s="8"/>
      <c r="O28" s="53" t="b">
        <f t="shared" si="1"/>
        <v>1</v>
      </c>
    </row>
    <row r="29" spans="2:26" ht="30.4" customHeight="1" thickBot="1" x14ac:dyDescent="0.3">
      <c r="C29" s="51" t="s">
        <v>309</v>
      </c>
      <c r="D29" s="80" t="s">
        <v>469</v>
      </c>
      <c r="E29" s="8">
        <v>2</v>
      </c>
      <c r="F29" s="8">
        <v>0.5</v>
      </c>
      <c r="G29" s="8">
        <v>0.5</v>
      </c>
      <c r="H29" s="8">
        <v>0.5</v>
      </c>
      <c r="I29" s="8">
        <v>0.5</v>
      </c>
      <c r="J29" s="8"/>
      <c r="K29" s="8"/>
      <c r="L29" s="8"/>
      <c r="M29" s="8"/>
      <c r="N29" s="8"/>
      <c r="O29" s="53" t="b">
        <f t="shared" si="1"/>
        <v>1</v>
      </c>
    </row>
    <row r="30" spans="2:26" ht="30.4" customHeight="1" thickBot="1" x14ac:dyDescent="0.3">
      <c r="C30" s="51" t="s">
        <v>310</v>
      </c>
      <c r="D30" s="80" t="s">
        <v>470</v>
      </c>
      <c r="E30" s="8">
        <v>2</v>
      </c>
      <c r="F30" s="8">
        <v>0.5</v>
      </c>
      <c r="G30" s="8">
        <v>0.5</v>
      </c>
      <c r="H30" s="8">
        <v>0.5</v>
      </c>
      <c r="I30" s="8">
        <v>0.5</v>
      </c>
      <c r="J30" s="8"/>
      <c r="K30" s="8"/>
      <c r="L30" s="8"/>
      <c r="M30" s="8"/>
      <c r="N30" s="8"/>
      <c r="O30" s="53" t="b">
        <f t="shared" si="1"/>
        <v>1</v>
      </c>
    </row>
    <row r="31" spans="2:26" ht="30.4" customHeight="1" thickBot="1" x14ac:dyDescent="0.3">
      <c r="C31" s="51" t="s">
        <v>311</v>
      </c>
      <c r="D31" s="80" t="s">
        <v>471</v>
      </c>
      <c r="E31" s="8">
        <v>2</v>
      </c>
      <c r="F31" s="8">
        <v>0.5</v>
      </c>
      <c r="G31" s="8">
        <v>0.5</v>
      </c>
      <c r="H31" s="8"/>
      <c r="I31" s="8">
        <v>0.5</v>
      </c>
      <c r="J31" s="8">
        <v>0.5</v>
      </c>
      <c r="K31" s="8"/>
      <c r="L31" s="8"/>
      <c r="M31" s="8"/>
      <c r="N31" s="8"/>
      <c r="O31" s="53" t="b">
        <f t="shared" si="1"/>
        <v>1</v>
      </c>
    </row>
    <row r="32" spans="2:26" ht="30.4" customHeight="1" thickBot="1" x14ac:dyDescent="0.3">
      <c r="C32" s="51" t="s">
        <v>312</v>
      </c>
      <c r="D32" s="80" t="s">
        <v>472</v>
      </c>
      <c r="E32" s="8">
        <v>2</v>
      </c>
      <c r="F32" s="8">
        <v>0.5</v>
      </c>
      <c r="G32" s="8">
        <v>0.5</v>
      </c>
      <c r="H32" s="8">
        <v>0.5</v>
      </c>
      <c r="I32" s="8">
        <v>0.5</v>
      </c>
      <c r="J32" s="8"/>
      <c r="K32" s="8"/>
      <c r="L32" s="8"/>
      <c r="M32" s="8"/>
      <c r="N32" s="8"/>
      <c r="O32" s="53" t="b">
        <f t="shared" si="1"/>
        <v>1</v>
      </c>
    </row>
    <row r="33" spans="2:15" ht="30.4" customHeight="1" thickBot="1" x14ac:dyDescent="0.3">
      <c r="C33" s="51" t="s">
        <v>313</v>
      </c>
      <c r="D33" s="80" t="s">
        <v>473</v>
      </c>
      <c r="E33" s="8">
        <v>2</v>
      </c>
      <c r="F33" s="8">
        <v>0.5</v>
      </c>
      <c r="G33" s="8">
        <v>0.5</v>
      </c>
      <c r="H33" s="8">
        <v>0.5</v>
      </c>
      <c r="I33" s="8">
        <v>0.5</v>
      </c>
      <c r="J33" s="8"/>
      <c r="K33" s="8"/>
      <c r="L33" s="8"/>
      <c r="M33" s="8"/>
      <c r="N33" s="8"/>
      <c r="O33" s="53" t="b">
        <f t="shared" si="1"/>
        <v>1</v>
      </c>
    </row>
    <row r="34" spans="2:15" ht="30.4" customHeight="1" thickBot="1" x14ac:dyDescent="0.3">
      <c r="C34" s="51" t="s">
        <v>314</v>
      </c>
      <c r="D34" s="80" t="s">
        <v>474</v>
      </c>
      <c r="E34" s="8">
        <v>2</v>
      </c>
      <c r="F34" s="8">
        <v>0.5</v>
      </c>
      <c r="G34" s="8">
        <v>0.5</v>
      </c>
      <c r="H34" s="8">
        <v>0.5</v>
      </c>
      <c r="I34" s="8"/>
      <c r="J34" s="8">
        <v>0.5</v>
      </c>
      <c r="K34" s="8"/>
      <c r="L34" s="8"/>
      <c r="M34" s="8"/>
      <c r="N34" s="8"/>
      <c r="O34" s="53" t="b">
        <f t="shared" si="1"/>
        <v>1</v>
      </c>
    </row>
    <row r="35" spans="2:15" ht="30.4" customHeight="1" thickBot="1" x14ac:dyDescent="0.3">
      <c r="C35" s="51" t="s">
        <v>315</v>
      </c>
      <c r="D35" s="80" t="s">
        <v>475</v>
      </c>
      <c r="E35" s="8">
        <v>2</v>
      </c>
      <c r="F35" s="8">
        <v>0.5</v>
      </c>
      <c r="G35" s="8">
        <v>0.5</v>
      </c>
      <c r="H35" s="8">
        <v>0.5</v>
      </c>
      <c r="I35" s="8"/>
      <c r="J35" s="8">
        <v>0.5</v>
      </c>
      <c r="K35" s="8"/>
      <c r="L35" s="8"/>
      <c r="M35" s="8"/>
      <c r="N35" s="8"/>
      <c r="O35" s="53" t="b">
        <f t="shared" si="1"/>
        <v>1</v>
      </c>
    </row>
    <row r="36" spans="2:15" ht="30.4" customHeight="1" thickBot="1" x14ac:dyDescent="0.3">
      <c r="C36" s="51" t="s">
        <v>316</v>
      </c>
      <c r="D36" s="80" t="s">
        <v>476</v>
      </c>
      <c r="E36" s="8">
        <v>2</v>
      </c>
      <c r="F36" s="8">
        <v>0.5</v>
      </c>
      <c r="G36" s="8">
        <v>0.5</v>
      </c>
      <c r="H36" s="8"/>
      <c r="I36" s="8">
        <v>0.5</v>
      </c>
      <c r="J36" s="8">
        <v>0.5</v>
      </c>
      <c r="K36" s="8"/>
      <c r="L36" s="8"/>
      <c r="M36" s="8"/>
      <c r="N36" s="8"/>
      <c r="O36" s="53" t="b">
        <f t="shared" si="1"/>
        <v>1</v>
      </c>
    </row>
    <row r="37" spans="2:15" ht="30.4" customHeight="1" thickBot="1" x14ac:dyDescent="0.3">
      <c r="C37" s="51" t="s">
        <v>317</v>
      </c>
      <c r="D37" s="80" t="s">
        <v>477</v>
      </c>
      <c r="E37" s="8">
        <v>2</v>
      </c>
      <c r="F37" s="8">
        <v>0.5</v>
      </c>
      <c r="G37" s="8">
        <v>0.5</v>
      </c>
      <c r="H37" s="8"/>
      <c r="I37" s="8">
        <v>0.5</v>
      </c>
      <c r="J37" s="8">
        <v>0.5</v>
      </c>
      <c r="K37" s="8"/>
      <c r="L37" s="8"/>
      <c r="M37" s="8"/>
      <c r="N37" s="8"/>
      <c r="O37" s="53" t="b">
        <f t="shared" si="1"/>
        <v>1</v>
      </c>
    </row>
    <row r="38" spans="2:15" ht="30.4" customHeight="1" thickBot="1" x14ac:dyDescent="0.3">
      <c r="C38" s="51" t="s">
        <v>318</v>
      </c>
      <c r="D38" s="80" t="s">
        <v>478</v>
      </c>
      <c r="E38" s="8">
        <v>2</v>
      </c>
      <c r="F38" s="8">
        <v>0.5</v>
      </c>
      <c r="G38" s="8">
        <v>0.5</v>
      </c>
      <c r="H38" s="8">
        <v>0.5</v>
      </c>
      <c r="I38" s="8"/>
      <c r="J38" s="8">
        <v>0.5</v>
      </c>
      <c r="K38" s="8"/>
      <c r="L38" s="8"/>
      <c r="M38" s="8"/>
      <c r="N38" s="8"/>
      <c r="O38" s="53" t="b">
        <f t="shared" si="1"/>
        <v>1</v>
      </c>
    </row>
    <row r="39" spans="2:15" ht="30.4" customHeight="1" x14ac:dyDescent="0.25">
      <c r="C39" s="51" t="s">
        <v>319</v>
      </c>
      <c r="D39" s="80" t="s">
        <v>479</v>
      </c>
      <c r="E39" s="8">
        <v>2</v>
      </c>
      <c r="F39" s="8"/>
      <c r="G39" s="8"/>
      <c r="H39" s="8">
        <v>0.5</v>
      </c>
      <c r="I39" s="8"/>
      <c r="J39" s="8">
        <v>0.5</v>
      </c>
      <c r="K39" s="8">
        <v>1</v>
      </c>
      <c r="L39" s="8"/>
      <c r="M39" s="8"/>
      <c r="N39" s="8"/>
      <c r="O39" s="53" t="b">
        <f t="shared" si="1"/>
        <v>1</v>
      </c>
    </row>
    <row r="40" spans="2:15" s="20" customFormat="1" ht="78" customHeight="1" x14ac:dyDescent="0.25">
      <c r="C40" s="170" t="s">
        <v>320</v>
      </c>
      <c r="D40" s="170"/>
      <c r="E40" s="52">
        <f>SUM(E26:E39)</f>
        <v>30</v>
      </c>
      <c r="F40" s="52">
        <f t="shared" ref="F40:N40" si="2">SUM(F26:F39)</f>
        <v>7.5</v>
      </c>
      <c r="G40" s="52">
        <f t="shared" si="2"/>
        <v>6.5</v>
      </c>
      <c r="H40" s="52">
        <f t="shared" si="2"/>
        <v>5.5</v>
      </c>
      <c r="I40" s="52">
        <f t="shared" si="2"/>
        <v>4.5</v>
      </c>
      <c r="J40" s="52">
        <f t="shared" si="2"/>
        <v>4</v>
      </c>
      <c r="K40" s="52">
        <f t="shared" si="2"/>
        <v>2</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0.25</v>
      </c>
      <c r="G41" s="54">
        <f>ROUND(G40/E40,2)</f>
        <v>0.22</v>
      </c>
      <c r="H41" s="54">
        <f>ROUND(H40/E40,2)</f>
        <v>0.18</v>
      </c>
      <c r="I41" s="54">
        <f>ROUND(I40/E40,2)</f>
        <v>0.15</v>
      </c>
      <c r="J41" s="54">
        <f>ROUND(J40/E40,2)</f>
        <v>0.13</v>
      </c>
      <c r="K41" s="54">
        <f>ROUND(K40/E40,2)</f>
        <v>7.0000000000000007E-2</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15</v>
      </c>
      <c r="I42" s="7">
        <v>15</v>
      </c>
      <c r="J42" s="7">
        <v>15</v>
      </c>
      <c r="K42" s="7">
        <v>10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S1.2</v>
      </c>
      <c r="I46" s="59" t="str">
        <f>C15</f>
        <v>S4.1</v>
      </c>
      <c r="J46" s="59" t="str">
        <f>C16</f>
        <v>V1.1</v>
      </c>
      <c r="K46" s="59">
        <f>C17</f>
        <v>0</v>
      </c>
      <c r="L46" s="59">
        <f>C18</f>
        <v>0</v>
      </c>
      <c r="M46" s="59">
        <f>C19</f>
        <v>0</v>
      </c>
      <c r="N46" s="60" t="s">
        <v>327</v>
      </c>
    </row>
    <row r="47" spans="2:15" ht="55.15" customHeight="1" x14ac:dyDescent="0.25">
      <c r="C47" s="9" t="s">
        <v>409</v>
      </c>
      <c r="D47" s="10">
        <v>10</v>
      </c>
      <c r="E47" s="8">
        <v>5</v>
      </c>
      <c r="F47" s="8">
        <v>5</v>
      </c>
      <c r="G47" s="8"/>
      <c r="H47" s="8"/>
      <c r="I47" s="8"/>
      <c r="J47" s="8"/>
      <c r="K47" s="8"/>
      <c r="L47" s="8"/>
      <c r="M47" s="8"/>
      <c r="N47" s="55" t="b">
        <f t="shared" ref="N47:N54" si="3">IF(SUM(E47:M47)=D47,TRUE,"false")</f>
        <v>1</v>
      </c>
    </row>
    <row r="48" spans="2:15" ht="55.15" customHeight="1" x14ac:dyDescent="0.25">
      <c r="C48" s="9" t="s">
        <v>361</v>
      </c>
      <c r="D48" s="10">
        <v>20</v>
      </c>
      <c r="E48" s="11">
        <v>5</v>
      </c>
      <c r="F48" s="12">
        <v>5</v>
      </c>
      <c r="G48" s="12">
        <v>5</v>
      </c>
      <c r="H48" s="12">
        <v>5</v>
      </c>
      <c r="I48" s="12"/>
      <c r="J48" s="12"/>
      <c r="K48" s="12"/>
      <c r="L48" s="12"/>
      <c r="M48" s="12"/>
      <c r="N48" s="55" t="b">
        <f t="shared" si="3"/>
        <v>1</v>
      </c>
    </row>
    <row r="49" spans="3:14" ht="55.15" customHeight="1" x14ac:dyDescent="0.25">
      <c r="C49" s="9" t="s">
        <v>411</v>
      </c>
      <c r="D49" s="10">
        <v>10</v>
      </c>
      <c r="E49" s="11"/>
      <c r="F49" s="12"/>
      <c r="G49" s="12"/>
      <c r="H49" s="12">
        <v>5</v>
      </c>
      <c r="I49" s="12">
        <v>5</v>
      </c>
      <c r="J49" s="12"/>
      <c r="K49" s="12"/>
      <c r="L49" s="12"/>
      <c r="M49" s="12"/>
      <c r="N49" s="55" t="b">
        <f t="shared" si="3"/>
        <v>1</v>
      </c>
    </row>
    <row r="50" spans="3:14" ht="55.15" customHeight="1" x14ac:dyDescent="0.25">
      <c r="C50" s="9" t="s">
        <v>480</v>
      </c>
      <c r="D50" s="10">
        <v>10</v>
      </c>
      <c r="E50" s="11"/>
      <c r="F50" s="12">
        <v>5</v>
      </c>
      <c r="G50" s="12"/>
      <c r="H50" s="12"/>
      <c r="I50" s="12"/>
      <c r="J50" s="12">
        <v>5</v>
      </c>
      <c r="K50" s="12"/>
      <c r="L50" s="12"/>
      <c r="M50" s="12"/>
      <c r="N50" s="55" t="b">
        <f t="shared" si="3"/>
        <v>1</v>
      </c>
    </row>
    <row r="51" spans="3:14" ht="55.15" customHeight="1" x14ac:dyDescent="0.25">
      <c r="C51" s="9" t="s">
        <v>364</v>
      </c>
      <c r="D51" s="10">
        <v>10</v>
      </c>
      <c r="E51" s="11">
        <v>5</v>
      </c>
      <c r="F51" s="12"/>
      <c r="G51" s="12"/>
      <c r="H51" s="12"/>
      <c r="I51" s="12"/>
      <c r="J51" s="12">
        <v>5</v>
      </c>
      <c r="K51" s="12"/>
      <c r="L51" s="12"/>
      <c r="M51" s="12"/>
      <c r="N51" s="55" t="b">
        <f t="shared" si="3"/>
        <v>1</v>
      </c>
    </row>
    <row r="52" spans="3:14" ht="55.15" customHeight="1" x14ac:dyDescent="0.25">
      <c r="C52" s="9" t="s">
        <v>334</v>
      </c>
      <c r="D52" s="10">
        <v>40</v>
      </c>
      <c r="E52" s="11">
        <v>10</v>
      </c>
      <c r="F52" s="12">
        <v>5</v>
      </c>
      <c r="G52" s="12">
        <v>10</v>
      </c>
      <c r="H52" s="12">
        <v>5</v>
      </c>
      <c r="I52" s="12">
        <v>10</v>
      </c>
      <c r="J52" s="12"/>
      <c r="K52" s="12"/>
      <c r="L52" s="12"/>
      <c r="M52" s="12"/>
      <c r="N52" s="55" t="b">
        <f t="shared" si="3"/>
        <v>1</v>
      </c>
    </row>
    <row r="53" spans="3:14" ht="55.15" customHeight="1" x14ac:dyDescent="0.25">
      <c r="C53" s="9" t="s">
        <v>334</v>
      </c>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15</v>
      </c>
      <c r="H56" s="65">
        <f t="shared" si="5"/>
        <v>15</v>
      </c>
      <c r="I56" s="65">
        <f t="shared" si="5"/>
        <v>15</v>
      </c>
      <c r="J56" s="65">
        <f t="shared" si="5"/>
        <v>10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351" priority="1">
      <formula>LEN(TRIM(D47))=0</formula>
    </cfRule>
    <cfRule type="cellIs" dxfId="1350" priority="2" operator="equal">
      <formula>0</formula>
    </cfRule>
  </conditionalFormatting>
  <conditionalFormatting sqref="E50">
    <cfRule type="containsBlanks" dxfId="1349" priority="7">
      <formula>LEN(TRIM(E50))=0</formula>
    </cfRule>
    <cfRule type="cellIs" dxfId="1348" priority="8" operator="equal">
      <formula>0</formula>
    </cfRule>
  </conditionalFormatting>
  <conditionalFormatting sqref="E47:I51 E52">
    <cfRule type="containsBlanks" dxfId="1347" priority="3">
      <formula>LEN(TRIM(E47))=0</formula>
    </cfRule>
    <cfRule type="cellIs" dxfId="1346" priority="4" operator="equal">
      <formula>0</formula>
    </cfRule>
  </conditionalFormatting>
  <conditionalFormatting sqref="E53:M54">
    <cfRule type="containsBlanks" dxfId="1345" priority="43">
      <formula>LEN(TRIM(E53))=0</formula>
    </cfRule>
    <cfRule type="cellIs" dxfId="1344" priority="44" operator="equal">
      <formula>0</formula>
    </cfRule>
  </conditionalFormatting>
  <conditionalFormatting sqref="E55:M55">
    <cfRule type="containsText" dxfId="1343" priority="33" operator="containsText" text="false">
      <formula>NOT(ISERROR(SEARCH("false",E55)))</formula>
    </cfRule>
    <cfRule type="containsText" dxfId="1342" priority="34" operator="containsText" text="true">
      <formula>NOT(ISERROR(SEARCH("true",E55)))</formula>
    </cfRule>
  </conditionalFormatting>
  <conditionalFormatting sqref="E26:N39">
    <cfRule type="containsBlanks" dxfId="1341" priority="11">
      <formula>LEN(TRIM(E26))=0</formula>
    </cfRule>
    <cfRule type="cellIs" dxfId="1340" priority="12" operator="equal">
      <formula>0</formula>
    </cfRule>
  </conditionalFormatting>
  <conditionalFormatting sqref="F48:I48">
    <cfRule type="containsBlanks" dxfId="1339" priority="9">
      <formula>LEN(TRIM(F48))=0</formula>
    </cfRule>
    <cfRule type="cellIs" dxfId="1338" priority="10" operator="equal">
      <formula>0</formula>
    </cfRule>
  </conditionalFormatting>
  <conditionalFormatting sqref="F50:I52">
    <cfRule type="containsBlanks" dxfId="1337" priority="5">
      <formula>LEN(TRIM(F50))=0</formula>
    </cfRule>
    <cfRule type="cellIs" dxfId="1336" priority="6" operator="equal">
      <formula>0</formula>
    </cfRule>
  </conditionalFormatting>
  <conditionalFormatting sqref="J47:M52">
    <cfRule type="containsBlanks" dxfId="1335" priority="45">
      <formula>LEN(TRIM(J47))=0</formula>
    </cfRule>
    <cfRule type="cellIs" dxfId="1334" priority="46" operator="equal">
      <formula>0</formula>
    </cfRule>
  </conditionalFormatting>
  <conditionalFormatting sqref="N47:N54">
    <cfRule type="containsText" dxfId="1333" priority="35" operator="containsText" text="false">
      <formula>NOT(ISERROR(SEARCH("false",N47)))</formula>
    </cfRule>
    <cfRule type="containsText" dxfId="1332" priority="36" operator="containsText" text="true">
      <formula>NOT(ISERROR(SEARCH("true",N47)))</formula>
    </cfRule>
  </conditionalFormatting>
  <conditionalFormatting sqref="N55">
    <cfRule type="containsBlanks" dxfId="1331" priority="41">
      <formula>LEN(TRIM(N55))=0</formula>
    </cfRule>
    <cfRule type="cellIs" dxfId="1330" priority="42" operator="equal">
      <formula>0</formula>
    </cfRule>
  </conditionalFormatting>
  <conditionalFormatting sqref="O26:O40">
    <cfRule type="containsText" dxfId="1329" priority="37" operator="containsText" text="false">
      <formula>NOT(ISERROR(SEARCH("false",O26)))</formula>
    </cfRule>
    <cfRule type="containsText" dxfId="1328" priority="38" operator="containsText" text="true">
      <formula>NOT(ISERROR(SEARCH("true",O26)))</formula>
    </cfRule>
  </conditionalFormatting>
  <conditionalFormatting sqref="O42">
    <cfRule type="cellIs" dxfId="1327" priority="29" operator="notEqual">
      <formula>100</formula>
    </cfRule>
    <cfRule type="cellIs" dxfId="1326" priority="30"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5C4ACF99-7435-4158-8FEA-4488A669739F}">
          <x14:formula1>
            <xm:f>'Name and Course code'!$B$2:$B$76</xm:f>
          </x14:formula1>
          <xm:sqref>I6</xm:sqref>
        </x14:dataValidation>
        <x14:dataValidation type="list" allowBlank="1" showInputMessage="1" showErrorMessage="1" xr:uid="{392A65A4-5D55-469A-BE18-389A5049C439}">
          <x14:formula1>
            <xm:f>'Name and Course code'!$A$2:$A$76</xm:f>
          </x14:formula1>
          <xm:sqref>K6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C43AA-0DDC-45F5-8932-BFAB8E095694}">
  <sheetPr>
    <tabColor theme="8" tint="0.39997558519241921"/>
  </sheetPr>
  <dimension ref="B2:AB57"/>
  <sheetViews>
    <sheetView topLeftCell="A6" zoomScale="50" zoomScaleNormal="50" workbookViewId="0">
      <selection activeCell="F8" sqref="F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148</v>
      </c>
      <c r="J6" s="43" t="s">
        <v>278</v>
      </c>
      <c r="K6" s="1" t="s">
        <v>147</v>
      </c>
    </row>
    <row r="7" spans="2:26" ht="72.599999999999994" customHeight="1" thickBot="1" x14ac:dyDescent="0.3">
      <c r="B7" s="160"/>
      <c r="C7" s="161"/>
      <c r="D7" s="43" t="s">
        <v>279</v>
      </c>
      <c r="E7" s="1">
        <v>1</v>
      </c>
      <c r="F7" s="43" t="s">
        <v>280</v>
      </c>
      <c r="G7" s="1">
        <v>2</v>
      </c>
      <c r="H7" s="43" t="s">
        <v>281</v>
      </c>
      <c r="I7" s="1" t="s">
        <v>282</v>
      </c>
      <c r="J7" s="43" t="s">
        <v>283</v>
      </c>
      <c r="K7" s="1" t="s">
        <v>338</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2" t="s">
        <v>297</v>
      </c>
      <c r="D11" s="80" t="s">
        <v>1627</v>
      </c>
      <c r="E11" s="2" t="s">
        <v>7</v>
      </c>
      <c r="F11" s="3"/>
      <c r="G11" s="17"/>
      <c r="H11" s="17">
        <v>0.6</v>
      </c>
      <c r="I11" s="17">
        <v>1</v>
      </c>
      <c r="J11" s="80" t="s">
        <v>1619</v>
      </c>
      <c r="K11" s="81" t="s">
        <v>1620</v>
      </c>
      <c r="U11" s="3">
        <f>F11</f>
        <v>0</v>
      </c>
      <c r="V11" s="2" t="str">
        <f>C11</f>
        <v>K1.1</v>
      </c>
      <c r="W11" s="2"/>
      <c r="X11" s="17"/>
      <c r="Y11" s="37"/>
      <c r="Z11" s="37"/>
    </row>
    <row r="12" spans="2:26" ht="100.9" customHeight="1" x14ac:dyDescent="0.25">
      <c r="B12" s="36"/>
      <c r="C12" s="2" t="s">
        <v>298</v>
      </c>
      <c r="D12" s="80" t="s">
        <v>1628</v>
      </c>
      <c r="E12" s="2" t="s">
        <v>7</v>
      </c>
      <c r="F12" s="6"/>
      <c r="G12" s="4"/>
      <c r="H12" s="17">
        <v>0.6</v>
      </c>
      <c r="I12" s="17">
        <v>1</v>
      </c>
      <c r="J12" s="80" t="s">
        <v>1619</v>
      </c>
      <c r="K12" s="81" t="s">
        <v>1625</v>
      </c>
      <c r="U12" s="6">
        <f t="shared" ref="U12:U19" si="0">F12</f>
        <v>0</v>
      </c>
      <c r="V12" s="2" t="str">
        <f>C12</f>
        <v>K1.2</v>
      </c>
      <c r="W12" s="5"/>
      <c r="X12" s="4"/>
      <c r="Y12" s="38"/>
      <c r="Z12" s="38"/>
    </row>
    <row r="13" spans="2:26" ht="102" customHeight="1" x14ac:dyDescent="0.25">
      <c r="B13" s="36"/>
      <c r="C13" s="5" t="s">
        <v>752</v>
      </c>
      <c r="D13" s="80" t="s">
        <v>1629</v>
      </c>
      <c r="E13" s="5" t="s">
        <v>35</v>
      </c>
      <c r="F13" s="6"/>
      <c r="G13" s="4"/>
      <c r="H13" s="17">
        <v>0.6</v>
      </c>
      <c r="I13" s="17">
        <v>1</v>
      </c>
      <c r="J13" s="80" t="s">
        <v>1621</v>
      </c>
      <c r="K13" s="81" t="s">
        <v>1622</v>
      </c>
      <c r="U13" s="6">
        <f t="shared" si="0"/>
        <v>0</v>
      </c>
      <c r="V13" s="2" t="str">
        <f>C13</f>
        <v>S4.1</v>
      </c>
      <c r="W13" s="5"/>
      <c r="X13" s="4"/>
      <c r="Y13" s="38"/>
      <c r="Z13" s="38"/>
    </row>
    <row r="14" spans="2:26" ht="58.9" customHeight="1" x14ac:dyDescent="0.25">
      <c r="B14" s="36"/>
      <c r="C14" s="5" t="s">
        <v>1501</v>
      </c>
      <c r="D14" s="80" t="s">
        <v>1630</v>
      </c>
      <c r="E14" s="5" t="s">
        <v>35</v>
      </c>
      <c r="F14" s="6"/>
      <c r="G14" s="4"/>
      <c r="H14" s="17">
        <v>0.6</v>
      </c>
      <c r="I14" s="17">
        <v>1</v>
      </c>
      <c r="J14" s="80" t="s">
        <v>1621</v>
      </c>
      <c r="K14" s="81" t="s">
        <v>1623</v>
      </c>
      <c r="U14" s="6">
        <f t="shared" si="0"/>
        <v>0</v>
      </c>
      <c r="V14" s="2" t="str">
        <f>C14</f>
        <v>S4.2</v>
      </c>
      <c r="W14" s="5"/>
      <c r="X14" s="4"/>
      <c r="Y14" s="38"/>
      <c r="Z14" s="38"/>
    </row>
    <row r="15" spans="2:26" ht="58.9" customHeight="1" x14ac:dyDescent="0.25">
      <c r="B15" s="36"/>
      <c r="C15" s="5" t="s">
        <v>1502</v>
      </c>
      <c r="D15" s="80" t="s">
        <v>1631</v>
      </c>
      <c r="E15" s="5" t="s">
        <v>35</v>
      </c>
      <c r="F15" s="6"/>
      <c r="G15" s="4"/>
      <c r="H15" s="17">
        <v>0.6</v>
      </c>
      <c r="I15" s="17">
        <v>1</v>
      </c>
      <c r="J15" s="80" t="s">
        <v>1621</v>
      </c>
      <c r="K15" s="81" t="s">
        <v>1623</v>
      </c>
      <c r="U15" s="6">
        <f t="shared" si="0"/>
        <v>0</v>
      </c>
      <c r="V15" s="2" t="str">
        <f>C15</f>
        <v>S4.3</v>
      </c>
      <c r="W15" s="5"/>
      <c r="X15" s="4"/>
      <c r="Y15" s="38"/>
      <c r="Z15" s="38"/>
    </row>
    <row r="16" spans="2:26" ht="58.9" customHeight="1" x14ac:dyDescent="0.25">
      <c r="B16" s="36"/>
      <c r="C16" s="5" t="s">
        <v>1503</v>
      </c>
      <c r="D16" s="80" t="s">
        <v>1632</v>
      </c>
      <c r="E16" s="5" t="s">
        <v>35</v>
      </c>
      <c r="F16" s="6"/>
      <c r="G16" s="4"/>
      <c r="H16" s="17">
        <v>0.6</v>
      </c>
      <c r="I16" s="17">
        <v>1</v>
      </c>
      <c r="J16" s="80" t="s">
        <v>1621</v>
      </c>
      <c r="K16" s="81" t="s">
        <v>1622</v>
      </c>
      <c r="U16" s="6"/>
      <c r="V16" s="2"/>
      <c r="W16" s="5"/>
      <c r="X16" s="4"/>
      <c r="Y16" s="38"/>
      <c r="Z16" s="38"/>
    </row>
    <row r="17" spans="2:26" ht="58.9" customHeight="1" x14ac:dyDescent="0.25">
      <c r="B17" s="36"/>
      <c r="C17" s="5" t="s">
        <v>1504</v>
      </c>
      <c r="D17" s="80" t="s">
        <v>1633</v>
      </c>
      <c r="E17" s="5" t="s">
        <v>35</v>
      </c>
      <c r="F17" s="6"/>
      <c r="G17" s="4"/>
      <c r="H17" s="17">
        <v>0.6</v>
      </c>
      <c r="I17" s="17">
        <v>1</v>
      </c>
      <c r="J17" s="80" t="s">
        <v>1621</v>
      </c>
      <c r="K17" s="81" t="s">
        <v>1622</v>
      </c>
      <c r="U17" s="6">
        <f t="shared" si="0"/>
        <v>0</v>
      </c>
      <c r="V17" s="2" t="str">
        <f>C17</f>
        <v>S4.5</v>
      </c>
      <c r="W17" s="5"/>
      <c r="X17" s="4"/>
      <c r="Y17" s="38"/>
      <c r="Z17" s="38"/>
    </row>
    <row r="18" spans="2:26" ht="58.9" customHeight="1" x14ac:dyDescent="0.25">
      <c r="B18" s="36"/>
      <c r="C18" s="5" t="s">
        <v>300</v>
      </c>
      <c r="D18" s="80" t="s">
        <v>1634</v>
      </c>
      <c r="E18" s="5" t="s">
        <v>44</v>
      </c>
      <c r="F18" s="5"/>
      <c r="G18" s="5"/>
      <c r="H18" s="17">
        <v>0.6</v>
      </c>
      <c r="I18" s="17">
        <v>1</v>
      </c>
      <c r="J18" s="80" t="s">
        <v>1621</v>
      </c>
      <c r="K18" s="81" t="s">
        <v>1626</v>
      </c>
      <c r="U18" s="6">
        <f t="shared" si="0"/>
        <v>0</v>
      </c>
      <c r="V18" s="2" t="str">
        <f>C18</f>
        <v>V1.1</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S4.1</v>
      </c>
      <c r="I25" s="49" t="str">
        <f>C14</f>
        <v>S4.2</v>
      </c>
      <c r="J25" s="49" t="str">
        <f>C15</f>
        <v>S4.3</v>
      </c>
      <c r="K25" s="49" t="str">
        <f>C16</f>
        <v>S4.4</v>
      </c>
      <c r="L25" s="49" t="str">
        <f>C17</f>
        <v>S4.5</v>
      </c>
      <c r="M25" s="49" t="str">
        <f>C18</f>
        <v>V1.1</v>
      </c>
      <c r="N25" s="49">
        <f>C19</f>
        <v>0</v>
      </c>
      <c r="O25" s="50" t="s">
        <v>305</v>
      </c>
    </row>
    <row r="26" spans="2:26" ht="46.5" customHeight="1" thickBot="1" x14ac:dyDescent="0.3">
      <c r="C26" s="51" t="s">
        <v>306</v>
      </c>
      <c r="D26" s="80" t="s">
        <v>1635</v>
      </c>
      <c r="E26" s="8">
        <v>4</v>
      </c>
      <c r="F26" s="8">
        <v>1</v>
      </c>
      <c r="G26" s="8">
        <v>0.5</v>
      </c>
      <c r="H26" s="8">
        <v>0.5</v>
      </c>
      <c r="I26" s="8">
        <v>0.5</v>
      </c>
      <c r="J26" s="8">
        <v>0.5</v>
      </c>
      <c r="K26" s="8">
        <v>1</v>
      </c>
      <c r="L26" s="8"/>
      <c r="M26" s="8"/>
      <c r="N26" s="8"/>
      <c r="O26" s="53" t="b">
        <f>IF(SUM(F26:N26)=E26,TRUE,"false")</f>
        <v>1</v>
      </c>
    </row>
    <row r="27" spans="2:26" ht="30.4" customHeight="1" thickBot="1" x14ac:dyDescent="0.3">
      <c r="C27" s="51" t="s">
        <v>307</v>
      </c>
      <c r="D27" s="80" t="s">
        <v>1636</v>
      </c>
      <c r="E27" s="8">
        <v>4</v>
      </c>
      <c r="F27" s="8"/>
      <c r="G27" s="8">
        <v>3</v>
      </c>
      <c r="H27" s="8">
        <v>1</v>
      </c>
      <c r="I27" s="8"/>
      <c r="J27" s="8"/>
      <c r="K27" s="8"/>
      <c r="L27" s="8"/>
      <c r="M27" s="8"/>
      <c r="N27" s="8"/>
      <c r="O27" s="53" t="b">
        <f t="shared" ref="O27:O40" si="1">IF(SUM(F27:N27)=E27,TRUE,"false")</f>
        <v>1</v>
      </c>
    </row>
    <row r="28" spans="2:26" ht="30.4" customHeight="1" thickBot="1" x14ac:dyDescent="0.3">
      <c r="C28" s="51" t="s">
        <v>308</v>
      </c>
      <c r="D28" s="80" t="s">
        <v>1637</v>
      </c>
      <c r="E28" s="8">
        <v>4</v>
      </c>
      <c r="F28" s="8">
        <v>1</v>
      </c>
      <c r="G28" s="8">
        <v>0.5</v>
      </c>
      <c r="H28" s="8">
        <v>0.5</v>
      </c>
      <c r="I28" s="8">
        <v>0.5</v>
      </c>
      <c r="J28" s="8">
        <v>0.5</v>
      </c>
      <c r="K28" s="8">
        <v>1</v>
      </c>
      <c r="L28" s="8"/>
      <c r="M28" s="8"/>
      <c r="N28" s="8"/>
      <c r="O28" s="53" t="b">
        <f t="shared" si="1"/>
        <v>1</v>
      </c>
    </row>
    <row r="29" spans="2:26" ht="30.4" customHeight="1" thickBot="1" x14ac:dyDescent="0.3">
      <c r="C29" s="51" t="s">
        <v>309</v>
      </c>
      <c r="D29" s="80" t="s">
        <v>1638</v>
      </c>
      <c r="E29" s="8">
        <v>4</v>
      </c>
      <c r="F29" s="8">
        <v>1</v>
      </c>
      <c r="G29" s="8"/>
      <c r="H29" s="8">
        <v>0.5</v>
      </c>
      <c r="I29" s="8">
        <v>0.5</v>
      </c>
      <c r="J29" s="8">
        <v>0.5</v>
      </c>
      <c r="K29" s="8">
        <v>1</v>
      </c>
      <c r="L29" s="8">
        <v>0.5</v>
      </c>
      <c r="M29" s="8"/>
      <c r="N29" s="8"/>
      <c r="O29" s="53" t="b">
        <f t="shared" si="1"/>
        <v>1</v>
      </c>
    </row>
    <row r="30" spans="2:26" ht="30.4" customHeight="1" thickBot="1" x14ac:dyDescent="0.3">
      <c r="C30" s="51" t="s">
        <v>310</v>
      </c>
      <c r="D30" s="80" t="s">
        <v>1639</v>
      </c>
      <c r="E30" s="8">
        <v>4</v>
      </c>
      <c r="F30" s="8">
        <v>1</v>
      </c>
      <c r="G30" s="8"/>
      <c r="H30" s="8">
        <v>0.5</v>
      </c>
      <c r="I30" s="8">
        <v>0.5</v>
      </c>
      <c r="J30" s="8">
        <v>0.5</v>
      </c>
      <c r="K30" s="8">
        <v>1</v>
      </c>
      <c r="L30" s="8">
        <v>0.5</v>
      </c>
      <c r="M30" s="8"/>
      <c r="N30" s="8"/>
      <c r="O30" s="53" t="b">
        <f t="shared" si="1"/>
        <v>1</v>
      </c>
    </row>
    <row r="31" spans="2:26" ht="30.4" customHeight="1" thickBot="1" x14ac:dyDescent="0.3">
      <c r="C31" s="51" t="s">
        <v>311</v>
      </c>
      <c r="D31" s="80" t="s">
        <v>1640</v>
      </c>
      <c r="E31" s="8">
        <v>4</v>
      </c>
      <c r="F31" s="8">
        <v>1</v>
      </c>
      <c r="G31" s="8"/>
      <c r="H31" s="8">
        <v>0.5</v>
      </c>
      <c r="I31" s="8">
        <v>0.5</v>
      </c>
      <c r="J31" s="8">
        <v>0.5</v>
      </c>
      <c r="K31" s="8">
        <v>1</v>
      </c>
      <c r="L31" s="8">
        <v>0.5</v>
      </c>
      <c r="M31" s="8"/>
      <c r="N31" s="8"/>
      <c r="O31" s="53" t="b">
        <f t="shared" si="1"/>
        <v>1</v>
      </c>
    </row>
    <row r="32" spans="2:26" ht="30.4" customHeight="1" thickBot="1" x14ac:dyDescent="0.3">
      <c r="C32" s="51" t="s">
        <v>312</v>
      </c>
      <c r="D32" s="80" t="s">
        <v>1641</v>
      </c>
      <c r="E32" s="8">
        <v>4</v>
      </c>
      <c r="F32" s="8">
        <v>1</v>
      </c>
      <c r="G32" s="8"/>
      <c r="H32" s="8">
        <v>0.5</v>
      </c>
      <c r="I32" s="8">
        <v>0.5</v>
      </c>
      <c r="J32" s="8">
        <v>0.5</v>
      </c>
      <c r="K32" s="8">
        <v>0.5</v>
      </c>
      <c r="L32" s="8">
        <v>1</v>
      </c>
      <c r="M32" s="8"/>
      <c r="N32" s="8"/>
      <c r="O32" s="53" t="b">
        <f t="shared" si="1"/>
        <v>1</v>
      </c>
    </row>
    <row r="33" spans="2:15" ht="30.4" customHeight="1" thickBot="1" x14ac:dyDescent="0.3">
      <c r="C33" s="51" t="s">
        <v>313</v>
      </c>
      <c r="D33" s="80" t="s">
        <v>1642</v>
      </c>
      <c r="E33" s="8">
        <v>4</v>
      </c>
      <c r="F33" s="8">
        <v>1.5</v>
      </c>
      <c r="G33" s="8"/>
      <c r="H33" s="8">
        <v>0.5</v>
      </c>
      <c r="I33" s="8">
        <v>0.5</v>
      </c>
      <c r="J33" s="8">
        <v>0.5</v>
      </c>
      <c r="K33" s="8">
        <v>0.5</v>
      </c>
      <c r="L33" s="8">
        <v>0.5</v>
      </c>
      <c r="M33" s="8"/>
      <c r="N33" s="8"/>
      <c r="O33" s="53" t="b">
        <f t="shared" si="1"/>
        <v>1</v>
      </c>
    </row>
    <row r="34" spans="2:15" ht="30.4" customHeight="1" thickBot="1" x14ac:dyDescent="0.3">
      <c r="C34" s="51" t="s">
        <v>314</v>
      </c>
      <c r="D34" s="80" t="s">
        <v>1643</v>
      </c>
      <c r="E34" s="8">
        <v>4</v>
      </c>
      <c r="F34" s="8">
        <v>0.5</v>
      </c>
      <c r="G34" s="8"/>
      <c r="H34" s="8">
        <v>0.5</v>
      </c>
      <c r="I34" s="8">
        <v>0.5</v>
      </c>
      <c r="J34" s="8">
        <v>0.5</v>
      </c>
      <c r="K34" s="8">
        <v>0.5</v>
      </c>
      <c r="L34" s="8">
        <v>1</v>
      </c>
      <c r="M34" s="8">
        <v>0.5</v>
      </c>
      <c r="N34" s="8"/>
      <c r="O34" s="53" t="b">
        <f t="shared" si="1"/>
        <v>1</v>
      </c>
    </row>
    <row r="35" spans="2:15" ht="30.4" customHeight="1" thickBot="1" x14ac:dyDescent="0.3">
      <c r="C35" s="51" t="s">
        <v>315</v>
      </c>
      <c r="D35" s="80" t="s">
        <v>1644</v>
      </c>
      <c r="E35" s="8">
        <v>4</v>
      </c>
      <c r="F35" s="8">
        <v>1</v>
      </c>
      <c r="G35" s="8"/>
      <c r="H35" s="8">
        <v>0.5</v>
      </c>
      <c r="I35" s="8">
        <v>0.5</v>
      </c>
      <c r="J35" s="8">
        <v>0.5</v>
      </c>
      <c r="K35" s="8">
        <v>1</v>
      </c>
      <c r="L35" s="8">
        <v>0.5</v>
      </c>
      <c r="M35" s="8"/>
      <c r="N35" s="8"/>
      <c r="O35" s="53" t="b">
        <f t="shared" si="1"/>
        <v>1</v>
      </c>
    </row>
    <row r="36" spans="2:15" ht="30.4" customHeight="1" thickBot="1" x14ac:dyDescent="0.3">
      <c r="C36" s="51" t="s">
        <v>316</v>
      </c>
      <c r="D36" s="80" t="s">
        <v>1645</v>
      </c>
      <c r="E36" s="8">
        <v>4</v>
      </c>
      <c r="F36" s="8">
        <v>0.5</v>
      </c>
      <c r="G36" s="8"/>
      <c r="H36" s="8">
        <v>0.5</v>
      </c>
      <c r="I36" s="8">
        <v>0.5</v>
      </c>
      <c r="J36" s="8">
        <v>0.5</v>
      </c>
      <c r="K36" s="8">
        <v>0.5</v>
      </c>
      <c r="L36" s="8">
        <v>1</v>
      </c>
      <c r="M36" s="8">
        <v>0.5</v>
      </c>
      <c r="N36" s="8"/>
      <c r="O36" s="53" t="b">
        <f t="shared" si="1"/>
        <v>1</v>
      </c>
    </row>
    <row r="37" spans="2:15" ht="30.4" customHeight="1" thickBot="1" x14ac:dyDescent="0.3">
      <c r="C37" s="51" t="s">
        <v>317</v>
      </c>
      <c r="D37" s="80" t="s">
        <v>1646</v>
      </c>
      <c r="E37" s="8">
        <v>4</v>
      </c>
      <c r="F37" s="8">
        <v>1.5</v>
      </c>
      <c r="G37" s="8"/>
      <c r="H37" s="8">
        <v>0.5</v>
      </c>
      <c r="I37" s="8">
        <v>0.5</v>
      </c>
      <c r="J37" s="8">
        <v>0.5</v>
      </c>
      <c r="K37" s="8">
        <v>0.5</v>
      </c>
      <c r="L37" s="8"/>
      <c r="M37" s="8">
        <v>0.5</v>
      </c>
      <c r="N37" s="8"/>
      <c r="O37" s="53" t="b">
        <f t="shared" si="1"/>
        <v>1</v>
      </c>
    </row>
    <row r="38" spans="2:15" ht="30.4" customHeight="1" thickBot="1" x14ac:dyDescent="0.3">
      <c r="C38" s="51" t="s">
        <v>318</v>
      </c>
      <c r="D38" s="80" t="s">
        <v>1647</v>
      </c>
      <c r="E38" s="8">
        <v>4</v>
      </c>
      <c r="F38" s="8">
        <v>0.5</v>
      </c>
      <c r="G38" s="8"/>
      <c r="H38" s="8">
        <v>0.5</v>
      </c>
      <c r="I38" s="8">
        <v>0.5</v>
      </c>
      <c r="J38" s="8">
        <v>0.5</v>
      </c>
      <c r="K38" s="8">
        <v>0.5</v>
      </c>
      <c r="L38" s="8">
        <v>1</v>
      </c>
      <c r="M38" s="8">
        <v>0.5</v>
      </c>
      <c r="N38" s="8"/>
      <c r="O38" s="53" t="b">
        <f t="shared" si="1"/>
        <v>1</v>
      </c>
    </row>
    <row r="39" spans="2:15" ht="30.4" customHeight="1" x14ac:dyDescent="0.25">
      <c r="C39" s="51" t="s">
        <v>319</v>
      </c>
      <c r="D39" s="80" t="s">
        <v>1648</v>
      </c>
      <c r="E39" s="8">
        <v>4</v>
      </c>
      <c r="F39" s="8">
        <v>0.5</v>
      </c>
      <c r="G39" s="8"/>
      <c r="H39" s="8">
        <v>0.5</v>
      </c>
      <c r="I39" s="8">
        <v>0.5</v>
      </c>
      <c r="J39" s="8">
        <v>0.5</v>
      </c>
      <c r="K39" s="8">
        <v>0.5</v>
      </c>
      <c r="L39" s="8">
        <v>1</v>
      </c>
      <c r="M39" s="8">
        <v>0.5</v>
      </c>
      <c r="N39" s="8"/>
      <c r="O39" s="53" t="b">
        <f t="shared" si="1"/>
        <v>1</v>
      </c>
    </row>
    <row r="40" spans="2:15" s="20" customFormat="1" ht="78" customHeight="1" x14ac:dyDescent="0.25">
      <c r="C40" s="170" t="s">
        <v>320</v>
      </c>
      <c r="D40" s="170"/>
      <c r="E40" s="52">
        <f>SUM(E26:E39)</f>
        <v>56</v>
      </c>
      <c r="F40" s="52">
        <f t="shared" ref="F40:N40" si="2">SUM(F26:F39)</f>
        <v>12</v>
      </c>
      <c r="G40" s="52">
        <f t="shared" si="2"/>
        <v>4</v>
      </c>
      <c r="H40" s="52">
        <f t="shared" si="2"/>
        <v>7.5</v>
      </c>
      <c r="I40" s="52">
        <f t="shared" si="2"/>
        <v>6.5</v>
      </c>
      <c r="J40" s="52">
        <f t="shared" si="2"/>
        <v>6.5</v>
      </c>
      <c r="K40" s="52">
        <f t="shared" si="2"/>
        <v>9.5</v>
      </c>
      <c r="L40" s="52">
        <f t="shared" si="2"/>
        <v>7.5</v>
      </c>
      <c r="M40" s="52">
        <f t="shared" si="2"/>
        <v>2.5</v>
      </c>
      <c r="N40" s="52">
        <f t="shared" si="2"/>
        <v>0</v>
      </c>
      <c r="O40" s="53" t="b">
        <f t="shared" si="1"/>
        <v>1</v>
      </c>
    </row>
    <row r="41" spans="2:15" s="20" customFormat="1" ht="71.650000000000006" customHeight="1" x14ac:dyDescent="0.25">
      <c r="C41" s="150" t="s">
        <v>321</v>
      </c>
      <c r="D41" s="150"/>
      <c r="E41" s="150"/>
      <c r="F41" s="54">
        <f>ROUND(F40/E40,2)</f>
        <v>0.21</v>
      </c>
      <c r="G41" s="54">
        <f>ROUND(G40/E40,2)</f>
        <v>7.0000000000000007E-2</v>
      </c>
      <c r="H41" s="54">
        <f>ROUND(H40/E40,2)</f>
        <v>0.13</v>
      </c>
      <c r="I41" s="54">
        <f>ROUND(I40/E40,2)</f>
        <v>0.12</v>
      </c>
      <c r="J41" s="54">
        <f>ROUND(J40/E40,2)</f>
        <v>0.12</v>
      </c>
      <c r="K41" s="54">
        <f>ROUND(K40/E40,2)</f>
        <v>0.17</v>
      </c>
      <c r="L41" s="54">
        <f>ROUND(L40/E40,2)</f>
        <v>0.13</v>
      </c>
      <c r="M41" s="54">
        <f>ROUND(M40/E40,2)</f>
        <v>0.04</v>
      </c>
      <c r="N41" s="54">
        <f>ROUND(N40/E40,2)</f>
        <v>0</v>
      </c>
      <c r="O41" s="54">
        <f>SUM(F41:N41)</f>
        <v>0.9900000000000001</v>
      </c>
    </row>
    <row r="42" spans="2:15" ht="55.9" customHeight="1" x14ac:dyDescent="0.25">
      <c r="C42" s="151" t="s">
        <v>322</v>
      </c>
      <c r="D42" s="151"/>
      <c r="E42" s="151"/>
      <c r="F42" s="7">
        <v>20</v>
      </c>
      <c r="G42" s="7">
        <v>10</v>
      </c>
      <c r="H42" s="7">
        <v>10</v>
      </c>
      <c r="I42" s="7">
        <v>10</v>
      </c>
      <c r="J42" s="7">
        <v>10</v>
      </c>
      <c r="K42" s="7">
        <v>20</v>
      </c>
      <c r="L42" s="7">
        <v>10</v>
      </c>
      <c r="M42" s="7">
        <v>10</v>
      </c>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S4.1</v>
      </c>
      <c r="H46" s="59" t="str">
        <f>C14</f>
        <v>S4.2</v>
      </c>
      <c r="I46" s="59" t="str">
        <f>C15</f>
        <v>S4.3</v>
      </c>
      <c r="J46" s="59" t="str">
        <f>C16</f>
        <v>S4.4</v>
      </c>
      <c r="K46" s="59" t="str">
        <f>C17</f>
        <v>S4.5</v>
      </c>
      <c r="L46" s="59" t="str">
        <f>C18</f>
        <v>V1.1</v>
      </c>
      <c r="M46" s="59">
        <f>C19</f>
        <v>0</v>
      </c>
      <c r="N46" s="60" t="s">
        <v>327</v>
      </c>
    </row>
    <row r="47" spans="2:15" ht="55.15" customHeight="1" x14ac:dyDescent="0.25">
      <c r="C47" s="9" t="s">
        <v>360</v>
      </c>
      <c r="D47" s="10">
        <v>5</v>
      </c>
      <c r="E47" s="8">
        <v>5</v>
      </c>
      <c r="F47" s="8"/>
      <c r="G47" s="8"/>
      <c r="H47" s="8"/>
      <c r="I47" s="8"/>
      <c r="J47" s="8"/>
      <c r="K47" s="8"/>
      <c r="L47" s="8"/>
      <c r="M47" s="8"/>
      <c r="N47" s="55" t="b">
        <f t="shared" ref="N47:N54" si="3">IF(SUM(E47:M47)=D47,TRUE,"false")</f>
        <v>1</v>
      </c>
    </row>
    <row r="48" spans="2:15" ht="55.15" customHeight="1" x14ac:dyDescent="0.25">
      <c r="C48" s="9" t="s">
        <v>361</v>
      </c>
      <c r="D48" s="10">
        <v>20</v>
      </c>
      <c r="E48" s="11">
        <v>5</v>
      </c>
      <c r="F48" s="12">
        <v>5</v>
      </c>
      <c r="G48" s="12"/>
      <c r="H48" s="12"/>
      <c r="I48" s="12"/>
      <c r="J48" s="12">
        <v>5</v>
      </c>
      <c r="K48" s="12">
        <v>5</v>
      </c>
      <c r="L48" s="12"/>
      <c r="M48" s="12"/>
      <c r="N48" s="55" t="b">
        <f t="shared" si="3"/>
        <v>1</v>
      </c>
    </row>
    <row r="49" spans="3:14" ht="55.15" customHeight="1" x14ac:dyDescent="0.25">
      <c r="C49" s="9" t="s">
        <v>362</v>
      </c>
      <c r="D49" s="10">
        <v>5</v>
      </c>
      <c r="E49" s="11"/>
      <c r="F49" s="12"/>
      <c r="G49" s="12"/>
      <c r="H49" s="12"/>
      <c r="I49" s="12"/>
      <c r="J49" s="12"/>
      <c r="K49" s="12"/>
      <c r="L49" s="12">
        <v>5</v>
      </c>
      <c r="M49" s="12"/>
      <c r="N49" s="55" t="b">
        <f t="shared" si="3"/>
        <v>1</v>
      </c>
    </row>
    <row r="50" spans="3:14" ht="55.15" customHeight="1" x14ac:dyDescent="0.25">
      <c r="C50" s="9" t="s">
        <v>480</v>
      </c>
      <c r="D50" s="10">
        <v>10</v>
      </c>
      <c r="E50" s="11"/>
      <c r="F50" s="12"/>
      <c r="G50" s="12">
        <v>5</v>
      </c>
      <c r="H50" s="12"/>
      <c r="I50" s="12"/>
      <c r="J50" s="12"/>
      <c r="K50" s="12"/>
      <c r="L50" s="12">
        <v>5</v>
      </c>
      <c r="M50" s="12"/>
      <c r="N50" s="55" t="b">
        <f t="shared" si="3"/>
        <v>1</v>
      </c>
    </row>
    <row r="51" spans="3:14" ht="55.15" customHeight="1" x14ac:dyDescent="0.25">
      <c r="C51" s="9" t="s">
        <v>364</v>
      </c>
      <c r="D51" s="10">
        <v>20</v>
      </c>
      <c r="E51" s="11"/>
      <c r="F51" s="12"/>
      <c r="G51" s="12"/>
      <c r="H51" s="12">
        <v>10</v>
      </c>
      <c r="I51" s="12">
        <v>10</v>
      </c>
      <c r="J51" s="12"/>
      <c r="K51" s="12"/>
      <c r="L51" s="12"/>
      <c r="M51" s="12"/>
      <c r="N51" s="55" t="b">
        <f t="shared" si="3"/>
        <v>1</v>
      </c>
    </row>
    <row r="52" spans="3:14" ht="55.15" customHeight="1" x14ac:dyDescent="0.25">
      <c r="C52" s="9" t="s">
        <v>334</v>
      </c>
      <c r="D52" s="10">
        <v>40</v>
      </c>
      <c r="E52" s="11">
        <v>10</v>
      </c>
      <c r="F52" s="12">
        <v>5</v>
      </c>
      <c r="G52" s="12">
        <v>5</v>
      </c>
      <c r="H52" s="12"/>
      <c r="I52" s="12"/>
      <c r="J52" s="12">
        <v>15</v>
      </c>
      <c r="K52" s="12">
        <v>5</v>
      </c>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20</v>
      </c>
      <c r="F56" s="65">
        <f t="shared" si="5"/>
        <v>10</v>
      </c>
      <c r="G56" s="65">
        <f t="shared" si="5"/>
        <v>10</v>
      </c>
      <c r="H56" s="65">
        <f t="shared" si="5"/>
        <v>10</v>
      </c>
      <c r="I56" s="65">
        <f t="shared" si="5"/>
        <v>10</v>
      </c>
      <c r="J56" s="65">
        <f t="shared" si="5"/>
        <v>20</v>
      </c>
      <c r="K56" s="65">
        <f t="shared" si="5"/>
        <v>10</v>
      </c>
      <c r="L56" s="65">
        <f t="shared" si="5"/>
        <v>10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325" priority="9">
      <formula>LEN(TRIM(D47))=0</formula>
    </cfRule>
    <cfRule type="cellIs" dxfId="1324" priority="10" operator="equal">
      <formula>0</formula>
    </cfRule>
  </conditionalFormatting>
  <conditionalFormatting sqref="E50">
    <cfRule type="containsBlanks" dxfId="1323" priority="5">
      <formula>LEN(TRIM(E50))=0</formula>
    </cfRule>
    <cfRule type="cellIs" dxfId="1322" priority="6" operator="equal">
      <formula>0</formula>
    </cfRule>
  </conditionalFormatting>
  <conditionalFormatting sqref="E47:L51 E52">
    <cfRule type="containsBlanks" dxfId="1321" priority="1">
      <formula>LEN(TRIM(E47))=0</formula>
    </cfRule>
    <cfRule type="cellIs" dxfId="1320" priority="2" operator="equal">
      <formula>0</formula>
    </cfRule>
  </conditionalFormatting>
  <conditionalFormatting sqref="E53:M54">
    <cfRule type="containsBlanks" dxfId="1319" priority="51">
      <formula>LEN(TRIM(E53))=0</formula>
    </cfRule>
    <cfRule type="cellIs" dxfId="1318" priority="52" operator="equal">
      <formula>0</formula>
    </cfRule>
  </conditionalFormatting>
  <conditionalFormatting sqref="E55:M55">
    <cfRule type="containsText" dxfId="1317" priority="41" operator="containsText" text="false">
      <formula>NOT(ISERROR(SEARCH("false",E55)))</formula>
    </cfRule>
    <cfRule type="containsText" dxfId="1316" priority="42" operator="containsText" text="true">
      <formula>NOT(ISERROR(SEARCH("true",E55)))</formula>
    </cfRule>
  </conditionalFormatting>
  <conditionalFormatting sqref="E26:N39">
    <cfRule type="containsBlanks" dxfId="1315" priority="11">
      <formula>LEN(TRIM(E26))=0</formula>
    </cfRule>
    <cfRule type="cellIs" dxfId="1314" priority="12" operator="equal">
      <formula>0</formula>
    </cfRule>
  </conditionalFormatting>
  <conditionalFormatting sqref="F48:L48">
    <cfRule type="containsBlanks" dxfId="1313" priority="7">
      <formula>LEN(TRIM(F48))=0</formula>
    </cfRule>
    <cfRule type="cellIs" dxfId="1312" priority="8" operator="equal">
      <formula>0</formula>
    </cfRule>
  </conditionalFormatting>
  <conditionalFormatting sqref="F50:L52">
    <cfRule type="containsBlanks" dxfId="1311" priority="3">
      <formula>LEN(TRIM(F50))=0</formula>
    </cfRule>
    <cfRule type="cellIs" dxfId="1310" priority="4" operator="equal">
      <formula>0</formula>
    </cfRule>
  </conditionalFormatting>
  <conditionalFormatting sqref="M47:M52">
    <cfRule type="containsBlanks" dxfId="1309" priority="27">
      <formula>LEN(TRIM(M47))=0</formula>
    </cfRule>
    <cfRule type="cellIs" dxfId="1308" priority="28" operator="equal">
      <formula>0</formula>
    </cfRule>
  </conditionalFormatting>
  <conditionalFormatting sqref="N47:N54">
    <cfRule type="containsText" dxfId="1307" priority="43" operator="containsText" text="false">
      <formula>NOT(ISERROR(SEARCH("false",N47)))</formula>
    </cfRule>
    <cfRule type="containsText" dxfId="1306" priority="44" operator="containsText" text="true">
      <formula>NOT(ISERROR(SEARCH("true",N47)))</formula>
    </cfRule>
  </conditionalFormatting>
  <conditionalFormatting sqref="N55">
    <cfRule type="containsBlanks" dxfId="1305" priority="49">
      <formula>LEN(TRIM(N55))=0</formula>
    </cfRule>
    <cfRule type="cellIs" dxfId="1304" priority="50" operator="equal">
      <formula>0</formula>
    </cfRule>
  </conditionalFormatting>
  <conditionalFormatting sqref="O26:O40">
    <cfRule type="containsText" dxfId="1303" priority="45" operator="containsText" text="false">
      <formula>NOT(ISERROR(SEARCH("false",O26)))</formula>
    </cfRule>
    <cfRule type="containsText" dxfId="1302" priority="46" operator="containsText" text="true">
      <formula>NOT(ISERROR(SEARCH("true",O26)))</formula>
    </cfRule>
  </conditionalFormatting>
  <conditionalFormatting sqref="O42">
    <cfRule type="cellIs" dxfId="1301" priority="37" operator="notEqual">
      <formula>100</formula>
    </cfRule>
    <cfRule type="cellIs" dxfId="1300" priority="38"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5576D68F-F929-42DD-9ACF-C022273BBD3C}">
          <x14:formula1>
            <xm:f>'Name and Course code'!$B$2:$B$76</xm:f>
          </x14:formula1>
          <xm:sqref>I6</xm:sqref>
        </x14:dataValidation>
        <x14:dataValidation type="list" allowBlank="1" showInputMessage="1" showErrorMessage="1" xr:uid="{D277A27F-191F-4A00-AFE7-CBA792B6A69D}">
          <x14:formula1>
            <xm:f>'Name and Course code'!$A$2:$A$76</xm:f>
          </x14:formula1>
          <xm:sqref>K6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249977111117893"/>
  </sheetPr>
  <dimension ref="B2:AB57"/>
  <sheetViews>
    <sheetView topLeftCell="A7" zoomScale="50" zoomScaleNormal="50" workbookViewId="0">
      <selection activeCell="G7" sqref="G7"/>
    </sheetView>
  </sheetViews>
  <sheetFormatPr defaultColWidth="9.140625" defaultRowHeight="15" x14ac:dyDescent="0.25"/>
  <cols>
    <col min="1" max="1" width="9.140625" style="19"/>
    <col min="2" max="2" width="15.570312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154</v>
      </c>
      <c r="J6" s="43" t="s">
        <v>278</v>
      </c>
      <c r="K6" s="1" t="s">
        <v>68</v>
      </c>
    </row>
    <row r="7" spans="2:26" ht="72.599999999999994" customHeight="1" thickBot="1" x14ac:dyDescent="0.3">
      <c r="B7" s="160"/>
      <c r="C7" s="161"/>
      <c r="D7" s="43" t="s">
        <v>279</v>
      </c>
      <c r="E7" s="1">
        <v>2</v>
      </c>
      <c r="F7" s="43" t="s">
        <v>280</v>
      </c>
      <c r="G7" s="1">
        <v>3</v>
      </c>
      <c r="H7" s="43" t="s">
        <v>281</v>
      </c>
      <c r="I7" s="1">
        <v>3</v>
      </c>
      <c r="J7" s="43" t="s">
        <v>283</v>
      </c>
      <c r="K7" s="1" t="s">
        <v>482</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38" customHeight="1" x14ac:dyDescent="0.25">
      <c r="B11" s="36"/>
      <c r="C11" s="2" t="s">
        <v>297</v>
      </c>
      <c r="D11" s="80" t="s">
        <v>483</v>
      </c>
      <c r="E11" s="2" t="s">
        <v>7</v>
      </c>
      <c r="F11" s="3"/>
      <c r="G11" s="17"/>
      <c r="H11" s="17">
        <v>0.6</v>
      </c>
      <c r="I11" s="17">
        <v>1</v>
      </c>
      <c r="J11" s="80" t="s">
        <v>484</v>
      </c>
      <c r="K11" s="80" t="s">
        <v>485</v>
      </c>
      <c r="U11" s="3">
        <f>F11</f>
        <v>0</v>
      </c>
      <c r="V11" s="2" t="str">
        <f>C11</f>
        <v>K1.1</v>
      </c>
      <c r="W11" s="2"/>
      <c r="X11" s="17"/>
      <c r="Y11" s="37"/>
      <c r="Z11" s="37"/>
    </row>
    <row r="12" spans="2:26" ht="108" customHeight="1" x14ac:dyDescent="0.25">
      <c r="B12" s="36"/>
      <c r="C12" s="5" t="s">
        <v>415</v>
      </c>
      <c r="D12" s="78" t="s">
        <v>486</v>
      </c>
      <c r="E12" s="5" t="s">
        <v>10</v>
      </c>
      <c r="F12" s="6"/>
      <c r="G12" s="4"/>
      <c r="H12" s="17">
        <v>0.6</v>
      </c>
      <c r="I12" s="17">
        <v>1</v>
      </c>
      <c r="J12" s="80" t="s">
        <v>487</v>
      </c>
      <c r="K12" s="80" t="s">
        <v>485</v>
      </c>
      <c r="U12" s="6">
        <f t="shared" ref="U12:U19" si="0">F12</f>
        <v>0</v>
      </c>
      <c r="V12" s="2" t="str">
        <f>C12</f>
        <v>K2.1</v>
      </c>
      <c r="W12" s="5"/>
      <c r="X12" s="4"/>
      <c r="Y12" s="38"/>
      <c r="Z12" s="38"/>
    </row>
    <row r="13" spans="2:26" ht="135" customHeight="1" x14ac:dyDescent="0.25">
      <c r="B13" s="36"/>
      <c r="C13" s="5" t="s">
        <v>395</v>
      </c>
      <c r="D13" s="78" t="s">
        <v>488</v>
      </c>
      <c r="E13" s="5" t="s">
        <v>24</v>
      </c>
      <c r="F13" s="6"/>
      <c r="G13" s="4"/>
      <c r="H13" s="17">
        <v>0.6</v>
      </c>
      <c r="I13" s="17">
        <v>1</v>
      </c>
      <c r="J13" s="80" t="s">
        <v>489</v>
      </c>
      <c r="K13" s="80" t="s">
        <v>490</v>
      </c>
      <c r="U13" s="6">
        <f t="shared" si="0"/>
        <v>0</v>
      </c>
      <c r="V13" s="2" t="str">
        <f>C13</f>
        <v>S3.1</v>
      </c>
      <c r="W13" s="5"/>
      <c r="X13" s="4"/>
      <c r="Y13" s="38"/>
      <c r="Z13" s="38"/>
    </row>
    <row r="14" spans="2:26" ht="114.75" customHeight="1" x14ac:dyDescent="0.25">
      <c r="B14" s="36"/>
      <c r="C14" s="5" t="s">
        <v>445</v>
      </c>
      <c r="D14" s="79" t="s">
        <v>491</v>
      </c>
      <c r="E14" s="5" t="s">
        <v>31</v>
      </c>
      <c r="F14" s="6"/>
      <c r="G14" s="4"/>
      <c r="H14" s="17">
        <v>0.6</v>
      </c>
      <c r="I14" s="17">
        <v>1</v>
      </c>
      <c r="J14" s="80" t="s">
        <v>492</v>
      </c>
      <c r="K14" s="80" t="s">
        <v>493</v>
      </c>
      <c r="U14" s="6">
        <f t="shared" si="0"/>
        <v>0</v>
      </c>
      <c r="V14" s="2" t="str">
        <f>C14</f>
        <v>S7.1</v>
      </c>
      <c r="W14" s="5"/>
      <c r="X14" s="4"/>
      <c r="Y14" s="38"/>
      <c r="Z14" s="38"/>
    </row>
    <row r="15" spans="2:26" ht="92.25" customHeight="1" x14ac:dyDescent="0.25">
      <c r="B15" s="36"/>
      <c r="C15" s="5"/>
      <c r="D15" s="24"/>
      <c r="E15" s="5"/>
      <c r="F15" s="6"/>
      <c r="G15" s="4"/>
      <c r="H15" s="4"/>
      <c r="I15" s="4"/>
      <c r="J15" s="5"/>
      <c r="K15" s="5"/>
      <c r="U15" s="6">
        <f t="shared" si="0"/>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K2.1</v>
      </c>
      <c r="H25" s="49" t="str">
        <f>C13</f>
        <v>S3.1</v>
      </c>
      <c r="I25" s="49" t="str">
        <f>C14</f>
        <v>S7.1</v>
      </c>
      <c r="J25" s="49">
        <f>C15</f>
        <v>0</v>
      </c>
      <c r="K25" s="49">
        <f>C16</f>
        <v>0</v>
      </c>
      <c r="L25" s="49">
        <f>C17</f>
        <v>0</v>
      </c>
      <c r="M25" s="49">
        <f>C18</f>
        <v>0</v>
      </c>
      <c r="N25" s="49">
        <f>C19</f>
        <v>0</v>
      </c>
      <c r="O25" s="50" t="s">
        <v>305</v>
      </c>
    </row>
    <row r="26" spans="2:26" ht="30.4" customHeight="1" thickBot="1" x14ac:dyDescent="0.3">
      <c r="C26" s="51" t="s">
        <v>306</v>
      </c>
      <c r="D26" s="85" t="s">
        <v>494</v>
      </c>
      <c r="E26" s="8">
        <v>2</v>
      </c>
      <c r="F26" s="8">
        <v>1</v>
      </c>
      <c r="G26" s="8">
        <v>1</v>
      </c>
      <c r="H26" s="8"/>
      <c r="I26" s="8"/>
      <c r="J26" s="8"/>
      <c r="K26" s="8"/>
      <c r="L26" s="8"/>
      <c r="M26" s="8"/>
      <c r="N26" s="8"/>
      <c r="O26" s="53" t="b">
        <f>IF(SUM(F26:N26)=E26,TRUE,"false")</f>
        <v>1</v>
      </c>
    </row>
    <row r="27" spans="2:26" ht="33" customHeight="1" thickBot="1" x14ac:dyDescent="0.3">
      <c r="C27" s="51" t="s">
        <v>307</v>
      </c>
      <c r="D27" s="85" t="s">
        <v>495</v>
      </c>
      <c r="E27" s="8">
        <v>8</v>
      </c>
      <c r="F27" s="8">
        <v>2</v>
      </c>
      <c r="G27" s="8">
        <v>2</v>
      </c>
      <c r="H27" s="8">
        <v>2</v>
      </c>
      <c r="I27" s="8">
        <v>2</v>
      </c>
      <c r="J27" s="8"/>
      <c r="K27" s="8"/>
      <c r="L27" s="8"/>
      <c r="M27" s="8"/>
      <c r="N27" s="8"/>
      <c r="O27" s="53" t="b">
        <f t="shared" ref="O27:O40" si="1">IF(SUM(F27:N27)=E27,TRUE,"false")</f>
        <v>1</v>
      </c>
    </row>
    <row r="28" spans="2:26" ht="35.25" customHeight="1" thickBot="1" x14ac:dyDescent="0.3">
      <c r="C28" s="51" t="s">
        <v>308</v>
      </c>
      <c r="D28" s="86" t="s">
        <v>496</v>
      </c>
      <c r="E28" s="87">
        <v>8</v>
      </c>
      <c r="F28" s="8">
        <v>2</v>
      </c>
      <c r="G28" s="8">
        <v>2</v>
      </c>
      <c r="H28" s="8">
        <v>2</v>
      </c>
      <c r="I28" s="8">
        <v>2</v>
      </c>
      <c r="J28" s="8"/>
      <c r="K28" s="8"/>
      <c r="L28" s="8"/>
      <c r="M28" s="8"/>
      <c r="N28" s="8"/>
      <c r="O28" s="53" t="b">
        <f t="shared" si="1"/>
        <v>1</v>
      </c>
    </row>
    <row r="29" spans="2:26" ht="30.4" customHeight="1" thickBot="1" x14ac:dyDescent="0.3">
      <c r="C29" s="51" t="s">
        <v>309</v>
      </c>
      <c r="D29" s="86" t="s">
        <v>497</v>
      </c>
      <c r="E29" s="8">
        <v>6</v>
      </c>
      <c r="F29" s="8">
        <v>1</v>
      </c>
      <c r="G29" s="8">
        <v>1</v>
      </c>
      <c r="H29" s="8">
        <v>2</v>
      </c>
      <c r="I29" s="8">
        <v>2</v>
      </c>
      <c r="J29" s="8"/>
      <c r="K29" s="8"/>
      <c r="L29" s="8"/>
      <c r="M29" s="8"/>
      <c r="N29" s="8"/>
      <c r="O29" s="53" t="b">
        <f t="shared" si="1"/>
        <v>1</v>
      </c>
    </row>
    <row r="30" spans="2:26" ht="30.4" customHeight="1" thickBot="1" x14ac:dyDescent="0.3">
      <c r="C30" s="51" t="s">
        <v>310</v>
      </c>
      <c r="D30" s="86" t="s">
        <v>498</v>
      </c>
      <c r="E30" s="8">
        <v>10</v>
      </c>
      <c r="F30" s="8">
        <v>3</v>
      </c>
      <c r="G30" s="8">
        <v>3</v>
      </c>
      <c r="H30" s="8">
        <v>2</v>
      </c>
      <c r="I30" s="8">
        <v>2</v>
      </c>
      <c r="J30" s="8"/>
      <c r="K30" s="8"/>
      <c r="L30" s="8"/>
      <c r="M30" s="8"/>
      <c r="N30" s="8"/>
      <c r="O30" s="53" t="b">
        <f t="shared" si="1"/>
        <v>1</v>
      </c>
    </row>
    <row r="31" spans="2:26" ht="30.4" customHeight="1" thickBot="1" x14ac:dyDescent="0.3">
      <c r="C31" s="51" t="s">
        <v>311</v>
      </c>
      <c r="D31" s="86" t="s">
        <v>499</v>
      </c>
      <c r="E31" s="8">
        <v>2</v>
      </c>
      <c r="F31" s="8">
        <v>1</v>
      </c>
      <c r="G31" s="8">
        <v>1</v>
      </c>
      <c r="H31" s="8"/>
      <c r="I31" s="8"/>
      <c r="J31" s="8"/>
      <c r="K31" s="8"/>
      <c r="L31" s="8"/>
      <c r="M31" s="8"/>
      <c r="N31" s="8"/>
      <c r="O31" s="53" t="b">
        <f t="shared" si="1"/>
        <v>1</v>
      </c>
    </row>
    <row r="32" spans="2:26" ht="30.4" customHeight="1" thickBot="1" x14ac:dyDescent="0.3">
      <c r="C32" s="51" t="s">
        <v>312</v>
      </c>
      <c r="D32" s="86" t="s">
        <v>500</v>
      </c>
      <c r="E32" s="8">
        <v>8</v>
      </c>
      <c r="F32" s="8">
        <v>2</v>
      </c>
      <c r="G32" s="8">
        <v>2</v>
      </c>
      <c r="H32" s="8">
        <v>2</v>
      </c>
      <c r="I32" s="8">
        <v>2</v>
      </c>
      <c r="J32" s="8"/>
      <c r="K32" s="8"/>
      <c r="L32" s="8"/>
      <c r="M32" s="8"/>
      <c r="N32" s="8"/>
      <c r="O32" s="53" t="b">
        <f t="shared" si="1"/>
        <v>1</v>
      </c>
    </row>
    <row r="33" spans="2:15" ht="30.4" customHeight="1" thickBot="1" x14ac:dyDescent="0.3">
      <c r="C33" s="51" t="s">
        <v>313</v>
      </c>
      <c r="D33" s="86" t="s">
        <v>501</v>
      </c>
      <c r="E33" s="8">
        <v>8</v>
      </c>
      <c r="F33" s="8">
        <v>2</v>
      </c>
      <c r="G33" s="8">
        <v>2</v>
      </c>
      <c r="H33" s="8">
        <v>2</v>
      </c>
      <c r="I33" s="8">
        <v>2</v>
      </c>
      <c r="J33" s="8"/>
      <c r="K33" s="8"/>
      <c r="L33" s="8"/>
      <c r="M33" s="8"/>
      <c r="N33" s="8"/>
      <c r="O33" s="53" t="b">
        <f t="shared" si="1"/>
        <v>1</v>
      </c>
    </row>
    <row r="34" spans="2:15" ht="30.4" customHeight="1" thickBot="1" x14ac:dyDescent="0.3">
      <c r="C34" s="51" t="s">
        <v>314</v>
      </c>
      <c r="D34" s="86" t="s">
        <v>502</v>
      </c>
      <c r="E34" s="8">
        <v>4</v>
      </c>
      <c r="F34" s="8">
        <v>2</v>
      </c>
      <c r="G34" s="8">
        <v>2</v>
      </c>
      <c r="H34" s="8"/>
      <c r="I34" s="8"/>
      <c r="J34" s="8"/>
      <c r="K34" s="8"/>
      <c r="L34" s="8"/>
      <c r="M34" s="8"/>
      <c r="N34" s="8"/>
      <c r="O34" s="53" t="b">
        <f t="shared" si="1"/>
        <v>1</v>
      </c>
    </row>
    <row r="35" spans="2:15" ht="30.4" customHeight="1" thickBot="1" x14ac:dyDescent="0.3">
      <c r="C35" s="51" t="s">
        <v>315</v>
      </c>
      <c r="D35" s="86" t="s">
        <v>503</v>
      </c>
      <c r="E35" s="8">
        <v>4</v>
      </c>
      <c r="F35" s="8">
        <v>2</v>
      </c>
      <c r="G35" s="8">
        <v>2</v>
      </c>
      <c r="H35" s="8"/>
      <c r="I35" s="8"/>
      <c r="J35" s="8"/>
      <c r="K35" s="8"/>
      <c r="L35" s="8"/>
      <c r="M35" s="8"/>
      <c r="N35" s="8"/>
      <c r="O35" s="53" t="b">
        <f t="shared" si="1"/>
        <v>1</v>
      </c>
    </row>
    <row r="36" spans="2:15" ht="30.4" customHeight="1" thickBot="1" x14ac:dyDescent="0.3">
      <c r="C36" s="51" t="s">
        <v>316</v>
      </c>
      <c r="D36" s="86"/>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60</v>
      </c>
      <c r="F40" s="52">
        <f t="shared" ref="F40:N40" si="2">SUM(F26:F39)</f>
        <v>18</v>
      </c>
      <c r="G40" s="52">
        <f t="shared" si="2"/>
        <v>18</v>
      </c>
      <c r="H40" s="52">
        <f t="shared" si="2"/>
        <v>12</v>
      </c>
      <c r="I40" s="52">
        <f>SUM(I26:I39)</f>
        <v>12</v>
      </c>
      <c r="J40" s="52">
        <f t="shared" si="2"/>
        <v>0</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v>
      </c>
      <c r="G41" s="54">
        <f>ROUND(G40/E40,2)</f>
        <v>0.3</v>
      </c>
      <c r="H41" s="54">
        <f>ROUND(H40/E40,2)</f>
        <v>0.2</v>
      </c>
      <c r="I41" s="54">
        <f>ROUND(I40/E40,2)</f>
        <v>0.2</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30</v>
      </c>
      <c r="G42" s="7">
        <v>30</v>
      </c>
      <c r="H42" s="7">
        <v>20</v>
      </c>
      <c r="I42" s="7">
        <v>20</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K2.1</v>
      </c>
      <c r="G46" s="59" t="str">
        <f>C13</f>
        <v>S3.1</v>
      </c>
      <c r="H46" s="59" t="str">
        <f>C14</f>
        <v>S7.1</v>
      </c>
      <c r="I46" s="59">
        <f>C15</f>
        <v>0</v>
      </c>
      <c r="J46" s="59">
        <f>C16</f>
        <v>0</v>
      </c>
      <c r="K46" s="59">
        <f>C17</f>
        <v>0</v>
      </c>
      <c r="L46" s="59">
        <f>C18</f>
        <v>0</v>
      </c>
      <c r="M46" s="59">
        <f>C19</f>
        <v>0</v>
      </c>
      <c r="N46" s="60" t="s">
        <v>327</v>
      </c>
    </row>
    <row r="47" spans="2:15" ht="55.15" customHeight="1" x14ac:dyDescent="0.25">
      <c r="C47" s="9" t="s">
        <v>328</v>
      </c>
      <c r="D47" s="10">
        <v>25</v>
      </c>
      <c r="E47" s="8">
        <v>10</v>
      </c>
      <c r="F47" s="8">
        <v>5</v>
      </c>
      <c r="G47" s="8">
        <v>10</v>
      </c>
      <c r="H47" s="8"/>
      <c r="I47" s="8"/>
      <c r="J47" s="8"/>
      <c r="K47" s="8"/>
      <c r="L47" s="8"/>
      <c r="M47" s="8"/>
      <c r="N47" s="55" t="b">
        <f t="shared" ref="N47:N54" si="3">IF(SUM(E47:M47)=D47,TRUE,"false")</f>
        <v>1</v>
      </c>
    </row>
    <row r="48" spans="2:15" ht="55.15" customHeight="1" x14ac:dyDescent="0.25">
      <c r="C48" s="9" t="s">
        <v>331</v>
      </c>
      <c r="D48" s="10">
        <v>5</v>
      </c>
      <c r="E48" s="11"/>
      <c r="F48" s="12">
        <v>5</v>
      </c>
      <c r="G48" s="12"/>
      <c r="H48" s="12"/>
      <c r="I48" s="12"/>
      <c r="J48" s="12"/>
      <c r="K48" s="12"/>
      <c r="L48" s="12"/>
      <c r="M48" s="12"/>
      <c r="N48" s="55" t="b">
        <f t="shared" si="3"/>
        <v>1</v>
      </c>
    </row>
    <row r="49" spans="3:14" ht="55.15" customHeight="1" x14ac:dyDescent="0.25">
      <c r="C49" s="9" t="s">
        <v>432</v>
      </c>
      <c r="D49" s="10">
        <v>20</v>
      </c>
      <c r="E49" s="11"/>
      <c r="F49" s="12"/>
      <c r="G49" s="12"/>
      <c r="H49" s="12">
        <v>20</v>
      </c>
      <c r="I49" s="12"/>
      <c r="J49" s="12"/>
      <c r="K49" s="12"/>
      <c r="L49" s="12"/>
      <c r="M49" s="12"/>
      <c r="N49" s="55" t="b">
        <f t="shared" si="3"/>
        <v>1</v>
      </c>
    </row>
    <row r="50" spans="3:14" ht="55.15" customHeight="1" x14ac:dyDescent="0.25">
      <c r="C50" s="9" t="s">
        <v>504</v>
      </c>
      <c r="D50" s="10">
        <v>50</v>
      </c>
      <c r="E50" s="11">
        <v>20</v>
      </c>
      <c r="F50" s="12">
        <v>20</v>
      </c>
      <c r="G50" s="12">
        <v>10</v>
      </c>
      <c r="H50" s="12"/>
      <c r="I50" s="12"/>
      <c r="J50" s="12"/>
      <c r="K50" s="12"/>
      <c r="L50" s="12"/>
      <c r="M50" s="12"/>
      <c r="N50" s="55" t="b">
        <f t="shared" si="3"/>
        <v>1</v>
      </c>
    </row>
    <row r="51" spans="3:14" ht="55.15" customHeight="1" x14ac:dyDescent="0.25">
      <c r="C51" s="9"/>
      <c r="D51" s="10"/>
      <c r="E51" s="11"/>
      <c r="F51" s="12"/>
      <c r="G51" s="12"/>
      <c r="H51" s="12"/>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30</v>
      </c>
      <c r="F56" s="65">
        <f t="shared" si="5"/>
        <v>30</v>
      </c>
      <c r="G56" s="65">
        <f t="shared" si="5"/>
        <v>20</v>
      </c>
      <c r="H56" s="65">
        <f t="shared" si="5"/>
        <v>20</v>
      </c>
      <c r="I56" s="65">
        <f t="shared" si="5"/>
        <v>0</v>
      </c>
      <c r="J56" s="65">
        <f t="shared" si="5"/>
        <v>0</v>
      </c>
      <c r="K56" s="65">
        <f t="shared" si="5"/>
        <v>0</v>
      </c>
      <c r="L56" s="65">
        <f t="shared" si="5"/>
        <v>0</v>
      </c>
      <c r="M56" s="65">
        <f t="shared" si="5"/>
        <v>0</v>
      </c>
      <c r="N56" s="66">
        <f>SUM(E56:M56)</f>
        <v>100</v>
      </c>
    </row>
    <row r="57" spans="3:14" ht="49.9" customHeight="1" x14ac:dyDescent="0.25"/>
  </sheetData>
  <sheetProtection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E50">
    <cfRule type="containsBlanks" dxfId="1299" priority="19">
      <formula>LEN(TRIM(E50))=0</formula>
    </cfRule>
    <cfRule type="cellIs" dxfId="1298" priority="20" operator="equal">
      <formula>0</formula>
    </cfRule>
  </conditionalFormatting>
  <conditionalFormatting sqref="E47:M51 E52">
    <cfRule type="containsBlanks" dxfId="1297" priority="15">
      <formula>LEN(TRIM(E47))=0</formula>
    </cfRule>
    <cfRule type="cellIs" dxfId="1296" priority="16" operator="equal">
      <formula>0</formula>
    </cfRule>
  </conditionalFormatting>
  <conditionalFormatting sqref="E53:M54">
    <cfRule type="containsBlanks" dxfId="1295" priority="13">
      <formula>LEN(TRIM(E53))=0</formula>
    </cfRule>
    <cfRule type="cellIs" dxfId="1294" priority="14" operator="equal">
      <formula>0</formula>
    </cfRule>
  </conditionalFormatting>
  <conditionalFormatting sqref="E55:M55">
    <cfRule type="containsText" dxfId="1293" priority="3" operator="containsText" text="false">
      <formula>NOT(ISERROR(SEARCH("false",E55)))</formula>
    </cfRule>
    <cfRule type="containsText" dxfId="1292" priority="4" operator="containsText" text="true">
      <formula>NOT(ISERROR(SEARCH("true",E55)))</formula>
    </cfRule>
  </conditionalFormatting>
  <conditionalFormatting sqref="E26:N37 E38:H38 J38:N38 E39:N39 D47:D54">
    <cfRule type="containsBlanks" dxfId="1291" priority="9">
      <formula>LEN(TRIM(D26))=0</formula>
    </cfRule>
    <cfRule type="cellIs" dxfId="1290" priority="10" operator="equal">
      <formula>0</formula>
    </cfRule>
  </conditionalFormatting>
  <conditionalFormatting sqref="F48:M48">
    <cfRule type="containsBlanks" dxfId="1289" priority="21">
      <formula>LEN(TRIM(F48))=0</formula>
    </cfRule>
    <cfRule type="cellIs" dxfId="1288" priority="22" operator="equal">
      <formula>0</formula>
    </cfRule>
  </conditionalFormatting>
  <conditionalFormatting sqref="F50:M52">
    <cfRule type="containsBlanks" dxfId="1287" priority="17">
      <formula>LEN(TRIM(F50))=0</formula>
    </cfRule>
    <cfRule type="cellIs" dxfId="1286" priority="18" operator="equal">
      <formula>0</formula>
    </cfRule>
  </conditionalFormatting>
  <conditionalFormatting sqref="N47:N54">
    <cfRule type="containsText" dxfId="1285" priority="5" operator="containsText" text="false">
      <formula>NOT(ISERROR(SEARCH("false",N47)))</formula>
    </cfRule>
    <cfRule type="containsText" dxfId="1284" priority="6" operator="containsText" text="true">
      <formula>NOT(ISERROR(SEARCH("true",N47)))</formula>
    </cfRule>
  </conditionalFormatting>
  <conditionalFormatting sqref="N55">
    <cfRule type="containsBlanks" dxfId="1283" priority="11">
      <formula>LEN(TRIM(N55))=0</formula>
    </cfRule>
    <cfRule type="cellIs" dxfId="1282" priority="12" operator="equal">
      <formula>0</formula>
    </cfRule>
  </conditionalFormatting>
  <conditionalFormatting sqref="O26:O40">
    <cfRule type="containsText" dxfId="1281" priority="7" operator="containsText" text="false">
      <formula>NOT(ISERROR(SEARCH("false",O26)))</formula>
    </cfRule>
    <cfRule type="containsText" dxfId="1280" priority="8" operator="containsText" text="true">
      <formula>NOT(ISERROR(SEARCH("true",O26)))</formula>
    </cfRule>
  </conditionalFormatting>
  <conditionalFormatting sqref="O42">
    <cfRule type="cellIs" dxfId="1279" priority="1" operator="notEqual">
      <formula>100</formula>
    </cfRule>
    <cfRule type="cellIs" dxfId="1278" priority="2" operator="equal">
      <formula>100</formula>
    </cfRule>
  </conditionalFormatting>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B2:AB57"/>
  <sheetViews>
    <sheetView zoomScale="50" zoomScaleNormal="50" workbookViewId="0">
      <selection activeCell="D16" sqref="D1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156</v>
      </c>
      <c r="J6" s="43" t="s">
        <v>278</v>
      </c>
      <c r="K6" s="1" t="s">
        <v>155</v>
      </c>
    </row>
    <row r="7" spans="2:26" ht="72.599999999999994" customHeight="1" thickBot="1" x14ac:dyDescent="0.3">
      <c r="B7" s="160"/>
      <c r="C7" s="161"/>
      <c r="D7" s="43" t="s">
        <v>279</v>
      </c>
      <c r="E7" s="1">
        <v>2</v>
      </c>
      <c r="F7" s="43" t="s">
        <v>280</v>
      </c>
      <c r="G7" s="1">
        <v>3</v>
      </c>
      <c r="H7" s="43" t="s">
        <v>281</v>
      </c>
      <c r="I7" s="1">
        <v>2</v>
      </c>
      <c r="J7" s="43" t="s">
        <v>283</v>
      </c>
      <c r="K7" s="1" t="s">
        <v>1695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03.5" customHeight="1" x14ac:dyDescent="0.25">
      <c r="B11" s="36"/>
      <c r="C11" s="5" t="s">
        <v>415</v>
      </c>
      <c r="D11" s="81" t="s">
        <v>1760</v>
      </c>
      <c r="E11" s="2" t="s">
        <v>10</v>
      </c>
      <c r="F11" s="3"/>
      <c r="G11" s="17"/>
      <c r="H11" s="17">
        <v>0.6</v>
      </c>
      <c r="I11" s="17">
        <v>1</v>
      </c>
      <c r="J11" s="80" t="s">
        <v>505</v>
      </c>
      <c r="K11" s="80" t="s">
        <v>506</v>
      </c>
      <c r="U11" s="3">
        <f>F11</f>
        <v>0</v>
      </c>
      <c r="V11" s="2" t="str">
        <f>C11</f>
        <v>K2.1</v>
      </c>
      <c r="W11" s="2"/>
      <c r="X11" s="17"/>
      <c r="Y11" s="37"/>
      <c r="Z11" s="37"/>
    </row>
    <row r="12" spans="2:26" ht="142.5" customHeight="1" x14ac:dyDescent="0.25">
      <c r="B12" s="36"/>
      <c r="C12" s="5" t="s">
        <v>507</v>
      </c>
      <c r="D12" s="81" t="s">
        <v>1761</v>
      </c>
      <c r="E12" s="5" t="s">
        <v>10</v>
      </c>
      <c r="F12" s="6"/>
      <c r="G12" s="4"/>
      <c r="H12" s="17">
        <v>0.6</v>
      </c>
      <c r="I12" s="17">
        <v>1</v>
      </c>
      <c r="J12" s="80" t="s">
        <v>505</v>
      </c>
      <c r="K12" s="80" t="s">
        <v>506</v>
      </c>
      <c r="U12" s="6">
        <f t="shared" ref="U12:U19" si="0">F12</f>
        <v>0</v>
      </c>
      <c r="V12" s="2" t="str">
        <f>C12</f>
        <v>K2.2</v>
      </c>
      <c r="W12" s="5"/>
      <c r="X12" s="4"/>
      <c r="Y12" s="38"/>
      <c r="Z12" s="38"/>
    </row>
    <row r="13" spans="2:26" ht="124.5" customHeight="1" x14ac:dyDescent="0.25">
      <c r="B13" s="36"/>
      <c r="C13" s="5" t="s">
        <v>395</v>
      </c>
      <c r="D13" s="81" t="s">
        <v>1762</v>
      </c>
      <c r="E13" s="5" t="s">
        <v>24</v>
      </c>
      <c r="F13" s="6"/>
      <c r="G13" s="4"/>
      <c r="H13" s="17">
        <v>0.6</v>
      </c>
      <c r="I13" s="17">
        <v>1</v>
      </c>
      <c r="J13" s="80" t="s">
        <v>509</v>
      </c>
      <c r="K13" s="80" t="s">
        <v>1696</v>
      </c>
      <c r="U13" s="6">
        <f t="shared" si="0"/>
        <v>0</v>
      </c>
      <c r="V13" s="2" t="str">
        <f>C13</f>
        <v>S3.1</v>
      </c>
      <c r="W13" s="5"/>
      <c r="X13" s="4"/>
      <c r="Y13" s="38"/>
      <c r="Z13" s="38"/>
    </row>
    <row r="14" spans="2:26" ht="117" customHeight="1" x14ac:dyDescent="0.25">
      <c r="B14" s="36"/>
      <c r="C14" s="5" t="s">
        <v>437</v>
      </c>
      <c r="D14" s="81" t="s">
        <v>1763</v>
      </c>
      <c r="E14" s="5" t="s">
        <v>24</v>
      </c>
      <c r="F14" s="6"/>
      <c r="G14" s="4"/>
      <c r="H14" s="17">
        <v>0.6</v>
      </c>
      <c r="I14" s="17">
        <v>1</v>
      </c>
      <c r="J14" s="81" t="s">
        <v>509</v>
      </c>
      <c r="K14" s="81" t="s">
        <v>1694</v>
      </c>
      <c r="U14" s="6">
        <f t="shared" si="0"/>
        <v>0</v>
      </c>
      <c r="V14" s="2" t="str">
        <f>C14</f>
        <v>S3.2</v>
      </c>
      <c r="W14" s="5"/>
      <c r="X14" s="4"/>
      <c r="Y14" s="38"/>
      <c r="Z14" s="38"/>
    </row>
    <row r="15" spans="2:26" ht="75" customHeight="1" x14ac:dyDescent="0.25">
      <c r="B15" s="36"/>
      <c r="C15" s="5"/>
      <c r="D15" s="81"/>
      <c r="E15" s="5"/>
      <c r="F15" s="6"/>
      <c r="G15" s="4"/>
      <c r="H15" s="17"/>
      <c r="I15" s="17"/>
      <c r="J15" s="81"/>
      <c r="K15" s="81"/>
      <c r="U15" s="6">
        <f t="shared" si="0"/>
        <v>0</v>
      </c>
      <c r="V15" s="2">
        <f>C15</f>
        <v>0</v>
      </c>
      <c r="W15" s="5"/>
      <c r="X15" s="4"/>
      <c r="Y15" s="38"/>
      <c r="Z15" s="38"/>
    </row>
    <row r="16" spans="2:26" ht="76.5" customHeight="1" x14ac:dyDescent="0.25">
      <c r="B16" s="36"/>
      <c r="C16" s="5"/>
      <c r="D16" s="81"/>
      <c r="E16" s="5"/>
      <c r="F16" s="6"/>
      <c r="G16" s="4"/>
      <c r="H16" s="17"/>
      <c r="I16" s="17"/>
      <c r="J16" s="81"/>
      <c r="K16" s="81"/>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2" spans="2:26" ht="21" x14ac:dyDescent="0.25">
      <c r="E22" s="81"/>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S3.1</v>
      </c>
      <c r="I25" s="49" t="str">
        <f>C14</f>
        <v>S3.2</v>
      </c>
      <c r="J25" s="49">
        <f>C15</f>
        <v>0</v>
      </c>
      <c r="K25" s="49">
        <f>C16</f>
        <v>0</v>
      </c>
      <c r="L25" s="49">
        <f>C17</f>
        <v>0</v>
      </c>
      <c r="M25" s="49">
        <f>C18</f>
        <v>0</v>
      </c>
      <c r="N25" s="49">
        <f>C19</f>
        <v>0</v>
      </c>
      <c r="O25" s="50" t="s">
        <v>305</v>
      </c>
    </row>
    <row r="26" spans="2:26" ht="30.4" customHeight="1" thickBot="1" x14ac:dyDescent="0.3">
      <c r="C26" s="51" t="s">
        <v>306</v>
      </c>
      <c r="D26" s="81" t="s">
        <v>1697</v>
      </c>
      <c r="E26" s="8">
        <v>4</v>
      </c>
      <c r="F26" s="8">
        <v>2</v>
      </c>
      <c r="G26" s="8">
        <v>2</v>
      </c>
      <c r="H26" s="8"/>
      <c r="I26" s="8"/>
      <c r="J26" s="8"/>
      <c r="K26" s="8"/>
      <c r="L26" s="8"/>
      <c r="M26" s="8"/>
      <c r="N26" s="8"/>
      <c r="O26" s="53" t="b">
        <f>IF(SUM(F26:N26)=E26,TRUE,"false")</f>
        <v>1</v>
      </c>
    </row>
    <row r="27" spans="2:26" ht="30.4" customHeight="1" thickBot="1" x14ac:dyDescent="0.3">
      <c r="C27" s="51" t="s">
        <v>307</v>
      </c>
      <c r="D27" s="81" t="s">
        <v>1698</v>
      </c>
      <c r="E27" s="8">
        <v>4</v>
      </c>
      <c r="F27" s="8">
        <v>2</v>
      </c>
      <c r="G27" s="8">
        <v>2</v>
      </c>
      <c r="H27" s="8"/>
      <c r="I27" s="8"/>
      <c r="J27" s="8"/>
      <c r="K27" s="8"/>
      <c r="L27" s="8"/>
      <c r="M27" s="8"/>
      <c r="N27" s="8"/>
      <c r="O27" s="53" t="b">
        <f t="shared" ref="O27:O40" si="1">IF(SUM(F27:N27)=E27,TRUE,"false")</f>
        <v>1</v>
      </c>
    </row>
    <row r="28" spans="2:26" ht="30.4" customHeight="1" thickBot="1" x14ac:dyDescent="0.3">
      <c r="C28" s="51" t="s">
        <v>308</v>
      </c>
      <c r="D28" s="81" t="s">
        <v>512</v>
      </c>
      <c r="E28" s="8">
        <v>2</v>
      </c>
      <c r="F28" s="8">
        <v>1</v>
      </c>
      <c r="G28" s="8">
        <v>1</v>
      </c>
      <c r="H28" s="8"/>
      <c r="I28" s="8"/>
      <c r="J28" s="8"/>
      <c r="K28" s="8"/>
      <c r="L28" s="8"/>
      <c r="M28" s="8"/>
      <c r="N28" s="8"/>
      <c r="O28" s="53" t="b">
        <f t="shared" si="1"/>
        <v>1</v>
      </c>
    </row>
    <row r="29" spans="2:26" ht="30.4" customHeight="1" thickBot="1" x14ac:dyDescent="0.3">
      <c r="C29" s="51" t="s">
        <v>309</v>
      </c>
      <c r="D29" s="81" t="s">
        <v>1699</v>
      </c>
      <c r="E29" s="8">
        <v>4</v>
      </c>
      <c r="F29" s="8">
        <v>2</v>
      </c>
      <c r="G29" s="8">
        <v>2</v>
      </c>
      <c r="H29" s="8"/>
      <c r="I29" s="8"/>
      <c r="J29" s="8"/>
      <c r="K29" s="8"/>
      <c r="L29" s="8"/>
      <c r="M29" s="8"/>
      <c r="N29" s="8"/>
      <c r="O29" s="53" t="b">
        <f t="shared" si="1"/>
        <v>1</v>
      </c>
    </row>
    <row r="30" spans="2:26" ht="30.4" customHeight="1" thickBot="1" x14ac:dyDescent="0.3">
      <c r="C30" s="51" t="s">
        <v>310</v>
      </c>
      <c r="D30" s="81" t="s">
        <v>1700</v>
      </c>
      <c r="E30" s="8">
        <v>2</v>
      </c>
      <c r="F30" s="8">
        <v>1</v>
      </c>
      <c r="G30" s="8"/>
      <c r="H30" s="8">
        <v>1</v>
      </c>
      <c r="I30" s="8"/>
      <c r="J30" s="8"/>
      <c r="K30" s="8"/>
      <c r="L30" s="8"/>
      <c r="M30" s="8"/>
      <c r="N30" s="8"/>
      <c r="O30" s="53" t="b">
        <f t="shared" si="1"/>
        <v>1</v>
      </c>
    </row>
    <row r="31" spans="2:26" ht="30.4" customHeight="1" thickBot="1" x14ac:dyDescent="0.3">
      <c r="C31" s="51" t="s">
        <v>311</v>
      </c>
      <c r="D31" s="81" t="s">
        <v>1701</v>
      </c>
      <c r="E31" s="8">
        <v>2</v>
      </c>
      <c r="F31" s="8">
        <v>1</v>
      </c>
      <c r="G31" s="8"/>
      <c r="H31" s="8"/>
      <c r="I31" s="8">
        <v>1</v>
      </c>
      <c r="J31" s="8"/>
      <c r="K31" s="8"/>
      <c r="L31" s="8"/>
      <c r="M31" s="8"/>
      <c r="N31" s="8"/>
      <c r="O31" s="53" t="b">
        <f t="shared" si="1"/>
        <v>1</v>
      </c>
    </row>
    <row r="32" spans="2:26" ht="30.4" customHeight="1" thickBot="1" x14ac:dyDescent="0.3">
      <c r="C32" s="51" t="s">
        <v>312</v>
      </c>
      <c r="D32" s="81" t="s">
        <v>1702</v>
      </c>
      <c r="E32" s="8">
        <v>2</v>
      </c>
      <c r="F32" s="8"/>
      <c r="G32" s="8">
        <v>2</v>
      </c>
      <c r="H32" s="8"/>
      <c r="I32" s="8"/>
      <c r="J32" s="8"/>
      <c r="K32" s="8"/>
      <c r="L32" s="8"/>
      <c r="M32" s="8"/>
      <c r="N32" s="8"/>
      <c r="O32" s="53" t="b">
        <f t="shared" si="1"/>
        <v>1</v>
      </c>
    </row>
    <row r="33" spans="2:15" ht="30.4" customHeight="1" thickBot="1" x14ac:dyDescent="0.3">
      <c r="C33" s="51" t="s">
        <v>313</v>
      </c>
      <c r="D33" s="81" t="s">
        <v>1703</v>
      </c>
      <c r="E33" s="8">
        <v>2</v>
      </c>
      <c r="F33" s="8"/>
      <c r="G33" s="8">
        <v>1</v>
      </c>
      <c r="H33" s="8"/>
      <c r="I33" s="8">
        <v>1</v>
      </c>
      <c r="J33" s="8"/>
      <c r="K33" s="8"/>
      <c r="L33" s="8"/>
      <c r="M33" s="8"/>
      <c r="N33" s="8"/>
      <c r="O33" s="53" t="b">
        <f t="shared" si="1"/>
        <v>1</v>
      </c>
    </row>
    <row r="34" spans="2:15" ht="30.4" customHeight="1" thickBot="1" x14ac:dyDescent="0.3">
      <c r="C34" s="51" t="s">
        <v>314</v>
      </c>
      <c r="D34" s="81" t="s">
        <v>1704</v>
      </c>
      <c r="E34" s="8">
        <v>2</v>
      </c>
      <c r="F34" s="8">
        <v>1</v>
      </c>
      <c r="G34" s="8"/>
      <c r="H34" s="8"/>
      <c r="I34" s="8">
        <v>1</v>
      </c>
      <c r="J34" s="8"/>
      <c r="K34" s="8"/>
      <c r="L34" s="8"/>
      <c r="M34" s="8"/>
      <c r="N34" s="8"/>
      <c r="O34" s="53" t="b">
        <f t="shared" si="1"/>
        <v>1</v>
      </c>
    </row>
    <row r="35" spans="2:15" ht="30.4" customHeight="1" thickBot="1" x14ac:dyDescent="0.3">
      <c r="C35" s="51" t="s">
        <v>315</v>
      </c>
      <c r="D35" s="143" t="s">
        <v>1705</v>
      </c>
      <c r="E35" s="8">
        <v>2</v>
      </c>
      <c r="F35" s="8"/>
      <c r="G35" s="8"/>
      <c r="H35" s="8">
        <v>1</v>
      </c>
      <c r="I35" s="8">
        <v>1</v>
      </c>
      <c r="J35" s="8"/>
      <c r="K35" s="8"/>
      <c r="L35" s="8"/>
      <c r="M35" s="8"/>
      <c r="N35" s="8"/>
      <c r="O35" s="53" t="b">
        <f t="shared" si="1"/>
        <v>1</v>
      </c>
    </row>
    <row r="36" spans="2:15" ht="30.4" customHeight="1" thickBot="1" x14ac:dyDescent="0.3">
      <c r="C36" s="51" t="s">
        <v>316</v>
      </c>
      <c r="D36" s="143" t="s">
        <v>1706</v>
      </c>
      <c r="E36" s="8">
        <v>4</v>
      </c>
      <c r="F36" s="8">
        <v>1</v>
      </c>
      <c r="G36" s="8">
        <v>1</v>
      </c>
      <c r="H36" s="8">
        <v>2</v>
      </c>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11</v>
      </c>
      <c r="G40" s="52">
        <f t="shared" si="2"/>
        <v>11</v>
      </c>
      <c r="H40" s="52">
        <f t="shared" si="2"/>
        <v>4</v>
      </c>
      <c r="I40" s="52">
        <f t="shared" si="2"/>
        <v>4</v>
      </c>
      <c r="J40" s="52">
        <f t="shared" si="2"/>
        <v>0</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0.37</v>
      </c>
      <c r="G41" s="54">
        <f>ROUND(G40/E40,2)</f>
        <v>0.37</v>
      </c>
      <c r="H41" s="54">
        <f>ROUND(H40/E40,2)</f>
        <v>0.13</v>
      </c>
      <c r="I41" s="54">
        <f>ROUND(I40/E40,2)</f>
        <v>0.13</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35</v>
      </c>
      <c r="G42" s="7">
        <v>35</v>
      </c>
      <c r="H42" s="7">
        <v>15</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S3.1</v>
      </c>
      <c r="H46" s="59" t="str">
        <f>C14</f>
        <v>S3.2</v>
      </c>
      <c r="I46" s="59">
        <f>C15</f>
        <v>0</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5</v>
      </c>
      <c r="E49" s="11"/>
      <c r="F49" s="12">
        <v>5</v>
      </c>
      <c r="G49" s="12"/>
      <c r="H49" s="12"/>
      <c r="I49" s="12"/>
      <c r="J49" s="12"/>
      <c r="K49" s="12"/>
      <c r="L49" s="12"/>
      <c r="M49" s="12"/>
      <c r="N49" s="55" t="b">
        <f t="shared" si="3"/>
        <v>1</v>
      </c>
    </row>
    <row r="50" spans="3:14" ht="55.15" customHeight="1" x14ac:dyDescent="0.25">
      <c r="C50" s="9" t="s">
        <v>331</v>
      </c>
      <c r="D50" s="10">
        <v>15</v>
      </c>
      <c r="E50" s="11"/>
      <c r="F50" s="12"/>
      <c r="G50" s="12">
        <v>5</v>
      </c>
      <c r="H50" s="12">
        <v>10</v>
      </c>
      <c r="I50" s="12"/>
      <c r="J50" s="12"/>
      <c r="K50" s="12"/>
      <c r="L50" s="12"/>
      <c r="M50" s="12"/>
      <c r="N50" s="55" t="b">
        <f t="shared" si="3"/>
        <v>1</v>
      </c>
    </row>
    <row r="51" spans="3:14" ht="55.15" customHeight="1" x14ac:dyDescent="0.25">
      <c r="C51" s="9" t="s">
        <v>504</v>
      </c>
      <c r="D51" s="10">
        <v>50</v>
      </c>
      <c r="E51" s="11">
        <v>20</v>
      </c>
      <c r="F51" s="12">
        <v>20</v>
      </c>
      <c r="G51" s="12">
        <v>5</v>
      </c>
      <c r="H51" s="12">
        <v>5</v>
      </c>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35</v>
      </c>
      <c r="F56" s="65">
        <f t="shared" si="5"/>
        <v>35</v>
      </c>
      <c r="G56" s="65">
        <f t="shared" si="5"/>
        <v>15</v>
      </c>
      <c r="H56" s="65">
        <f t="shared" si="5"/>
        <v>15</v>
      </c>
      <c r="I56" s="65">
        <f t="shared" si="5"/>
        <v>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1277" priority="1">
      <formula>LEN(TRIM(D47))=0</formula>
    </cfRule>
    <cfRule type="cellIs" dxfId="1276" priority="2" operator="equal">
      <formula>0</formula>
    </cfRule>
  </conditionalFormatting>
  <conditionalFormatting sqref="E50">
    <cfRule type="containsBlanks" dxfId="1275" priority="5">
      <formula>LEN(TRIM(E50))=0</formula>
    </cfRule>
    <cfRule type="cellIs" dxfId="1274" priority="6" operator="equal">
      <formula>0</formula>
    </cfRule>
  </conditionalFormatting>
  <conditionalFormatting sqref="E55:M55">
    <cfRule type="containsText" dxfId="1273" priority="19" operator="containsText" text="false">
      <formula>NOT(ISERROR(SEARCH("false",E55)))</formula>
    </cfRule>
    <cfRule type="containsText" dxfId="1272" priority="20" operator="containsText" text="true">
      <formula>NOT(ISERROR(SEARCH("true",E55)))</formula>
    </cfRule>
  </conditionalFormatting>
  <conditionalFormatting sqref="E26:N39">
    <cfRule type="containsBlanks" dxfId="1271" priority="11">
      <formula>LEN(TRIM(E26))=0</formula>
    </cfRule>
    <cfRule type="cellIs" dxfId="1270" priority="12" operator="equal">
      <formula>0</formula>
    </cfRule>
  </conditionalFormatting>
  <conditionalFormatting sqref="F48:H48">
    <cfRule type="containsBlanks" dxfId="1269" priority="7">
      <formula>LEN(TRIM(F48))=0</formula>
    </cfRule>
    <cfRule type="cellIs" dxfId="1268" priority="8" operator="equal">
      <formula>0</formula>
    </cfRule>
  </conditionalFormatting>
  <conditionalFormatting sqref="F50:H51">
    <cfRule type="containsBlanks" dxfId="1267" priority="3">
      <formula>LEN(TRIM(F50))=0</formula>
    </cfRule>
    <cfRule type="cellIs" dxfId="1266" priority="4" operator="equal">
      <formula>0</formula>
    </cfRule>
  </conditionalFormatting>
  <conditionalFormatting sqref="N47:N54">
    <cfRule type="containsText" dxfId="1265" priority="21" operator="containsText" text="false">
      <formula>NOT(ISERROR(SEARCH("false",N47)))</formula>
    </cfRule>
    <cfRule type="containsText" dxfId="1264" priority="22" operator="containsText" text="true">
      <formula>NOT(ISERROR(SEARCH("true",N47)))</formula>
    </cfRule>
  </conditionalFormatting>
  <conditionalFormatting sqref="N55">
    <cfRule type="containsBlanks" dxfId="1263" priority="27">
      <formula>LEN(TRIM(N55))=0</formula>
    </cfRule>
    <cfRule type="cellIs" dxfId="1262" priority="28" operator="equal">
      <formula>0</formula>
    </cfRule>
  </conditionalFormatting>
  <conditionalFormatting sqref="O26:O40">
    <cfRule type="containsText" dxfId="1261" priority="23" operator="containsText" text="false">
      <formula>NOT(ISERROR(SEARCH("false",O26)))</formula>
    </cfRule>
    <cfRule type="containsText" dxfId="1260" priority="24" operator="containsText" text="true">
      <formula>NOT(ISERROR(SEARCH("true",O26)))</formula>
    </cfRule>
  </conditionalFormatting>
  <conditionalFormatting sqref="O42">
    <cfRule type="cellIs" dxfId="1259" priority="15" operator="notEqual">
      <formula>100</formula>
    </cfRule>
    <cfRule type="cellIs" dxfId="1258" priority="16"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'Name and Course code'!$B$2:$B$76</xm:f>
          </x14:formula1>
          <xm:sqref>I6</xm:sqref>
        </x14:dataValidation>
        <x14:dataValidation type="list" allowBlank="1" showInputMessage="1" showErrorMessage="1" xr:uid="{00000000-0002-0000-0500-000001000000}">
          <x14:formula1>
            <xm:f>'Name and Course code'!$A$2:$A$76</xm:f>
          </x14:formula1>
          <xm:sqref>K6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249977111117893"/>
  </sheetPr>
  <dimension ref="B2:AB57"/>
  <sheetViews>
    <sheetView zoomScale="50" zoomScaleNormal="50" workbookViewId="0">
      <selection activeCell="C16" sqref="C1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158</v>
      </c>
      <c r="J6" s="43" t="s">
        <v>278</v>
      </c>
      <c r="K6" s="1" t="s">
        <v>157</v>
      </c>
    </row>
    <row r="7" spans="2:26" ht="72.599999999999994" customHeight="1" thickBot="1" x14ac:dyDescent="0.3">
      <c r="B7" s="160"/>
      <c r="C7" s="161"/>
      <c r="D7" s="43" t="s">
        <v>279</v>
      </c>
      <c r="E7" s="1">
        <v>2</v>
      </c>
      <c r="F7" s="43" t="s">
        <v>280</v>
      </c>
      <c r="G7" s="1">
        <v>3</v>
      </c>
      <c r="H7" s="43" t="s">
        <v>281</v>
      </c>
      <c r="I7" s="1">
        <v>3</v>
      </c>
      <c r="J7" s="43" t="s">
        <v>283</v>
      </c>
      <c r="K7" s="1" t="s">
        <v>744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4" t="s">
        <v>297</v>
      </c>
      <c r="D11" s="79" t="s">
        <v>514</v>
      </c>
      <c r="E11" s="2" t="s">
        <v>7</v>
      </c>
      <c r="F11" s="3"/>
      <c r="G11" s="17"/>
      <c r="H11" s="17">
        <v>0.6</v>
      </c>
      <c r="I11" s="17">
        <v>1</v>
      </c>
      <c r="J11" s="80" t="s">
        <v>515</v>
      </c>
      <c r="K11" s="80" t="s">
        <v>516</v>
      </c>
      <c r="U11" s="3">
        <f>F11</f>
        <v>0</v>
      </c>
      <c r="V11" s="2" t="str">
        <f>C11</f>
        <v>K1.1</v>
      </c>
      <c r="W11" s="2"/>
      <c r="X11" s="17"/>
      <c r="Y11" s="37"/>
      <c r="Z11" s="37"/>
    </row>
    <row r="12" spans="2:26" ht="58.9" customHeight="1" x14ac:dyDescent="0.25">
      <c r="B12" s="36"/>
      <c r="C12" s="84" t="s">
        <v>298</v>
      </c>
      <c r="D12" s="79" t="s">
        <v>517</v>
      </c>
      <c r="E12" s="5" t="s">
        <v>7</v>
      </c>
      <c r="F12" s="6"/>
      <c r="G12" s="4"/>
      <c r="H12" s="17">
        <v>0.6</v>
      </c>
      <c r="I12" s="17">
        <v>1</v>
      </c>
      <c r="J12" s="80" t="s">
        <v>515</v>
      </c>
      <c r="K12" s="80" t="s">
        <v>516</v>
      </c>
      <c r="U12" s="6">
        <f t="shared" ref="U12:U19" si="0">F12</f>
        <v>0</v>
      </c>
      <c r="V12" s="2" t="str">
        <f>C12</f>
        <v>K1.2</v>
      </c>
      <c r="W12" s="5"/>
      <c r="X12" s="4"/>
      <c r="Y12" s="38"/>
      <c r="Z12" s="38"/>
    </row>
    <row r="13" spans="2:26" ht="58.9" customHeight="1" x14ac:dyDescent="0.25">
      <c r="B13" s="36"/>
      <c r="C13" s="84" t="s">
        <v>299</v>
      </c>
      <c r="D13" s="79" t="s">
        <v>518</v>
      </c>
      <c r="E13" s="5" t="s">
        <v>7</v>
      </c>
      <c r="F13" s="6"/>
      <c r="G13" s="4"/>
      <c r="H13" s="17">
        <v>0.6</v>
      </c>
      <c r="I13" s="17">
        <v>1</v>
      </c>
      <c r="J13" s="80" t="s">
        <v>515</v>
      </c>
      <c r="K13" s="80" t="s">
        <v>516</v>
      </c>
      <c r="U13" s="6">
        <f t="shared" si="0"/>
        <v>0</v>
      </c>
      <c r="V13" s="2" t="str">
        <f>C13</f>
        <v>K1.3</v>
      </c>
      <c r="W13" s="5"/>
      <c r="X13" s="4"/>
      <c r="Y13" s="38"/>
      <c r="Z13" s="38"/>
    </row>
    <row r="14" spans="2:26" ht="58.9" customHeight="1" x14ac:dyDescent="0.25">
      <c r="B14" s="36"/>
      <c r="C14" s="84" t="s">
        <v>519</v>
      </c>
      <c r="D14" s="79" t="s">
        <v>520</v>
      </c>
      <c r="E14" s="5" t="s">
        <v>7</v>
      </c>
      <c r="F14" s="6"/>
      <c r="G14" s="4"/>
      <c r="H14" s="17">
        <v>0.6</v>
      </c>
      <c r="I14" s="17">
        <v>1</v>
      </c>
      <c r="J14" s="80" t="s">
        <v>515</v>
      </c>
      <c r="K14" s="80" t="s">
        <v>516</v>
      </c>
      <c r="U14" s="6">
        <f t="shared" si="0"/>
        <v>0</v>
      </c>
      <c r="V14" s="2" t="str">
        <f>C14</f>
        <v>K1.4</v>
      </c>
      <c r="W14" s="5"/>
      <c r="X14" s="4"/>
      <c r="Y14" s="38"/>
      <c r="Z14" s="38"/>
    </row>
    <row r="15" spans="2:26" ht="58.9" customHeight="1" x14ac:dyDescent="0.25">
      <c r="B15" s="36"/>
      <c r="C15" s="84" t="s">
        <v>521</v>
      </c>
      <c r="D15" s="79" t="s">
        <v>522</v>
      </c>
      <c r="E15" s="5" t="s">
        <v>7</v>
      </c>
      <c r="F15" s="6"/>
      <c r="G15" s="4"/>
      <c r="H15" s="17">
        <v>0.6</v>
      </c>
      <c r="I15" s="17">
        <v>1</v>
      </c>
      <c r="J15" s="80" t="s">
        <v>515</v>
      </c>
      <c r="K15" s="80" t="s">
        <v>516</v>
      </c>
      <c r="U15" s="6">
        <f t="shared" si="0"/>
        <v>0</v>
      </c>
      <c r="V15" s="2" t="str">
        <f>C15</f>
        <v>K1.5</v>
      </c>
      <c r="W15" s="5"/>
      <c r="X15" s="4"/>
      <c r="Y15" s="38"/>
      <c r="Z15" s="38"/>
    </row>
    <row r="16" spans="2:26" ht="67.5" customHeight="1" x14ac:dyDescent="0.25">
      <c r="B16" s="36"/>
      <c r="C16" s="84" t="s">
        <v>395</v>
      </c>
      <c r="D16" s="81" t="s">
        <v>523</v>
      </c>
      <c r="E16" s="5" t="s">
        <v>24</v>
      </c>
      <c r="F16" s="6"/>
      <c r="G16" s="4"/>
      <c r="H16" s="17">
        <v>0.6</v>
      </c>
      <c r="I16" s="17">
        <v>1</v>
      </c>
      <c r="J16" s="80" t="s">
        <v>524</v>
      </c>
      <c r="K16" s="80" t="s">
        <v>510</v>
      </c>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K1.3</v>
      </c>
      <c r="I25" s="49" t="str">
        <f>C14</f>
        <v>K1.4</v>
      </c>
      <c r="J25" s="49" t="str">
        <f>C15</f>
        <v>K1.5</v>
      </c>
      <c r="K25" s="49" t="str">
        <f>C16</f>
        <v>S3.1</v>
      </c>
      <c r="L25" s="49">
        <f>C17</f>
        <v>0</v>
      </c>
      <c r="M25" s="49">
        <f>C18</f>
        <v>0</v>
      </c>
      <c r="N25" s="49">
        <f>C19</f>
        <v>0</v>
      </c>
      <c r="O25" s="50" t="s">
        <v>305</v>
      </c>
    </row>
    <row r="26" spans="2:26" ht="30.4" customHeight="1" thickBot="1" x14ac:dyDescent="0.3">
      <c r="C26" s="51" t="s">
        <v>306</v>
      </c>
      <c r="D26" s="81" t="s">
        <v>525</v>
      </c>
      <c r="E26" s="8">
        <v>8</v>
      </c>
      <c r="F26" s="8">
        <v>6</v>
      </c>
      <c r="G26" s="8"/>
      <c r="H26" s="8"/>
      <c r="I26" s="8"/>
      <c r="J26" s="8"/>
      <c r="K26" s="8">
        <v>2</v>
      </c>
      <c r="L26" s="8"/>
      <c r="M26" s="8"/>
      <c r="N26" s="8"/>
      <c r="O26" s="53" t="b">
        <f>IF(SUM(F26:N26)=E26,TRUE,"false")</f>
        <v>1</v>
      </c>
    </row>
    <row r="27" spans="2:26" ht="30.4" customHeight="1" thickBot="1" x14ac:dyDescent="0.3">
      <c r="C27" s="51" t="s">
        <v>307</v>
      </c>
      <c r="D27" s="81" t="s">
        <v>526</v>
      </c>
      <c r="E27" s="8">
        <v>8</v>
      </c>
      <c r="F27" s="8">
        <v>6</v>
      </c>
      <c r="G27" s="8"/>
      <c r="H27" s="8"/>
      <c r="I27" s="8"/>
      <c r="J27" s="8"/>
      <c r="K27" s="8">
        <v>2</v>
      </c>
      <c r="L27" s="8"/>
      <c r="M27" s="8"/>
      <c r="N27" s="8"/>
      <c r="O27" s="53" t="b">
        <f t="shared" ref="O27:O40" si="1">IF(SUM(F27:N27)=E27,TRUE,"false")</f>
        <v>1</v>
      </c>
    </row>
    <row r="28" spans="2:26" ht="30.4" customHeight="1" thickBot="1" x14ac:dyDescent="0.3">
      <c r="C28" s="51" t="s">
        <v>308</v>
      </c>
      <c r="D28" s="81" t="s">
        <v>527</v>
      </c>
      <c r="E28" s="8">
        <v>8</v>
      </c>
      <c r="F28" s="8"/>
      <c r="G28" s="8">
        <v>5</v>
      </c>
      <c r="H28" s="8"/>
      <c r="I28" s="8"/>
      <c r="J28" s="8"/>
      <c r="K28" s="8">
        <v>3</v>
      </c>
      <c r="L28" s="8"/>
      <c r="M28" s="8"/>
      <c r="N28" s="8"/>
      <c r="O28" s="53" t="b">
        <f t="shared" si="1"/>
        <v>1</v>
      </c>
    </row>
    <row r="29" spans="2:26" ht="30.4" customHeight="1" thickBot="1" x14ac:dyDescent="0.3">
      <c r="C29" s="51" t="s">
        <v>309</v>
      </c>
      <c r="D29" s="81" t="s">
        <v>528</v>
      </c>
      <c r="E29" s="8">
        <v>7</v>
      </c>
      <c r="F29" s="8"/>
      <c r="G29" s="8"/>
      <c r="H29" s="8">
        <v>5</v>
      </c>
      <c r="I29" s="8"/>
      <c r="J29" s="8"/>
      <c r="K29" s="8">
        <v>2</v>
      </c>
      <c r="L29" s="8"/>
      <c r="M29" s="8"/>
      <c r="N29" s="8"/>
      <c r="O29" s="53" t="b">
        <f t="shared" si="1"/>
        <v>1</v>
      </c>
    </row>
    <row r="30" spans="2:26" ht="30.4" customHeight="1" thickBot="1" x14ac:dyDescent="0.3">
      <c r="C30" s="51" t="s">
        <v>310</v>
      </c>
      <c r="D30" s="81" t="s">
        <v>529</v>
      </c>
      <c r="E30" s="8">
        <v>8</v>
      </c>
      <c r="F30" s="8"/>
      <c r="G30" s="8"/>
      <c r="H30" s="8"/>
      <c r="I30" s="8">
        <v>5</v>
      </c>
      <c r="J30" s="8"/>
      <c r="K30" s="8">
        <v>3</v>
      </c>
      <c r="L30" s="8"/>
      <c r="M30" s="8"/>
      <c r="N30" s="8"/>
      <c r="O30" s="53" t="b">
        <f t="shared" si="1"/>
        <v>1</v>
      </c>
    </row>
    <row r="31" spans="2:26" ht="30.4" customHeight="1" thickBot="1" x14ac:dyDescent="0.3">
      <c r="C31" s="51" t="s">
        <v>311</v>
      </c>
      <c r="D31" s="81" t="s">
        <v>530</v>
      </c>
      <c r="E31" s="8">
        <v>6</v>
      </c>
      <c r="F31" s="8"/>
      <c r="G31" s="8"/>
      <c r="H31" s="8"/>
      <c r="I31" s="8"/>
      <c r="J31" s="8">
        <v>4</v>
      </c>
      <c r="K31" s="8">
        <v>2</v>
      </c>
      <c r="L31" s="8"/>
      <c r="M31" s="8"/>
      <c r="N31" s="8"/>
      <c r="O31" s="53" t="b">
        <f t="shared" si="1"/>
        <v>1</v>
      </c>
    </row>
    <row r="32" spans="2:26" ht="30.4" customHeight="1" thickBot="1" x14ac:dyDescent="0.3">
      <c r="C32" s="51" t="s">
        <v>312</v>
      </c>
      <c r="D32" s="25"/>
      <c r="E32" s="8"/>
      <c r="F32" s="8"/>
      <c r="G32" s="8"/>
      <c r="H32" s="8"/>
      <c r="I32" s="8"/>
      <c r="J32" s="8"/>
      <c r="K32" s="8"/>
      <c r="L32" s="8"/>
      <c r="M32" s="8"/>
      <c r="N32" s="8"/>
      <c r="O32" s="53" t="b">
        <f t="shared" si="1"/>
        <v>1</v>
      </c>
    </row>
    <row r="33" spans="2:15" ht="30.4" customHeight="1" thickBot="1" x14ac:dyDescent="0.3">
      <c r="C33" s="51" t="s">
        <v>313</v>
      </c>
      <c r="D33" s="25"/>
      <c r="E33" s="8"/>
      <c r="F33" s="8"/>
      <c r="G33" s="8"/>
      <c r="H33" s="8"/>
      <c r="I33" s="8"/>
      <c r="J33" s="8"/>
      <c r="K33" s="8"/>
      <c r="L33" s="8"/>
      <c r="M33" s="8"/>
      <c r="N33" s="8"/>
      <c r="O33" s="53" t="b">
        <f t="shared" si="1"/>
        <v>1</v>
      </c>
    </row>
    <row r="34" spans="2:15" ht="30.4" customHeight="1" thickBot="1" x14ac:dyDescent="0.3">
      <c r="C34" s="51" t="s">
        <v>314</v>
      </c>
      <c r="D34" s="25"/>
      <c r="E34" s="8"/>
      <c r="F34" s="8"/>
      <c r="G34" s="8"/>
      <c r="H34" s="8"/>
      <c r="I34" s="8"/>
      <c r="J34" s="8"/>
      <c r="K34" s="8"/>
      <c r="L34" s="8"/>
      <c r="M34" s="8"/>
      <c r="N34" s="8"/>
      <c r="O34" s="53" t="b">
        <f t="shared" si="1"/>
        <v>1</v>
      </c>
    </row>
    <row r="35" spans="2:15" ht="30.4" customHeight="1" thickBot="1" x14ac:dyDescent="0.3">
      <c r="C35" s="51" t="s">
        <v>315</v>
      </c>
      <c r="D35" s="25"/>
      <c r="E35" s="8"/>
      <c r="F35" s="8"/>
      <c r="G35" s="8"/>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45</v>
      </c>
      <c r="F40" s="52">
        <f t="shared" ref="F40:N40" si="2">SUM(F26:F39)</f>
        <v>12</v>
      </c>
      <c r="G40" s="52">
        <f t="shared" si="2"/>
        <v>5</v>
      </c>
      <c r="H40" s="52">
        <f t="shared" si="2"/>
        <v>5</v>
      </c>
      <c r="I40" s="52">
        <f t="shared" si="2"/>
        <v>5</v>
      </c>
      <c r="J40" s="52">
        <f t="shared" si="2"/>
        <v>4</v>
      </c>
      <c r="K40" s="52">
        <f t="shared" si="2"/>
        <v>14</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0.27</v>
      </c>
      <c r="G41" s="54">
        <f>ROUND(G40/E40,2)</f>
        <v>0.11</v>
      </c>
      <c r="H41" s="54">
        <f>ROUND(H40/E40,2)</f>
        <v>0.11</v>
      </c>
      <c r="I41" s="54">
        <f>ROUND(I40/E40,2)</f>
        <v>0.11</v>
      </c>
      <c r="J41" s="54">
        <f>ROUND(J40/E40,2)</f>
        <v>0.09</v>
      </c>
      <c r="K41" s="54">
        <f>ROUND(K40/E40,2)</f>
        <v>0.31</v>
      </c>
      <c r="L41" s="54">
        <f>ROUND(L40/E40,2)</f>
        <v>0</v>
      </c>
      <c r="M41" s="54">
        <f>ROUND(M40/E40,2)</f>
        <v>0</v>
      </c>
      <c r="N41" s="54">
        <f>ROUND(N40/E40,2)</f>
        <v>0</v>
      </c>
      <c r="O41" s="54">
        <f>SUM(F41:N41)</f>
        <v>1</v>
      </c>
    </row>
    <row r="42" spans="2:15" ht="55.9" customHeight="1" x14ac:dyDescent="0.25">
      <c r="C42" s="151" t="s">
        <v>322</v>
      </c>
      <c r="D42" s="151"/>
      <c r="E42" s="151"/>
      <c r="F42" s="7">
        <v>30</v>
      </c>
      <c r="G42" s="7">
        <v>10</v>
      </c>
      <c r="H42" s="7">
        <v>10</v>
      </c>
      <c r="I42" s="7">
        <v>10</v>
      </c>
      <c r="J42" s="7">
        <v>10</v>
      </c>
      <c r="K42" s="7">
        <v>30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K1.3</v>
      </c>
      <c r="H46" s="59" t="str">
        <f>C14</f>
        <v>K1.4</v>
      </c>
      <c r="I46" s="59" t="str">
        <f>C15</f>
        <v>K1.5</v>
      </c>
      <c r="J46" s="59" t="str">
        <f>C16</f>
        <v>S3.1</v>
      </c>
      <c r="K46" s="59">
        <f>C17</f>
        <v>0</v>
      </c>
      <c r="L46" s="59">
        <f>C18</f>
        <v>0</v>
      </c>
      <c r="M46" s="59">
        <f>C19</f>
        <v>0</v>
      </c>
      <c r="N46" s="60" t="s">
        <v>327</v>
      </c>
    </row>
    <row r="47" spans="2:15" ht="55.15" customHeight="1" x14ac:dyDescent="0.25">
      <c r="C47" s="9" t="s">
        <v>329</v>
      </c>
      <c r="D47" s="10">
        <v>10</v>
      </c>
      <c r="E47" s="8">
        <v>10</v>
      </c>
      <c r="F47" s="8"/>
      <c r="G47" s="8"/>
      <c r="H47" s="8"/>
      <c r="I47" s="8"/>
      <c r="J47" s="8"/>
      <c r="K47" s="8"/>
      <c r="L47" s="8"/>
      <c r="M47" s="8"/>
      <c r="N47" s="55" t="b">
        <f t="shared" ref="N47:N54" si="3">IF(SUM(E47:M47)=D47,TRUE,"false")</f>
        <v>1</v>
      </c>
    </row>
    <row r="48" spans="2:15" ht="55.15" customHeight="1" x14ac:dyDescent="0.25">
      <c r="C48" s="9" t="s">
        <v>410</v>
      </c>
      <c r="D48" s="10">
        <v>25</v>
      </c>
      <c r="E48" s="11">
        <v>15</v>
      </c>
      <c r="F48" s="12"/>
      <c r="G48" s="12"/>
      <c r="H48" s="12"/>
      <c r="I48" s="12"/>
      <c r="J48" s="12">
        <v>10</v>
      </c>
      <c r="K48" s="12"/>
      <c r="L48" s="12"/>
      <c r="M48" s="12"/>
      <c r="N48" s="55" t="b">
        <f t="shared" si="3"/>
        <v>1</v>
      </c>
    </row>
    <row r="49" spans="3:14" ht="55.15" customHeight="1" x14ac:dyDescent="0.25">
      <c r="C49" s="9" t="s">
        <v>330</v>
      </c>
      <c r="D49" s="10">
        <v>5</v>
      </c>
      <c r="E49" s="11"/>
      <c r="F49" s="12">
        <v>5</v>
      </c>
      <c r="G49" s="12"/>
      <c r="H49" s="12"/>
      <c r="I49" s="12"/>
      <c r="J49" s="12"/>
      <c r="K49" s="12"/>
      <c r="L49" s="12"/>
      <c r="M49" s="12"/>
      <c r="N49" s="55" t="b">
        <f t="shared" si="3"/>
        <v>1</v>
      </c>
    </row>
    <row r="50" spans="3:14" ht="55.15" customHeight="1" x14ac:dyDescent="0.25">
      <c r="C50" s="9" t="s">
        <v>331</v>
      </c>
      <c r="D50" s="10">
        <v>10</v>
      </c>
      <c r="E50" s="11"/>
      <c r="F50" s="12"/>
      <c r="G50" s="12"/>
      <c r="H50" s="12"/>
      <c r="I50" s="12"/>
      <c r="J50" s="12">
        <v>10</v>
      </c>
      <c r="K50" s="12"/>
      <c r="L50" s="12"/>
      <c r="M50" s="12"/>
      <c r="N50" s="55" t="b">
        <f t="shared" si="3"/>
        <v>1</v>
      </c>
    </row>
    <row r="51" spans="3:14" ht="55.15" customHeight="1" x14ac:dyDescent="0.25">
      <c r="C51" s="9" t="s">
        <v>531</v>
      </c>
      <c r="D51" s="10">
        <v>50</v>
      </c>
      <c r="E51" s="11">
        <v>5</v>
      </c>
      <c r="F51" s="12">
        <v>5</v>
      </c>
      <c r="G51" s="12">
        <v>10</v>
      </c>
      <c r="H51" s="12">
        <v>10</v>
      </c>
      <c r="I51" s="12">
        <v>10</v>
      </c>
      <c r="J51" s="12">
        <v>10</v>
      </c>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30</v>
      </c>
      <c r="F56" s="65">
        <f t="shared" si="5"/>
        <v>10</v>
      </c>
      <c r="G56" s="65">
        <f t="shared" si="5"/>
        <v>10</v>
      </c>
      <c r="H56" s="65">
        <f t="shared" si="5"/>
        <v>10</v>
      </c>
      <c r="I56" s="65">
        <f t="shared" si="5"/>
        <v>10</v>
      </c>
      <c r="J56" s="65">
        <f t="shared" si="5"/>
        <v>30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1257" priority="1">
      <formula>LEN(TRIM(D47))=0</formula>
    </cfRule>
    <cfRule type="cellIs" dxfId="1256" priority="2" operator="equal">
      <formula>0</formula>
    </cfRule>
  </conditionalFormatting>
  <conditionalFormatting sqref="E50">
    <cfRule type="containsBlanks" dxfId="1255" priority="5">
      <formula>LEN(TRIM(E50))=0</formula>
    </cfRule>
    <cfRule type="cellIs" dxfId="1254" priority="6" operator="equal">
      <formula>0</formula>
    </cfRule>
  </conditionalFormatting>
  <conditionalFormatting sqref="E55:M55">
    <cfRule type="containsText" dxfId="1253" priority="21" operator="containsText" text="false">
      <formula>NOT(ISERROR(SEARCH("false",E55)))</formula>
    </cfRule>
    <cfRule type="containsText" dxfId="1252" priority="22" operator="containsText" text="true">
      <formula>NOT(ISERROR(SEARCH("true",E55)))</formula>
    </cfRule>
  </conditionalFormatting>
  <conditionalFormatting sqref="E26:N39">
    <cfRule type="containsBlanks" dxfId="1251" priority="11">
      <formula>LEN(TRIM(E26))=0</formula>
    </cfRule>
    <cfRule type="cellIs" dxfId="1250" priority="12" operator="equal">
      <formula>0</formula>
    </cfRule>
  </conditionalFormatting>
  <conditionalFormatting sqref="F48:J48">
    <cfRule type="containsBlanks" dxfId="1249" priority="7">
      <formula>LEN(TRIM(F48))=0</formula>
    </cfRule>
    <cfRule type="cellIs" dxfId="1248" priority="8" operator="equal">
      <formula>0</formula>
    </cfRule>
  </conditionalFormatting>
  <conditionalFormatting sqref="F50:J51">
    <cfRule type="containsBlanks" dxfId="1247" priority="3">
      <formula>LEN(TRIM(F50))=0</formula>
    </cfRule>
    <cfRule type="cellIs" dxfId="1246" priority="4" operator="equal">
      <formula>0</formula>
    </cfRule>
  </conditionalFormatting>
  <conditionalFormatting sqref="N47:N54">
    <cfRule type="containsText" dxfId="1245" priority="23" operator="containsText" text="false">
      <formula>NOT(ISERROR(SEARCH("false",N47)))</formula>
    </cfRule>
    <cfRule type="containsText" dxfId="1244" priority="24" operator="containsText" text="true">
      <formula>NOT(ISERROR(SEARCH("true",N47)))</formula>
    </cfRule>
  </conditionalFormatting>
  <conditionalFormatting sqref="N55">
    <cfRule type="containsBlanks" dxfId="1243" priority="29">
      <formula>LEN(TRIM(N55))=0</formula>
    </cfRule>
    <cfRule type="cellIs" dxfId="1242" priority="30" operator="equal">
      <formula>0</formula>
    </cfRule>
  </conditionalFormatting>
  <conditionalFormatting sqref="O26:O40">
    <cfRule type="containsText" dxfId="1241" priority="25" operator="containsText" text="false">
      <formula>NOT(ISERROR(SEARCH("false",O26)))</formula>
    </cfRule>
    <cfRule type="containsText" dxfId="1240" priority="26" operator="containsText" text="true">
      <formula>NOT(ISERROR(SEARCH("true",O26)))</formula>
    </cfRule>
  </conditionalFormatting>
  <conditionalFormatting sqref="O42">
    <cfRule type="cellIs" dxfId="1239" priority="17" operator="notEqual">
      <formula>100</formula>
    </cfRule>
    <cfRule type="cellIs" dxfId="1238" priority="18"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'Name and Course code'!$B$2:$B$76</xm:f>
          </x14:formula1>
          <xm:sqref>I6</xm:sqref>
        </x14:dataValidation>
        <x14:dataValidation type="list" allowBlank="1" showInputMessage="1" showErrorMessage="1" xr:uid="{00000000-0002-0000-0400-000001000000}">
          <x14:formula1>
            <xm:f>'Name and Course code'!$A$2:$A$76</xm:f>
          </x14:formula1>
          <xm:sqref>K6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B2:AB57"/>
  <sheetViews>
    <sheetView zoomScale="50" zoomScaleNormal="50" workbookViewId="0">
      <selection activeCell="C15" sqref="C15"/>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162</v>
      </c>
      <c r="J6" s="43" t="s">
        <v>278</v>
      </c>
      <c r="K6" s="1" t="s">
        <v>161</v>
      </c>
    </row>
    <row r="7" spans="2:26" ht="72.599999999999994" customHeight="1" thickBot="1" x14ac:dyDescent="0.3">
      <c r="B7" s="160"/>
      <c r="C7" s="161"/>
      <c r="D7" s="43" t="s">
        <v>279</v>
      </c>
      <c r="E7" s="1">
        <v>2</v>
      </c>
      <c r="F7" s="43" t="s">
        <v>280</v>
      </c>
      <c r="G7" s="1">
        <v>3</v>
      </c>
      <c r="H7" s="43" t="s">
        <v>281</v>
      </c>
      <c r="I7" s="1" t="s">
        <v>282</v>
      </c>
      <c r="J7" s="43" t="s">
        <v>283</v>
      </c>
      <c r="K7" s="1" t="s">
        <v>556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98.45" customHeight="1" x14ac:dyDescent="0.25">
      <c r="B11" s="36"/>
      <c r="C11" s="2" t="s">
        <v>297</v>
      </c>
      <c r="D11" s="79" t="s">
        <v>557</v>
      </c>
      <c r="E11" s="2" t="s">
        <v>7</v>
      </c>
      <c r="F11" s="3"/>
      <c r="G11" s="17"/>
      <c r="H11" s="17">
        <v>0.6</v>
      </c>
      <c r="I11" s="17">
        <v>1</v>
      </c>
      <c r="J11" s="80" t="s">
        <v>558</v>
      </c>
      <c r="K11" s="80" t="s">
        <v>559</v>
      </c>
      <c r="U11" s="3">
        <f>F11</f>
        <v>0</v>
      </c>
      <c r="V11" s="2" t="str">
        <f>C11</f>
        <v>K1.1</v>
      </c>
      <c r="W11" s="2"/>
      <c r="X11" s="17"/>
      <c r="Y11" s="37"/>
      <c r="Z11" s="37"/>
    </row>
    <row r="12" spans="2:26" ht="100.9" customHeight="1" x14ac:dyDescent="0.25">
      <c r="B12" s="36"/>
      <c r="C12" s="5" t="s">
        <v>298</v>
      </c>
      <c r="D12" s="79" t="s">
        <v>1717</v>
      </c>
      <c r="E12" s="5" t="s">
        <v>7</v>
      </c>
      <c r="F12" s="6"/>
      <c r="G12" s="4"/>
      <c r="H12" s="4">
        <v>0.6</v>
      </c>
      <c r="I12" s="4">
        <v>1</v>
      </c>
      <c r="J12" s="80" t="s">
        <v>558</v>
      </c>
      <c r="K12" s="80" t="s">
        <v>559</v>
      </c>
      <c r="U12" s="6">
        <f t="shared" ref="U12:U19" si="0">F12</f>
        <v>0</v>
      </c>
      <c r="V12" s="2" t="str">
        <f>C12</f>
        <v>K1.2</v>
      </c>
      <c r="W12" s="5"/>
      <c r="X12" s="4"/>
      <c r="Y12" s="38"/>
      <c r="Z12" s="38"/>
    </row>
    <row r="13" spans="2:26" ht="102" customHeight="1" x14ac:dyDescent="0.25">
      <c r="B13" s="36"/>
      <c r="C13" s="5" t="s">
        <v>560</v>
      </c>
      <c r="D13" s="79" t="s">
        <v>561</v>
      </c>
      <c r="E13" s="5" t="s">
        <v>13</v>
      </c>
      <c r="F13" s="6"/>
      <c r="G13" s="4"/>
      <c r="H13" s="4">
        <v>0.6</v>
      </c>
      <c r="I13" s="4">
        <v>1</v>
      </c>
      <c r="J13" s="80" t="s">
        <v>562</v>
      </c>
      <c r="K13" s="80" t="s">
        <v>559</v>
      </c>
      <c r="U13" s="6">
        <f t="shared" si="0"/>
        <v>0</v>
      </c>
      <c r="V13" s="2" t="str">
        <f>C13</f>
        <v>K3.1</v>
      </c>
      <c r="W13" s="5"/>
      <c r="X13" s="4"/>
      <c r="Y13" s="38"/>
      <c r="Z13" s="38"/>
    </row>
    <row r="14" spans="2:26" ht="58.9" customHeight="1" x14ac:dyDescent="0.25">
      <c r="B14" s="36"/>
      <c r="C14" s="5" t="s">
        <v>342</v>
      </c>
      <c r="D14" s="79" t="s">
        <v>563</v>
      </c>
      <c r="E14" s="5" t="s">
        <v>22</v>
      </c>
      <c r="F14" s="6"/>
      <c r="G14" s="4"/>
      <c r="H14" s="4">
        <v>0.6</v>
      </c>
      <c r="I14" s="4">
        <v>1</v>
      </c>
      <c r="J14" s="80" t="s">
        <v>564</v>
      </c>
      <c r="K14" s="81" t="s">
        <v>860</v>
      </c>
      <c r="U14" s="6">
        <f t="shared" si="0"/>
        <v>0</v>
      </c>
      <c r="V14" s="2" t="str">
        <f>C14</f>
        <v>S2.1</v>
      </c>
      <c r="W14" s="5"/>
      <c r="X14" s="4"/>
      <c r="Y14" s="38"/>
      <c r="Z14" s="38"/>
    </row>
    <row r="15" spans="2:26" ht="58.9" customHeight="1" x14ac:dyDescent="0.25">
      <c r="B15" s="36"/>
      <c r="C15" s="5" t="s">
        <v>445</v>
      </c>
      <c r="D15" s="79" t="s">
        <v>565</v>
      </c>
      <c r="E15" s="5" t="s">
        <v>31</v>
      </c>
      <c r="F15" s="6"/>
      <c r="G15" s="4"/>
      <c r="H15" s="4">
        <v>0.6</v>
      </c>
      <c r="I15" s="4">
        <v>1</v>
      </c>
      <c r="J15" s="80" t="s">
        <v>447</v>
      </c>
      <c r="K15" s="81" t="s">
        <v>566</v>
      </c>
      <c r="U15" s="6">
        <f t="shared" si="0"/>
        <v>0</v>
      </c>
      <c r="V15" s="2" t="str">
        <f>C15</f>
        <v>S7.1</v>
      </c>
      <c r="W15" s="5"/>
      <c r="X15" s="4"/>
      <c r="Y15" s="38"/>
      <c r="Z15" s="38"/>
    </row>
    <row r="16" spans="2:26" ht="85.5" customHeight="1" x14ac:dyDescent="0.25">
      <c r="B16" s="36"/>
      <c r="C16" s="5" t="s">
        <v>567</v>
      </c>
      <c r="D16" s="79" t="s">
        <v>568</v>
      </c>
      <c r="E16" s="5" t="s">
        <v>48</v>
      </c>
      <c r="F16" s="6"/>
      <c r="G16" s="4"/>
      <c r="H16" s="4">
        <v>0.6</v>
      </c>
      <c r="I16" s="4">
        <v>1</v>
      </c>
      <c r="J16" s="80" t="s">
        <v>569</v>
      </c>
      <c r="K16" s="81" t="s">
        <v>566</v>
      </c>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K3.1</v>
      </c>
      <c r="I25" s="49" t="str">
        <f>C14</f>
        <v>S2.1</v>
      </c>
      <c r="J25" s="49" t="str">
        <f>C15</f>
        <v>S7.1</v>
      </c>
      <c r="K25" s="49" t="str">
        <f>C16</f>
        <v>V2.1</v>
      </c>
      <c r="L25" s="49">
        <f>C17</f>
        <v>0</v>
      </c>
      <c r="M25" s="49">
        <f>C18</f>
        <v>0</v>
      </c>
      <c r="N25" s="49">
        <f>C19</f>
        <v>0</v>
      </c>
      <c r="O25" s="50" t="s">
        <v>305</v>
      </c>
    </row>
    <row r="26" spans="2:26" ht="46.5" customHeight="1" thickBot="1" x14ac:dyDescent="0.3">
      <c r="C26" s="51" t="s">
        <v>306</v>
      </c>
      <c r="D26" s="79" t="s">
        <v>570</v>
      </c>
      <c r="E26" s="8">
        <v>4</v>
      </c>
      <c r="F26" s="8">
        <v>1</v>
      </c>
      <c r="G26" s="8">
        <v>1</v>
      </c>
      <c r="H26" s="8">
        <v>1</v>
      </c>
      <c r="I26" s="8"/>
      <c r="J26" s="8">
        <v>1</v>
      </c>
      <c r="K26" s="8"/>
      <c r="L26" s="8"/>
      <c r="M26" s="8"/>
      <c r="N26" s="8"/>
      <c r="O26" s="53" t="b">
        <f>IF(SUM(F26:N26)=E26,TRUE,"false")</f>
        <v>1</v>
      </c>
    </row>
    <row r="27" spans="2:26" ht="30.4" customHeight="1" thickBot="1" x14ac:dyDescent="0.3">
      <c r="C27" s="51" t="s">
        <v>307</v>
      </c>
      <c r="D27" s="79" t="s">
        <v>571</v>
      </c>
      <c r="E27" s="8">
        <v>4</v>
      </c>
      <c r="F27" s="8">
        <v>2</v>
      </c>
      <c r="G27" s="8">
        <v>1</v>
      </c>
      <c r="H27" s="8"/>
      <c r="I27" s="8"/>
      <c r="J27" s="8">
        <v>1</v>
      </c>
      <c r="K27" s="8"/>
      <c r="L27" s="8"/>
      <c r="M27" s="8"/>
      <c r="N27" s="8"/>
      <c r="O27" s="53" t="b">
        <f t="shared" ref="O27:O40" si="1">IF(SUM(F27:N27)=E27,TRUE,"false")</f>
        <v>1</v>
      </c>
    </row>
    <row r="28" spans="2:26" ht="30.4" customHeight="1" thickBot="1" x14ac:dyDescent="0.3">
      <c r="C28" s="51" t="s">
        <v>308</v>
      </c>
      <c r="D28" s="79" t="s">
        <v>572</v>
      </c>
      <c r="E28" s="8">
        <v>4</v>
      </c>
      <c r="F28" s="8">
        <v>1</v>
      </c>
      <c r="G28" s="8">
        <v>1</v>
      </c>
      <c r="H28" s="8"/>
      <c r="I28" s="8">
        <v>1</v>
      </c>
      <c r="J28" s="8">
        <v>1</v>
      </c>
      <c r="K28" s="8"/>
      <c r="L28" s="8"/>
      <c r="M28" s="8"/>
      <c r="N28" s="8"/>
      <c r="O28" s="53" t="b">
        <f t="shared" si="1"/>
        <v>1</v>
      </c>
    </row>
    <row r="29" spans="2:26" ht="30.4" customHeight="1" thickBot="1" x14ac:dyDescent="0.3">
      <c r="C29" s="51" t="s">
        <v>309</v>
      </c>
      <c r="D29" s="79" t="s">
        <v>573</v>
      </c>
      <c r="E29" s="8">
        <v>4</v>
      </c>
      <c r="F29" s="8">
        <v>2</v>
      </c>
      <c r="G29" s="8">
        <v>1</v>
      </c>
      <c r="H29" s="8"/>
      <c r="I29" s="8">
        <v>1</v>
      </c>
      <c r="J29" s="8"/>
      <c r="K29" s="8"/>
      <c r="L29" s="8"/>
      <c r="M29" s="8"/>
      <c r="N29" s="8"/>
      <c r="O29" s="53" t="b">
        <f t="shared" si="1"/>
        <v>1</v>
      </c>
    </row>
    <row r="30" spans="2:26" ht="30.4" customHeight="1" thickBot="1" x14ac:dyDescent="0.3">
      <c r="C30" s="51" t="s">
        <v>310</v>
      </c>
      <c r="D30" s="79" t="s">
        <v>574</v>
      </c>
      <c r="E30" s="8">
        <v>8</v>
      </c>
      <c r="F30" s="8">
        <v>2</v>
      </c>
      <c r="G30" s="8">
        <v>2</v>
      </c>
      <c r="H30" s="8">
        <v>1</v>
      </c>
      <c r="I30" s="8">
        <v>1</v>
      </c>
      <c r="J30" s="8">
        <v>1</v>
      </c>
      <c r="K30" s="8">
        <v>1</v>
      </c>
      <c r="L30" s="8"/>
      <c r="M30" s="8"/>
      <c r="N30" s="8"/>
      <c r="O30" s="53" t="b">
        <f t="shared" si="1"/>
        <v>1</v>
      </c>
    </row>
    <row r="31" spans="2:26" ht="30.4" customHeight="1" thickBot="1" x14ac:dyDescent="0.3">
      <c r="C31" s="51" t="s">
        <v>311</v>
      </c>
      <c r="D31" s="79" t="s">
        <v>575</v>
      </c>
      <c r="E31" s="8">
        <v>8</v>
      </c>
      <c r="F31" s="8">
        <v>2</v>
      </c>
      <c r="G31" s="8">
        <v>2</v>
      </c>
      <c r="H31" s="8"/>
      <c r="I31" s="8">
        <v>2</v>
      </c>
      <c r="J31" s="8">
        <v>1</v>
      </c>
      <c r="K31" s="8">
        <v>1</v>
      </c>
      <c r="L31" s="8"/>
      <c r="M31" s="8"/>
      <c r="N31" s="8"/>
      <c r="O31" s="53" t="b">
        <f t="shared" si="1"/>
        <v>1</v>
      </c>
    </row>
    <row r="32" spans="2:26" ht="30.4" customHeight="1" thickBot="1" x14ac:dyDescent="0.3">
      <c r="C32" s="51" t="s">
        <v>312</v>
      </c>
      <c r="D32" s="79" t="s">
        <v>576</v>
      </c>
      <c r="E32" s="8">
        <v>4</v>
      </c>
      <c r="F32" s="8"/>
      <c r="G32" s="8">
        <v>1</v>
      </c>
      <c r="H32" s="8"/>
      <c r="I32" s="8">
        <v>2</v>
      </c>
      <c r="J32" s="8">
        <v>1</v>
      </c>
      <c r="K32" s="8"/>
      <c r="L32" s="8"/>
      <c r="M32" s="8"/>
      <c r="N32" s="8"/>
      <c r="O32" s="53" t="b">
        <f t="shared" si="1"/>
        <v>1</v>
      </c>
    </row>
    <row r="33" spans="2:15" ht="30.4" customHeight="1" thickBot="1" x14ac:dyDescent="0.3">
      <c r="C33" s="51" t="s">
        <v>313</v>
      </c>
      <c r="D33" s="79" t="s">
        <v>577</v>
      </c>
      <c r="E33" s="8">
        <v>8</v>
      </c>
      <c r="F33" s="8">
        <v>2</v>
      </c>
      <c r="G33" s="8">
        <v>2</v>
      </c>
      <c r="H33" s="8">
        <v>1</v>
      </c>
      <c r="I33" s="8">
        <v>2</v>
      </c>
      <c r="J33" s="8">
        <v>1</v>
      </c>
      <c r="K33" s="8"/>
      <c r="L33" s="8"/>
      <c r="M33" s="8"/>
      <c r="N33" s="8"/>
      <c r="O33" s="53" t="b">
        <f t="shared" si="1"/>
        <v>1</v>
      </c>
    </row>
    <row r="34" spans="2:15" ht="30.4" customHeight="1" thickBot="1" x14ac:dyDescent="0.3">
      <c r="C34" s="51" t="s">
        <v>314</v>
      </c>
      <c r="D34" s="79" t="s">
        <v>578</v>
      </c>
      <c r="E34" s="8">
        <v>4</v>
      </c>
      <c r="F34" s="8">
        <v>1</v>
      </c>
      <c r="G34" s="8">
        <v>1</v>
      </c>
      <c r="H34" s="8">
        <v>1</v>
      </c>
      <c r="I34" s="8">
        <v>1</v>
      </c>
      <c r="J34" s="8"/>
      <c r="K34" s="8"/>
      <c r="L34" s="8"/>
      <c r="M34" s="8"/>
      <c r="N34" s="8"/>
      <c r="O34" s="53" t="b">
        <f t="shared" si="1"/>
        <v>1</v>
      </c>
    </row>
    <row r="35" spans="2:15" ht="30.4" customHeight="1" thickBot="1" x14ac:dyDescent="0.3">
      <c r="C35" s="51" t="s">
        <v>315</v>
      </c>
      <c r="D35" s="79" t="s">
        <v>579</v>
      </c>
      <c r="E35" s="8">
        <v>8</v>
      </c>
      <c r="F35" s="8">
        <v>2</v>
      </c>
      <c r="G35" s="8">
        <v>2</v>
      </c>
      <c r="H35" s="8">
        <v>1</v>
      </c>
      <c r="I35" s="8">
        <v>1</v>
      </c>
      <c r="J35" s="8">
        <v>1</v>
      </c>
      <c r="K35" s="8">
        <v>1</v>
      </c>
      <c r="L35" s="8"/>
      <c r="M35" s="8"/>
      <c r="N35" s="8"/>
      <c r="O35" s="53" t="b">
        <f t="shared" si="1"/>
        <v>1</v>
      </c>
    </row>
    <row r="36" spans="2:15" ht="30.4" customHeight="1" thickBot="1" x14ac:dyDescent="0.3">
      <c r="C36" s="51" t="s">
        <v>316</v>
      </c>
      <c r="D36" s="79" t="s">
        <v>580</v>
      </c>
      <c r="E36" s="8">
        <v>4</v>
      </c>
      <c r="F36" s="8"/>
      <c r="G36" s="8">
        <v>1</v>
      </c>
      <c r="H36" s="8">
        <v>1</v>
      </c>
      <c r="I36" s="8">
        <v>1</v>
      </c>
      <c r="J36" s="8">
        <v>1</v>
      </c>
      <c r="K36" s="8"/>
      <c r="L36" s="8"/>
      <c r="M36" s="8"/>
      <c r="N36" s="8"/>
      <c r="O36" s="53" t="b">
        <f t="shared" si="1"/>
        <v>1</v>
      </c>
    </row>
    <row r="37" spans="2:15" ht="30.4" customHeight="1" thickBot="1" x14ac:dyDescent="0.3">
      <c r="C37" s="51" t="s">
        <v>317</v>
      </c>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60</v>
      </c>
      <c r="F40" s="52">
        <f t="shared" ref="F40:N40" si="2">SUM(F26:F39)</f>
        <v>15</v>
      </c>
      <c r="G40" s="52">
        <f t="shared" si="2"/>
        <v>15</v>
      </c>
      <c r="H40" s="52">
        <f t="shared" si="2"/>
        <v>6</v>
      </c>
      <c r="I40" s="52">
        <f t="shared" si="2"/>
        <v>12</v>
      </c>
      <c r="J40" s="52">
        <f t="shared" si="2"/>
        <v>9</v>
      </c>
      <c r="K40" s="52">
        <f t="shared" si="2"/>
        <v>3</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0.25</v>
      </c>
      <c r="G41" s="54">
        <f>ROUND(G40/E40,2)</f>
        <v>0.25</v>
      </c>
      <c r="H41" s="54">
        <f>ROUND(H40/E40,2)</f>
        <v>0.1</v>
      </c>
      <c r="I41" s="54">
        <f>ROUND(I40/E40,2)</f>
        <v>0.2</v>
      </c>
      <c r="J41" s="54">
        <f>ROUND(J40/E40,2)</f>
        <v>0.15</v>
      </c>
      <c r="K41" s="54">
        <f>ROUND(K40/E40,2)</f>
        <v>0.05</v>
      </c>
      <c r="L41" s="54">
        <f>ROUND(L40/E40,2)</f>
        <v>0</v>
      </c>
      <c r="M41" s="54">
        <f>ROUND(M40/E40,2)</f>
        <v>0</v>
      </c>
      <c r="N41" s="54">
        <f>ROUND(N40/E40,2)</f>
        <v>0</v>
      </c>
      <c r="O41" s="54">
        <f>SUM(F41:N41)</f>
        <v>1</v>
      </c>
    </row>
    <row r="42" spans="2:15" ht="55.9" customHeight="1" x14ac:dyDescent="0.25">
      <c r="C42" s="151" t="s">
        <v>322</v>
      </c>
      <c r="D42" s="151"/>
      <c r="E42" s="151"/>
      <c r="F42" s="7">
        <v>25</v>
      </c>
      <c r="G42" s="7">
        <v>25</v>
      </c>
      <c r="H42" s="7">
        <v>10</v>
      </c>
      <c r="I42" s="7">
        <v>20</v>
      </c>
      <c r="J42" s="7">
        <v>15</v>
      </c>
      <c r="K42" s="7">
        <v>5</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K3.1</v>
      </c>
      <c r="H46" s="59" t="str">
        <f>C14</f>
        <v>S2.1</v>
      </c>
      <c r="I46" s="59" t="str">
        <f>C15</f>
        <v>S7.1</v>
      </c>
      <c r="J46" s="59" t="str">
        <f>C16</f>
        <v>V2.1</v>
      </c>
      <c r="K46" s="59">
        <f>C17</f>
        <v>0</v>
      </c>
      <c r="L46" s="59">
        <f>C18</f>
        <v>0</v>
      </c>
      <c r="M46" s="59">
        <f>C19</f>
        <v>0</v>
      </c>
      <c r="N46" s="60" t="s">
        <v>327</v>
      </c>
    </row>
    <row r="47" spans="2:15" ht="55.15" customHeight="1" x14ac:dyDescent="0.25">
      <c r="C47" s="9" t="s">
        <v>328</v>
      </c>
      <c r="D47" s="10">
        <v>25</v>
      </c>
      <c r="E47" s="8">
        <v>10</v>
      </c>
      <c r="F47" s="8">
        <v>5</v>
      </c>
      <c r="G47" s="8">
        <v>5</v>
      </c>
      <c r="H47" s="8">
        <v>5</v>
      </c>
      <c r="I47" s="8"/>
      <c r="J47" s="8"/>
      <c r="K47" s="8"/>
      <c r="L47" s="8"/>
      <c r="M47" s="8"/>
      <c r="N47" s="55" t="b">
        <f t="shared" ref="N47:N54" si="3">IF(SUM(E47:M47)=D47,TRUE,"false")</f>
        <v>1</v>
      </c>
    </row>
    <row r="48" spans="2:15" ht="55.15" customHeight="1" x14ac:dyDescent="0.25">
      <c r="C48" s="9" t="s">
        <v>329</v>
      </c>
      <c r="D48" s="10">
        <v>5</v>
      </c>
      <c r="E48" s="11"/>
      <c r="F48" s="12"/>
      <c r="G48" s="12"/>
      <c r="H48" s="12">
        <v>5</v>
      </c>
      <c r="I48" s="12"/>
      <c r="J48" s="12"/>
      <c r="K48" s="12"/>
      <c r="L48" s="12"/>
      <c r="M48" s="12"/>
      <c r="N48" s="55" t="b">
        <f t="shared" si="3"/>
        <v>1</v>
      </c>
    </row>
    <row r="49" spans="3:14" ht="55.15" customHeight="1" x14ac:dyDescent="0.25">
      <c r="C49" s="9" t="s">
        <v>330</v>
      </c>
      <c r="D49" s="10"/>
      <c r="E49" s="11"/>
      <c r="F49" s="12"/>
      <c r="G49" s="12"/>
      <c r="H49" s="12"/>
      <c r="I49" s="12"/>
      <c r="J49" s="12"/>
      <c r="K49" s="12"/>
      <c r="L49" s="12"/>
      <c r="M49" s="12"/>
      <c r="N49" s="55" t="b">
        <f t="shared" si="3"/>
        <v>1</v>
      </c>
    </row>
    <row r="50" spans="3:14" ht="55.15" customHeight="1" x14ac:dyDescent="0.25">
      <c r="C50" s="9" t="s">
        <v>331</v>
      </c>
      <c r="D50" s="10"/>
      <c r="E50" s="11"/>
      <c r="F50" s="12"/>
      <c r="G50" s="12"/>
      <c r="H50" s="12"/>
      <c r="I50" s="12"/>
      <c r="J50" s="12"/>
      <c r="K50" s="12"/>
      <c r="L50" s="12"/>
      <c r="M50" s="12"/>
      <c r="N50" s="55" t="b">
        <f t="shared" si="3"/>
        <v>1</v>
      </c>
    </row>
    <row r="51" spans="3:14" ht="55.15" customHeight="1" x14ac:dyDescent="0.25">
      <c r="C51" s="9" t="s">
        <v>332</v>
      </c>
      <c r="D51" s="10"/>
      <c r="E51" s="11"/>
      <c r="F51" s="12"/>
      <c r="G51" s="12"/>
      <c r="H51" s="12"/>
      <c r="I51" s="12"/>
      <c r="J51" s="12"/>
      <c r="K51" s="12"/>
      <c r="L51" s="12"/>
      <c r="M51" s="12"/>
      <c r="N51" s="55" t="b">
        <f t="shared" si="3"/>
        <v>1</v>
      </c>
    </row>
    <row r="52" spans="3:14" ht="55.15" customHeight="1" x14ac:dyDescent="0.25">
      <c r="C52" s="9" t="s">
        <v>333</v>
      </c>
      <c r="D52" s="10">
        <v>20</v>
      </c>
      <c r="E52" s="11"/>
      <c r="F52" s="12"/>
      <c r="G52" s="12"/>
      <c r="H52" s="12"/>
      <c r="I52" s="12">
        <v>15</v>
      </c>
      <c r="J52" s="12">
        <v>5</v>
      </c>
      <c r="K52" s="12"/>
      <c r="L52" s="12"/>
      <c r="M52" s="12"/>
      <c r="N52" s="55" t="b">
        <f t="shared" si="3"/>
        <v>1</v>
      </c>
    </row>
    <row r="53" spans="3:14" ht="55.15" customHeight="1" x14ac:dyDescent="0.25">
      <c r="C53" s="9" t="s">
        <v>334</v>
      </c>
      <c r="D53" s="10">
        <v>50</v>
      </c>
      <c r="E53" s="11">
        <v>15</v>
      </c>
      <c r="F53" s="12">
        <v>20</v>
      </c>
      <c r="G53" s="12">
        <v>5</v>
      </c>
      <c r="H53" s="12">
        <v>10</v>
      </c>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25</v>
      </c>
      <c r="G56" s="65">
        <f t="shared" si="5"/>
        <v>10</v>
      </c>
      <c r="H56" s="65">
        <f t="shared" si="5"/>
        <v>20</v>
      </c>
      <c r="I56" s="65">
        <f t="shared" si="5"/>
        <v>15</v>
      </c>
      <c r="J56" s="65">
        <f t="shared" si="5"/>
        <v>5</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237" priority="11">
      <formula>LEN(TRIM(D47))=0</formula>
    </cfRule>
    <cfRule type="cellIs" dxfId="1236" priority="12" operator="equal">
      <formula>0</formula>
    </cfRule>
  </conditionalFormatting>
  <conditionalFormatting sqref="E50">
    <cfRule type="containsBlanks" dxfId="1235" priority="21">
      <formula>LEN(TRIM(E50))=0</formula>
    </cfRule>
    <cfRule type="cellIs" dxfId="1234" priority="22" operator="equal">
      <formula>0</formula>
    </cfRule>
  </conditionalFormatting>
  <conditionalFormatting sqref="E47:M51 E52">
    <cfRule type="containsBlanks" dxfId="1233" priority="17">
      <formula>LEN(TRIM(E47))=0</formula>
    </cfRule>
    <cfRule type="cellIs" dxfId="1232" priority="18" operator="equal">
      <formula>0</formula>
    </cfRule>
  </conditionalFormatting>
  <conditionalFormatting sqref="E53:M54">
    <cfRule type="containsBlanks" dxfId="1231" priority="15">
      <formula>LEN(TRIM(E53))=0</formula>
    </cfRule>
    <cfRule type="cellIs" dxfId="1230" priority="16" operator="equal">
      <formula>0</formula>
    </cfRule>
  </conditionalFormatting>
  <conditionalFormatting sqref="E55:M55">
    <cfRule type="containsText" dxfId="1229" priority="5" operator="containsText" text="false">
      <formula>NOT(ISERROR(SEARCH("false",E55)))</formula>
    </cfRule>
    <cfRule type="containsText" dxfId="1228" priority="6" operator="containsText" text="true">
      <formula>NOT(ISERROR(SEARCH("true",E55)))</formula>
    </cfRule>
  </conditionalFormatting>
  <conditionalFormatting sqref="E26:N39">
    <cfRule type="containsBlanks" dxfId="1227" priority="3">
      <formula>LEN(TRIM(E26))=0</formula>
    </cfRule>
    <cfRule type="cellIs" dxfId="1226" priority="4" operator="equal">
      <formula>0</formula>
    </cfRule>
  </conditionalFormatting>
  <conditionalFormatting sqref="F48:M48">
    <cfRule type="containsBlanks" dxfId="1225" priority="23">
      <formula>LEN(TRIM(F48))=0</formula>
    </cfRule>
    <cfRule type="cellIs" dxfId="1224" priority="24" operator="equal">
      <formula>0</formula>
    </cfRule>
  </conditionalFormatting>
  <conditionalFormatting sqref="F50:M52">
    <cfRule type="containsBlanks" dxfId="1223" priority="19">
      <formula>LEN(TRIM(F50))=0</formula>
    </cfRule>
    <cfRule type="cellIs" dxfId="1222" priority="20" operator="equal">
      <formula>0</formula>
    </cfRule>
  </conditionalFormatting>
  <conditionalFormatting sqref="N47:N54">
    <cfRule type="containsText" dxfId="1221" priority="7" operator="containsText" text="false">
      <formula>NOT(ISERROR(SEARCH("false",N47)))</formula>
    </cfRule>
    <cfRule type="containsText" dxfId="1220" priority="8" operator="containsText" text="true">
      <formula>NOT(ISERROR(SEARCH("true",N47)))</formula>
    </cfRule>
  </conditionalFormatting>
  <conditionalFormatting sqref="N55">
    <cfRule type="containsBlanks" dxfId="1219" priority="13">
      <formula>LEN(TRIM(N55))=0</formula>
    </cfRule>
    <cfRule type="cellIs" dxfId="1218" priority="14" operator="equal">
      <formula>0</formula>
    </cfRule>
  </conditionalFormatting>
  <conditionalFormatting sqref="O26:O40">
    <cfRule type="containsText" dxfId="1217" priority="9" operator="containsText" text="false">
      <formula>NOT(ISERROR(SEARCH("false",O26)))</formula>
    </cfRule>
    <cfRule type="containsText" dxfId="1216" priority="10" operator="containsText" text="true">
      <formula>NOT(ISERROR(SEARCH("true",O26)))</formula>
    </cfRule>
  </conditionalFormatting>
  <conditionalFormatting sqref="O42">
    <cfRule type="cellIs" dxfId="1215" priority="1" operator="notEqual">
      <formula>100</formula>
    </cfRule>
    <cfRule type="cellIs" dxfId="1214" priority="2"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'Name and Course code'!$B$2:$B$76</xm:f>
          </x14:formula1>
          <xm:sqref>I6</xm:sqref>
        </x14:dataValidation>
        <x14:dataValidation type="list" allowBlank="1" showInputMessage="1" showErrorMessage="1" xr:uid="{00000000-0002-0000-0300-000001000000}">
          <x14:formula1>
            <xm:f>'Name and Course code'!$A$2:$A$76</xm:f>
          </x14:formula1>
          <xm:sqref>K6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249977111117893"/>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26.5703125" style="19" customWidth="1"/>
    <col min="4" max="4" width="71" style="19" customWidth="1"/>
    <col min="5" max="5" width="34.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166</v>
      </c>
      <c r="J6" s="43" t="s">
        <v>278</v>
      </c>
      <c r="K6" s="1" t="s">
        <v>73</v>
      </c>
    </row>
    <row r="7" spans="2:26" ht="72.599999999999994" customHeight="1" thickBot="1" x14ac:dyDescent="0.3">
      <c r="B7" s="160"/>
      <c r="C7" s="161"/>
      <c r="D7" s="43" t="s">
        <v>279</v>
      </c>
      <c r="E7" s="1">
        <v>2</v>
      </c>
      <c r="F7" s="43" t="s">
        <v>280</v>
      </c>
      <c r="G7" s="1">
        <v>4</v>
      </c>
      <c r="H7" s="43" t="s">
        <v>281</v>
      </c>
      <c r="I7" s="1">
        <v>3</v>
      </c>
      <c r="J7" s="43" t="s">
        <v>283</v>
      </c>
      <c r="K7" s="1" t="s">
        <v>581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96.5" customHeight="1" x14ac:dyDescent="0.25">
      <c r="B11" s="36"/>
      <c r="C11" s="2" t="s">
        <v>297</v>
      </c>
      <c r="D11" s="78" t="s">
        <v>582</v>
      </c>
      <c r="E11" s="2" t="s">
        <v>7</v>
      </c>
      <c r="F11" s="3"/>
      <c r="G11" s="17"/>
      <c r="H11" s="17">
        <v>0.6</v>
      </c>
      <c r="I11" s="17">
        <v>1</v>
      </c>
      <c r="J11" s="80" t="s">
        <v>583</v>
      </c>
      <c r="K11" s="80" t="s">
        <v>1685</v>
      </c>
      <c r="U11" s="3">
        <f>F11</f>
        <v>0</v>
      </c>
      <c r="V11" s="2" t="str">
        <f>C11</f>
        <v>K1.1</v>
      </c>
      <c r="W11" s="2"/>
      <c r="X11" s="17"/>
      <c r="Y11" s="37"/>
      <c r="Z11" s="37"/>
    </row>
    <row r="12" spans="2:26" ht="189.75" customHeight="1" x14ac:dyDescent="0.25">
      <c r="B12" s="36"/>
      <c r="C12" s="5" t="s">
        <v>415</v>
      </c>
      <c r="D12" s="79" t="s">
        <v>584</v>
      </c>
      <c r="E12" s="5" t="s">
        <v>10</v>
      </c>
      <c r="F12" s="6"/>
      <c r="G12" s="4"/>
      <c r="H12" s="17">
        <v>0.6</v>
      </c>
      <c r="I12" s="17">
        <v>1</v>
      </c>
      <c r="J12" s="80" t="s">
        <v>585</v>
      </c>
      <c r="K12" s="80" t="s">
        <v>1685</v>
      </c>
      <c r="U12" s="6">
        <f>F12</f>
        <v>0</v>
      </c>
      <c r="V12" s="2" t="str">
        <f>C12</f>
        <v>K2.1</v>
      </c>
      <c r="W12" s="5"/>
      <c r="X12" s="4"/>
      <c r="Y12" s="38"/>
      <c r="Z12" s="38"/>
    </row>
    <row r="13" spans="2:26" ht="90.75" customHeight="1" x14ac:dyDescent="0.25">
      <c r="B13" s="36"/>
      <c r="C13" s="5" t="s">
        <v>586</v>
      </c>
      <c r="D13" s="79" t="s">
        <v>587</v>
      </c>
      <c r="E13" s="5" t="s">
        <v>27</v>
      </c>
      <c r="F13" s="6"/>
      <c r="G13" s="4"/>
      <c r="H13" s="17">
        <v>0.6</v>
      </c>
      <c r="I13" s="17">
        <v>1</v>
      </c>
      <c r="J13" s="81" t="s">
        <v>1686</v>
      </c>
      <c r="K13" s="81" t="s">
        <v>1684</v>
      </c>
      <c r="U13" s="6">
        <f>F13</f>
        <v>0</v>
      </c>
      <c r="V13" s="2" t="str">
        <f>C13</f>
        <v>S5.1</v>
      </c>
      <c r="W13" s="5"/>
      <c r="X13" s="4"/>
      <c r="Y13" s="38"/>
      <c r="Z13" s="38"/>
    </row>
    <row r="14" spans="2:26" ht="86.25" customHeight="1" x14ac:dyDescent="0.25">
      <c r="B14" s="36"/>
      <c r="C14" s="5" t="s">
        <v>445</v>
      </c>
      <c r="D14" s="79" t="s">
        <v>589</v>
      </c>
      <c r="E14" s="5" t="s">
        <v>31</v>
      </c>
      <c r="F14" s="6"/>
      <c r="G14" s="4"/>
      <c r="H14" s="17">
        <v>0.6</v>
      </c>
      <c r="I14" s="17">
        <v>1</v>
      </c>
      <c r="J14" s="81" t="s">
        <v>1687</v>
      </c>
      <c r="K14" s="81" t="s">
        <v>590</v>
      </c>
      <c r="U14" s="6">
        <f>F14</f>
        <v>0</v>
      </c>
      <c r="V14" s="2" t="str">
        <f>C14</f>
        <v>S7.1</v>
      </c>
      <c r="W14" s="5"/>
      <c r="X14" s="4"/>
      <c r="Y14" s="38"/>
      <c r="Z14" s="38"/>
    </row>
    <row r="15" spans="2:26" ht="58.9" customHeight="1" x14ac:dyDescent="0.25">
      <c r="B15" s="36"/>
      <c r="C15" s="5"/>
      <c r="D15" s="79"/>
      <c r="E15" s="5"/>
      <c r="F15" s="6"/>
      <c r="G15" s="4"/>
      <c r="H15" s="17"/>
      <c r="I15" s="17"/>
      <c r="J15" s="81"/>
      <c r="K15" s="81"/>
      <c r="U15" s="6">
        <f>F15</f>
        <v>0</v>
      </c>
      <c r="V15" s="2">
        <f>C15</f>
        <v>0</v>
      </c>
      <c r="W15" s="5"/>
      <c r="X15" s="4"/>
      <c r="Y15" s="38"/>
      <c r="Z15" s="38"/>
    </row>
    <row r="16" spans="2:26" ht="58.9" customHeight="1" x14ac:dyDescent="0.25">
      <c r="B16" s="36"/>
      <c r="C16" s="5"/>
      <c r="D16" s="24"/>
      <c r="E16" s="5"/>
      <c r="F16" s="6"/>
      <c r="G16" s="4"/>
      <c r="H16" s="4"/>
      <c r="I16" s="4"/>
      <c r="J16" s="82"/>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K2.1</v>
      </c>
      <c r="H25" s="49" t="str">
        <f>C13</f>
        <v>S5.1</v>
      </c>
      <c r="I25" s="49" t="str">
        <f>C14</f>
        <v>S7.1</v>
      </c>
      <c r="J25" s="49">
        <f>C15</f>
        <v>0</v>
      </c>
      <c r="K25" s="49">
        <f>C16</f>
        <v>0</v>
      </c>
      <c r="L25" s="49">
        <f>C17</f>
        <v>0</v>
      </c>
      <c r="M25" s="49">
        <f>C18</f>
        <v>0</v>
      </c>
      <c r="N25" s="49">
        <f>C19</f>
        <v>0</v>
      </c>
      <c r="O25" s="50" t="s">
        <v>305</v>
      </c>
    </row>
    <row r="26" spans="2:26" ht="39.75" customHeight="1" thickBot="1" x14ac:dyDescent="0.3">
      <c r="C26" s="51" t="s">
        <v>306</v>
      </c>
      <c r="D26" s="83" t="s">
        <v>591</v>
      </c>
      <c r="E26" s="8">
        <v>4</v>
      </c>
      <c r="F26" s="8">
        <v>1</v>
      </c>
      <c r="G26" s="8">
        <v>1</v>
      </c>
      <c r="H26" s="8">
        <v>1</v>
      </c>
      <c r="I26" s="8">
        <v>1</v>
      </c>
      <c r="J26" s="8"/>
      <c r="K26" s="8"/>
      <c r="L26" s="8"/>
      <c r="M26" s="8"/>
      <c r="N26" s="8"/>
      <c r="O26" s="53" t="b">
        <f t="shared" ref="O26:O40" si="0">IF(SUM(F26:N26)=E26,TRUE,"false")</f>
        <v>1</v>
      </c>
    </row>
    <row r="27" spans="2:26" ht="30.4" customHeight="1" thickBot="1" x14ac:dyDescent="0.3">
      <c r="C27" s="51" t="s">
        <v>307</v>
      </c>
      <c r="D27" s="83" t="s">
        <v>592</v>
      </c>
      <c r="E27" s="8">
        <v>6</v>
      </c>
      <c r="F27" s="8">
        <v>2</v>
      </c>
      <c r="G27" s="8">
        <v>2</v>
      </c>
      <c r="H27" s="8">
        <v>1</v>
      </c>
      <c r="I27" s="8">
        <v>1</v>
      </c>
      <c r="J27" s="8"/>
      <c r="K27" s="8"/>
      <c r="L27" s="8"/>
      <c r="M27" s="8"/>
      <c r="N27" s="8"/>
      <c r="O27" s="53" t="b">
        <f t="shared" si="0"/>
        <v>1</v>
      </c>
    </row>
    <row r="28" spans="2:26" ht="30.4" customHeight="1" thickBot="1" x14ac:dyDescent="0.3">
      <c r="C28" s="51" t="s">
        <v>308</v>
      </c>
      <c r="D28" s="83" t="s">
        <v>593</v>
      </c>
      <c r="E28" s="8">
        <v>4</v>
      </c>
      <c r="F28" s="8">
        <v>1</v>
      </c>
      <c r="G28" s="8">
        <v>2</v>
      </c>
      <c r="H28" s="8"/>
      <c r="I28" s="8">
        <v>1</v>
      </c>
      <c r="J28" s="8"/>
      <c r="K28" s="8"/>
      <c r="L28" s="8"/>
      <c r="M28" s="8"/>
      <c r="N28" s="8"/>
      <c r="O28" s="53" t="b">
        <f t="shared" si="0"/>
        <v>1</v>
      </c>
    </row>
    <row r="29" spans="2:26" ht="30.4" customHeight="1" thickBot="1" x14ac:dyDescent="0.3">
      <c r="C29" s="51" t="s">
        <v>309</v>
      </c>
      <c r="D29" s="83" t="s">
        <v>594</v>
      </c>
      <c r="E29" s="8">
        <v>4</v>
      </c>
      <c r="F29" s="8">
        <v>1</v>
      </c>
      <c r="G29" s="8">
        <v>1</v>
      </c>
      <c r="H29" s="8">
        <v>1</v>
      </c>
      <c r="I29" s="8">
        <v>1</v>
      </c>
      <c r="J29" s="8"/>
      <c r="K29" s="8"/>
      <c r="L29" s="8"/>
      <c r="M29" s="8"/>
      <c r="N29" s="8"/>
      <c r="O29" s="53" t="b">
        <f t="shared" si="0"/>
        <v>1</v>
      </c>
    </row>
    <row r="30" spans="2:26" ht="30.4" customHeight="1" thickBot="1" x14ac:dyDescent="0.3">
      <c r="C30" s="51" t="s">
        <v>310</v>
      </c>
      <c r="D30" s="83" t="s">
        <v>595</v>
      </c>
      <c r="E30" s="8">
        <v>4</v>
      </c>
      <c r="F30" s="8">
        <v>2</v>
      </c>
      <c r="G30" s="8">
        <v>1</v>
      </c>
      <c r="H30" s="8"/>
      <c r="I30" s="8">
        <v>1</v>
      </c>
      <c r="J30" s="8"/>
      <c r="K30" s="8"/>
      <c r="L30" s="8"/>
      <c r="M30" s="8"/>
      <c r="N30" s="8"/>
      <c r="O30" s="53" t="b">
        <f t="shared" si="0"/>
        <v>1</v>
      </c>
    </row>
    <row r="31" spans="2:26" ht="30.4" customHeight="1" thickBot="1" x14ac:dyDescent="0.3">
      <c r="C31" s="51" t="s">
        <v>311</v>
      </c>
      <c r="D31" s="83" t="s">
        <v>596</v>
      </c>
      <c r="E31" s="8">
        <v>4</v>
      </c>
      <c r="F31" s="8">
        <v>1</v>
      </c>
      <c r="G31" s="8">
        <v>1</v>
      </c>
      <c r="H31" s="8">
        <v>1</v>
      </c>
      <c r="I31" s="8">
        <v>1</v>
      </c>
      <c r="J31" s="8"/>
      <c r="K31" s="8"/>
      <c r="L31" s="8"/>
      <c r="M31" s="8"/>
      <c r="N31" s="8"/>
      <c r="O31" s="53" t="b">
        <f t="shared" si="0"/>
        <v>1</v>
      </c>
    </row>
    <row r="32" spans="2:26" ht="30.4" customHeight="1" thickBot="1" x14ac:dyDescent="0.3">
      <c r="C32" s="51" t="s">
        <v>312</v>
      </c>
      <c r="D32" s="83" t="s">
        <v>597</v>
      </c>
      <c r="E32" s="8">
        <v>4</v>
      </c>
      <c r="F32" s="8">
        <v>2</v>
      </c>
      <c r="G32" s="8">
        <v>1</v>
      </c>
      <c r="H32" s="8"/>
      <c r="I32" s="8">
        <v>1</v>
      </c>
      <c r="J32" s="8"/>
      <c r="K32" s="8"/>
      <c r="L32" s="8"/>
      <c r="M32" s="8"/>
      <c r="N32" s="8"/>
      <c r="O32" s="53" t="b">
        <f t="shared" si="0"/>
        <v>1</v>
      </c>
    </row>
    <row r="33" spans="2:15" ht="36" customHeight="1" thickBot="1" x14ac:dyDescent="0.3">
      <c r="C33" s="51" t="s">
        <v>313</v>
      </c>
      <c r="D33" s="83" t="s">
        <v>598</v>
      </c>
      <c r="E33" s="8">
        <v>6</v>
      </c>
      <c r="F33" s="8">
        <v>2</v>
      </c>
      <c r="G33" s="8">
        <v>2</v>
      </c>
      <c r="H33" s="8">
        <v>1</v>
      </c>
      <c r="I33" s="8">
        <v>1</v>
      </c>
      <c r="J33" s="8"/>
      <c r="K33" s="8"/>
      <c r="L33" s="8"/>
      <c r="M33" s="8"/>
      <c r="N33" s="8"/>
      <c r="O33" s="53" t="b">
        <f t="shared" si="0"/>
        <v>1</v>
      </c>
    </row>
    <row r="34" spans="2:15" ht="30.4" customHeight="1" thickBot="1" x14ac:dyDescent="0.3">
      <c r="C34" s="51" t="s">
        <v>314</v>
      </c>
      <c r="D34" s="83" t="s">
        <v>599</v>
      </c>
      <c r="E34" s="8">
        <v>4</v>
      </c>
      <c r="F34" s="8">
        <v>2</v>
      </c>
      <c r="G34" s="8">
        <v>1</v>
      </c>
      <c r="H34" s="8"/>
      <c r="I34" s="8">
        <v>1</v>
      </c>
      <c r="J34" s="8"/>
      <c r="K34" s="8"/>
      <c r="L34" s="8"/>
      <c r="M34" s="8"/>
      <c r="N34" s="8"/>
      <c r="O34" s="53" t="b">
        <f t="shared" si="0"/>
        <v>1</v>
      </c>
    </row>
    <row r="35" spans="2:15" ht="30.4" customHeight="1" thickBot="1" x14ac:dyDescent="0.3">
      <c r="C35" s="51" t="s">
        <v>315</v>
      </c>
      <c r="D35" s="83" t="s">
        <v>600</v>
      </c>
      <c r="E35" s="8">
        <v>4</v>
      </c>
      <c r="F35" s="8">
        <v>1</v>
      </c>
      <c r="G35" s="8">
        <v>2</v>
      </c>
      <c r="H35" s="8"/>
      <c r="I35" s="8">
        <v>1</v>
      </c>
      <c r="J35" s="8"/>
      <c r="K35" s="8"/>
      <c r="L35" s="8"/>
      <c r="M35" s="8"/>
      <c r="N35" s="8"/>
      <c r="O35" s="53" t="b">
        <f t="shared" si="0"/>
        <v>1</v>
      </c>
    </row>
    <row r="36" spans="2:15" ht="30.4" customHeight="1" thickBot="1" x14ac:dyDescent="0.3">
      <c r="C36" s="51" t="s">
        <v>316</v>
      </c>
      <c r="D36" s="83" t="s">
        <v>601</v>
      </c>
      <c r="E36" s="8">
        <v>4</v>
      </c>
      <c r="F36" s="8">
        <v>2</v>
      </c>
      <c r="G36" s="8">
        <v>1</v>
      </c>
      <c r="H36" s="8"/>
      <c r="I36" s="8">
        <v>1</v>
      </c>
      <c r="J36" s="8"/>
      <c r="K36" s="8"/>
      <c r="L36" s="8"/>
      <c r="M36" s="8"/>
      <c r="N36" s="8"/>
      <c r="O36" s="53" t="b">
        <f t="shared" si="0"/>
        <v>1</v>
      </c>
    </row>
    <row r="37" spans="2:15" ht="30.4" customHeight="1" thickBot="1" x14ac:dyDescent="0.3">
      <c r="C37" s="51" t="s">
        <v>317</v>
      </c>
      <c r="D37" s="83" t="s">
        <v>602</v>
      </c>
      <c r="E37" s="8">
        <v>4</v>
      </c>
      <c r="F37" s="8">
        <v>1</v>
      </c>
      <c r="G37" s="8">
        <v>2</v>
      </c>
      <c r="H37" s="8"/>
      <c r="I37" s="8">
        <v>1</v>
      </c>
      <c r="J37" s="8"/>
      <c r="K37" s="8"/>
      <c r="L37" s="8"/>
      <c r="M37" s="8"/>
      <c r="N37" s="8"/>
      <c r="O37" s="53" t="b">
        <f t="shared" si="0"/>
        <v>1</v>
      </c>
    </row>
    <row r="38" spans="2:15" ht="30.4" customHeight="1" thickBot="1" x14ac:dyDescent="0.3">
      <c r="C38" s="51" t="s">
        <v>318</v>
      </c>
      <c r="D38" s="83" t="s">
        <v>603</v>
      </c>
      <c r="E38" s="8">
        <v>4</v>
      </c>
      <c r="F38" s="8">
        <v>2</v>
      </c>
      <c r="G38" s="8">
        <v>1</v>
      </c>
      <c r="H38" s="8"/>
      <c r="I38" s="8">
        <v>1</v>
      </c>
      <c r="J38" s="8"/>
      <c r="K38" s="8"/>
      <c r="L38" s="8"/>
      <c r="M38" s="8"/>
      <c r="N38" s="8"/>
      <c r="O38" s="53" t="b">
        <f t="shared" si="0"/>
        <v>1</v>
      </c>
    </row>
    <row r="39" spans="2:15" ht="30.4" customHeight="1" x14ac:dyDescent="0.25">
      <c r="C39" s="51" t="s">
        <v>319</v>
      </c>
      <c r="D39" s="88" t="s">
        <v>604</v>
      </c>
      <c r="E39" s="8">
        <v>4</v>
      </c>
      <c r="F39" s="8">
        <v>1</v>
      </c>
      <c r="G39" s="8">
        <v>2</v>
      </c>
      <c r="H39" s="8"/>
      <c r="I39" s="8">
        <v>1</v>
      </c>
      <c r="J39" s="8"/>
      <c r="K39" s="8"/>
      <c r="L39" s="8"/>
      <c r="M39" s="8"/>
      <c r="N39" s="8"/>
      <c r="O39" s="53" t="b">
        <f t="shared" si="0"/>
        <v>1</v>
      </c>
    </row>
    <row r="40" spans="2:15" s="20" customFormat="1" ht="78" customHeight="1" x14ac:dyDescent="0.25">
      <c r="C40" s="170" t="s">
        <v>320</v>
      </c>
      <c r="D40" s="170"/>
      <c r="E40" s="52">
        <f t="shared" ref="E40:N40" si="1">SUM(E26:E39)</f>
        <v>60</v>
      </c>
      <c r="F40" s="52">
        <f t="shared" si="1"/>
        <v>21</v>
      </c>
      <c r="G40" s="52">
        <f t="shared" si="1"/>
        <v>20</v>
      </c>
      <c r="H40" s="52">
        <f t="shared" si="1"/>
        <v>5</v>
      </c>
      <c r="I40" s="52">
        <f t="shared" si="1"/>
        <v>14</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0.35</v>
      </c>
      <c r="G41" s="54">
        <f>ROUND(G40/E40,2)</f>
        <v>0.33</v>
      </c>
      <c r="H41" s="54">
        <f>ROUND(H40/E40,2)</f>
        <v>0.08</v>
      </c>
      <c r="I41" s="54">
        <f>ROUND(I40/E40,2)</f>
        <v>0.23</v>
      </c>
      <c r="J41" s="54">
        <f>ROUND(J40/E40,2)</f>
        <v>0</v>
      </c>
      <c r="K41" s="54">
        <f>ROUND(K40/E40,2)</f>
        <v>0</v>
      </c>
      <c r="L41" s="54">
        <f>ROUND(L40/E40,2)</f>
        <v>0</v>
      </c>
      <c r="M41" s="54">
        <f>ROUND(M40/E40,2)</f>
        <v>0</v>
      </c>
      <c r="N41" s="54">
        <f>ROUND(N40/E40,2)</f>
        <v>0</v>
      </c>
      <c r="O41" s="54">
        <f>SUM(F41:N41)</f>
        <v>0.98999999999999988</v>
      </c>
    </row>
    <row r="42" spans="2:15" ht="55.9" customHeight="1" x14ac:dyDescent="0.25">
      <c r="C42" s="151" t="s">
        <v>322</v>
      </c>
      <c r="D42" s="151"/>
      <c r="E42" s="151"/>
      <c r="F42" s="7">
        <v>40</v>
      </c>
      <c r="G42" s="7">
        <v>30</v>
      </c>
      <c r="H42" s="7">
        <v>10</v>
      </c>
      <c r="I42" s="7">
        <v>20</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K2.1</v>
      </c>
      <c r="G46" s="59" t="str">
        <f>C13</f>
        <v>S5.1</v>
      </c>
      <c r="H46" s="59" t="str">
        <f>C14</f>
        <v>S7.1</v>
      </c>
      <c r="I46" s="59">
        <f>C15</f>
        <v>0</v>
      </c>
      <c r="J46" s="59">
        <f>C16</f>
        <v>0</v>
      </c>
      <c r="K46" s="59">
        <f>C17</f>
        <v>0</v>
      </c>
      <c r="L46" s="59">
        <f>C18</f>
        <v>0</v>
      </c>
      <c r="M46" s="59">
        <f>C19</f>
        <v>0</v>
      </c>
      <c r="N46" s="60" t="s">
        <v>327</v>
      </c>
    </row>
    <row r="47" spans="2:15" ht="55.15" customHeight="1" x14ac:dyDescent="0.25">
      <c r="C47" s="9" t="s">
        <v>328</v>
      </c>
      <c r="D47" s="10">
        <v>25</v>
      </c>
      <c r="E47" s="8">
        <v>15</v>
      </c>
      <c r="F47" s="8">
        <v>10</v>
      </c>
      <c r="G47" s="8"/>
      <c r="H47" s="8"/>
      <c r="I47" s="8"/>
      <c r="J47" s="8"/>
      <c r="K47" s="8"/>
      <c r="L47" s="8"/>
      <c r="M47" s="8"/>
      <c r="N47" s="55" t="b">
        <f t="shared" ref="N47:N54" si="2">IF(SUM(E47:M47)=D47,TRUE,"false")</f>
        <v>1</v>
      </c>
    </row>
    <row r="48" spans="2:15" ht="55.15" customHeight="1" x14ac:dyDescent="0.25">
      <c r="C48" s="9" t="s">
        <v>329</v>
      </c>
      <c r="D48" s="10"/>
      <c r="E48" s="11"/>
      <c r="F48" s="12"/>
      <c r="G48" s="12"/>
      <c r="H48" s="12"/>
      <c r="I48" s="12"/>
      <c r="J48" s="12"/>
      <c r="K48" s="12"/>
      <c r="L48" s="12"/>
      <c r="M48" s="12"/>
      <c r="N48" s="55" t="b">
        <f t="shared" si="2"/>
        <v>1</v>
      </c>
    </row>
    <row r="49" spans="3:14" ht="55.15" customHeight="1" x14ac:dyDescent="0.25">
      <c r="C49" s="9" t="s">
        <v>330</v>
      </c>
      <c r="D49" s="10"/>
      <c r="E49" s="11"/>
      <c r="F49" s="12"/>
      <c r="G49" s="12"/>
      <c r="H49" s="12"/>
      <c r="I49" s="12"/>
      <c r="J49" s="12"/>
      <c r="K49" s="12"/>
      <c r="L49" s="12"/>
      <c r="M49" s="12"/>
      <c r="N49" s="55" t="b">
        <f t="shared" si="2"/>
        <v>1</v>
      </c>
    </row>
    <row r="50" spans="3:14" ht="55.15" customHeight="1" x14ac:dyDescent="0.25">
      <c r="C50" s="9" t="s">
        <v>331</v>
      </c>
      <c r="D50" s="10">
        <v>5</v>
      </c>
      <c r="E50" s="11"/>
      <c r="F50" s="12"/>
      <c r="G50" s="12">
        <v>5</v>
      </c>
      <c r="H50" s="12"/>
      <c r="I50" s="12"/>
      <c r="J50" s="12"/>
      <c r="K50" s="12"/>
      <c r="L50" s="12"/>
      <c r="M50" s="12"/>
      <c r="N50" s="55" t="b">
        <f t="shared" si="2"/>
        <v>1</v>
      </c>
    </row>
    <row r="51" spans="3:14" ht="55.15" customHeight="1" x14ac:dyDescent="0.25">
      <c r="C51" s="9" t="s">
        <v>332</v>
      </c>
      <c r="D51" s="10"/>
      <c r="E51" s="11"/>
      <c r="F51" s="12"/>
      <c r="G51" s="12"/>
      <c r="H51" s="12"/>
      <c r="I51" s="12"/>
      <c r="J51" s="12"/>
      <c r="K51" s="12"/>
      <c r="L51" s="12"/>
      <c r="M51" s="12"/>
      <c r="N51" s="55" t="b">
        <f t="shared" si="2"/>
        <v>1</v>
      </c>
    </row>
    <row r="52" spans="3:14" ht="55.15" customHeight="1" x14ac:dyDescent="0.25">
      <c r="C52" s="9" t="s">
        <v>605</v>
      </c>
      <c r="D52" s="10">
        <v>20</v>
      </c>
      <c r="E52" s="11"/>
      <c r="F52" s="12"/>
      <c r="G52" s="12"/>
      <c r="H52" s="12">
        <v>20</v>
      </c>
      <c r="I52" s="12"/>
      <c r="J52" s="12"/>
      <c r="K52" s="12"/>
      <c r="L52" s="12"/>
      <c r="M52" s="12"/>
      <c r="N52" s="55" t="b">
        <f t="shared" si="2"/>
        <v>1</v>
      </c>
    </row>
    <row r="53" spans="3:14" ht="55.15" customHeight="1" x14ac:dyDescent="0.25">
      <c r="C53" s="9" t="s">
        <v>504</v>
      </c>
      <c r="D53" s="10">
        <v>50</v>
      </c>
      <c r="E53" s="11">
        <v>25</v>
      </c>
      <c r="F53" s="12">
        <v>20</v>
      </c>
      <c r="G53" s="12">
        <v>5</v>
      </c>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40</v>
      </c>
      <c r="F56" s="65">
        <f t="shared" si="4"/>
        <v>30</v>
      </c>
      <c r="G56" s="65">
        <f t="shared" si="4"/>
        <v>10</v>
      </c>
      <c r="H56" s="65">
        <f t="shared" si="4"/>
        <v>20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B6:C7"/>
    <mergeCell ref="C10:D10"/>
    <mergeCell ref="C40:D40"/>
    <mergeCell ref="C41:E41"/>
    <mergeCell ref="C42:E42"/>
    <mergeCell ref="E44:M44"/>
    <mergeCell ref="E45:M45"/>
    <mergeCell ref="F24:N24"/>
    <mergeCell ref="H9:J9"/>
    <mergeCell ref="D2:J5"/>
  </mergeCells>
  <conditionalFormatting sqref="D47:D54">
    <cfRule type="containsBlanks" dxfId="1213" priority="11">
      <formula>LEN(TRIM(D47))=0</formula>
    </cfRule>
    <cfRule type="cellIs" dxfId="1212" priority="12" operator="equal">
      <formula>0</formula>
    </cfRule>
  </conditionalFormatting>
  <conditionalFormatting sqref="E50">
    <cfRule type="containsBlanks" dxfId="1211" priority="21">
      <formula>LEN(TRIM(E50))=0</formula>
    </cfRule>
    <cfRule type="cellIs" dxfId="1210" priority="22" operator="equal">
      <formula>0</formula>
    </cfRule>
  </conditionalFormatting>
  <conditionalFormatting sqref="E47:M51 E52">
    <cfRule type="containsBlanks" dxfId="1209" priority="17">
      <formula>LEN(TRIM(E47))=0</formula>
    </cfRule>
    <cfRule type="cellIs" dxfId="1208" priority="18" operator="equal">
      <formula>0</formula>
    </cfRule>
  </conditionalFormatting>
  <conditionalFormatting sqref="E53:M54">
    <cfRule type="containsBlanks" dxfId="1207" priority="15">
      <formula>LEN(TRIM(E53))=0</formula>
    </cfRule>
    <cfRule type="cellIs" dxfId="1206" priority="16" operator="equal">
      <formula>0</formula>
    </cfRule>
  </conditionalFormatting>
  <conditionalFormatting sqref="E55:M55">
    <cfRule type="containsText" dxfId="1205" priority="5" operator="containsText" text="false">
      <formula>NOT(ISERROR(SEARCH("false",E55)))</formula>
    </cfRule>
    <cfRule type="containsText" dxfId="1204" priority="6" operator="containsText" text="true">
      <formula>NOT(ISERROR(SEARCH("true",E55)))</formula>
    </cfRule>
  </conditionalFormatting>
  <conditionalFormatting sqref="E26:N39">
    <cfRule type="containsBlanks" dxfId="1203" priority="3">
      <formula>LEN(TRIM(E26))=0</formula>
    </cfRule>
    <cfRule type="cellIs" dxfId="1202" priority="4" operator="equal">
      <formula>0</formula>
    </cfRule>
  </conditionalFormatting>
  <conditionalFormatting sqref="F48:M48">
    <cfRule type="containsBlanks" dxfId="1201" priority="23">
      <formula>LEN(TRIM(F48))=0</formula>
    </cfRule>
    <cfRule type="cellIs" dxfId="1200" priority="24" operator="equal">
      <formula>0</formula>
    </cfRule>
  </conditionalFormatting>
  <conditionalFormatting sqref="F50:M52">
    <cfRule type="containsBlanks" dxfId="1199" priority="19">
      <formula>LEN(TRIM(F50))=0</formula>
    </cfRule>
    <cfRule type="cellIs" dxfId="1198" priority="20" operator="equal">
      <formula>0</formula>
    </cfRule>
  </conditionalFormatting>
  <conditionalFormatting sqref="N47:N54">
    <cfRule type="containsText" dxfId="1197" priority="7" operator="containsText" text="false">
      <formula>NOT(ISERROR(SEARCH("false",N47)))</formula>
    </cfRule>
    <cfRule type="containsText" dxfId="1196" priority="8" operator="containsText" text="true">
      <formula>NOT(ISERROR(SEARCH("true",N47)))</formula>
    </cfRule>
  </conditionalFormatting>
  <conditionalFormatting sqref="N55">
    <cfRule type="containsBlanks" dxfId="1195" priority="13">
      <formula>LEN(TRIM(N55))=0</formula>
    </cfRule>
    <cfRule type="cellIs" dxfId="1194" priority="14" operator="equal">
      <formula>0</formula>
    </cfRule>
  </conditionalFormatting>
  <conditionalFormatting sqref="O26:O40">
    <cfRule type="containsText" dxfId="1193" priority="9" operator="containsText" text="false">
      <formula>NOT(ISERROR(SEARCH("false",O26)))</formula>
    </cfRule>
    <cfRule type="containsText" dxfId="1192" priority="10" operator="containsText" text="true">
      <formula>NOT(ISERROR(SEARCH("true",O26)))</formula>
    </cfRule>
  </conditionalFormatting>
  <conditionalFormatting sqref="O42">
    <cfRule type="cellIs" dxfId="1191" priority="1" operator="notEqual">
      <formula>100</formula>
    </cfRule>
    <cfRule type="cellIs" dxfId="1190" priority="2" operator="equal">
      <formula>100</formula>
    </cfRule>
  </conditionalFormatting>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249977111117893"/>
  </sheetPr>
  <dimension ref="B2:AB57"/>
  <sheetViews>
    <sheetView zoomScale="50" zoomScaleNormal="50" workbookViewId="0">
      <selection activeCell="J18" sqref="J1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168</v>
      </c>
      <c r="J6" s="43" t="s">
        <v>278</v>
      </c>
      <c r="K6" s="1" t="s">
        <v>167</v>
      </c>
    </row>
    <row r="7" spans="2:26" ht="60" customHeight="1" thickBot="1" x14ac:dyDescent="0.3">
      <c r="B7" s="160"/>
      <c r="C7" s="161"/>
      <c r="D7" s="43" t="s">
        <v>279</v>
      </c>
      <c r="E7" s="1">
        <v>2</v>
      </c>
      <c r="F7" s="43" t="s">
        <v>280</v>
      </c>
      <c r="G7" s="1">
        <v>4</v>
      </c>
      <c r="H7" s="43" t="s">
        <v>281</v>
      </c>
      <c r="I7" s="1">
        <v>2</v>
      </c>
      <c r="J7" s="43" t="s">
        <v>283</v>
      </c>
      <c r="K7" s="1" t="s">
        <v>1695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76.900000000000006" customHeight="1" x14ac:dyDescent="0.25">
      <c r="B11" s="36"/>
      <c r="C11" s="5" t="s">
        <v>415</v>
      </c>
      <c r="D11" s="81" t="s">
        <v>1754</v>
      </c>
      <c r="E11" s="2" t="s">
        <v>10</v>
      </c>
      <c r="F11" s="3"/>
      <c r="G11" s="17"/>
      <c r="H11" s="17">
        <v>0.6</v>
      </c>
      <c r="I11" s="17">
        <v>1</v>
      </c>
      <c r="J11" s="80" t="s">
        <v>606</v>
      </c>
      <c r="K11" s="80" t="s">
        <v>1692</v>
      </c>
      <c r="U11" s="3">
        <f>F11</f>
        <v>0</v>
      </c>
      <c r="V11" s="2" t="str">
        <f>C11</f>
        <v>K2.1</v>
      </c>
      <c r="W11" s="2"/>
      <c r="X11" s="17"/>
      <c r="Y11" s="37"/>
      <c r="Z11" s="37"/>
    </row>
    <row r="12" spans="2:26" ht="74.45" customHeight="1" x14ac:dyDescent="0.25">
      <c r="B12" s="36"/>
      <c r="C12" s="5" t="s">
        <v>507</v>
      </c>
      <c r="D12" s="81" t="s">
        <v>1755</v>
      </c>
      <c r="E12" s="5" t="s">
        <v>10</v>
      </c>
      <c r="F12" s="6"/>
      <c r="G12" s="4"/>
      <c r="H12" s="17">
        <v>0.6</v>
      </c>
      <c r="I12" s="17">
        <v>1</v>
      </c>
      <c r="J12" s="80" t="s">
        <v>606</v>
      </c>
      <c r="K12" s="80" t="s">
        <v>1693</v>
      </c>
      <c r="U12" s="6">
        <f t="shared" ref="U12:U19" si="0">F12</f>
        <v>0</v>
      </c>
      <c r="V12" s="2" t="str">
        <f>C12</f>
        <v>K2.2</v>
      </c>
      <c r="W12" s="5"/>
      <c r="X12" s="4"/>
      <c r="Y12" s="38"/>
      <c r="Z12" s="38"/>
    </row>
    <row r="13" spans="2:26" ht="84.6" customHeight="1" x14ac:dyDescent="0.25">
      <c r="B13" s="36"/>
      <c r="C13" s="5" t="s">
        <v>508</v>
      </c>
      <c r="D13" s="81" t="s">
        <v>1756</v>
      </c>
      <c r="E13" s="5" t="s">
        <v>10</v>
      </c>
      <c r="F13" s="6"/>
      <c r="G13" s="4"/>
      <c r="H13" s="17">
        <v>0.6</v>
      </c>
      <c r="I13" s="17">
        <v>1</v>
      </c>
      <c r="J13" s="80" t="s">
        <v>606</v>
      </c>
      <c r="K13" s="80" t="s">
        <v>1759</v>
      </c>
      <c r="U13" s="6">
        <f t="shared" si="0"/>
        <v>0</v>
      </c>
      <c r="V13" s="2" t="str">
        <f>C13</f>
        <v>K2.3</v>
      </c>
      <c r="W13" s="5"/>
      <c r="X13" s="4"/>
      <c r="Y13" s="38"/>
      <c r="Z13" s="38"/>
    </row>
    <row r="14" spans="2:26" ht="87.6" customHeight="1" x14ac:dyDescent="0.25">
      <c r="B14" s="36"/>
      <c r="C14" s="5" t="s">
        <v>342</v>
      </c>
      <c r="D14" s="81" t="s">
        <v>1757</v>
      </c>
      <c r="E14" s="5" t="s">
        <v>22</v>
      </c>
      <c r="F14" s="6"/>
      <c r="G14" s="4"/>
      <c r="H14" s="17">
        <v>0.6</v>
      </c>
      <c r="I14" s="17">
        <v>1</v>
      </c>
      <c r="J14" s="81" t="s">
        <v>509</v>
      </c>
      <c r="K14" s="81" t="s">
        <v>1694</v>
      </c>
      <c r="U14" s="6">
        <f t="shared" si="0"/>
        <v>0</v>
      </c>
      <c r="V14" s="2" t="str">
        <f>C14</f>
        <v>S2.1</v>
      </c>
      <c r="W14" s="5"/>
      <c r="X14" s="4"/>
      <c r="Y14" s="38"/>
      <c r="Z14" s="38"/>
    </row>
    <row r="15" spans="2:26" ht="58.9" customHeight="1" x14ac:dyDescent="0.25">
      <c r="B15" s="36"/>
      <c r="C15" s="5" t="s">
        <v>395</v>
      </c>
      <c r="D15" s="81" t="s">
        <v>1758</v>
      </c>
      <c r="E15" s="5" t="s">
        <v>24</v>
      </c>
      <c r="F15" s="6"/>
      <c r="G15" s="4"/>
      <c r="H15" s="17">
        <v>0.6</v>
      </c>
      <c r="I15" s="17">
        <v>1</v>
      </c>
      <c r="J15" s="81" t="s">
        <v>509</v>
      </c>
      <c r="K15" s="81" t="s">
        <v>1395</v>
      </c>
      <c r="U15" s="6">
        <f t="shared" si="0"/>
        <v>0</v>
      </c>
      <c r="V15" s="2" t="str">
        <f>C15</f>
        <v>S3.1</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K2.3</v>
      </c>
      <c r="I25" s="49" t="str">
        <f>C14</f>
        <v>S2.1</v>
      </c>
      <c r="J25" s="49" t="str">
        <f>C15</f>
        <v>S3.1</v>
      </c>
      <c r="K25" s="49">
        <f>C16</f>
        <v>0</v>
      </c>
      <c r="L25" s="49">
        <f>C17</f>
        <v>0</v>
      </c>
      <c r="M25" s="49">
        <f>C18</f>
        <v>0</v>
      </c>
      <c r="N25" s="49">
        <f>C19</f>
        <v>0</v>
      </c>
      <c r="O25" s="50" t="s">
        <v>305</v>
      </c>
    </row>
    <row r="26" spans="2:26" ht="30.4" customHeight="1" thickBot="1" x14ac:dyDescent="0.3">
      <c r="C26" s="51" t="s">
        <v>306</v>
      </c>
      <c r="D26" s="81" t="s">
        <v>1707</v>
      </c>
      <c r="E26" s="8">
        <v>6</v>
      </c>
      <c r="F26" s="8">
        <v>3</v>
      </c>
      <c r="G26" s="8"/>
      <c r="H26" s="8">
        <v>1</v>
      </c>
      <c r="I26" s="8">
        <v>1</v>
      </c>
      <c r="J26" s="8">
        <v>1</v>
      </c>
      <c r="K26" s="8"/>
      <c r="L26" s="8"/>
      <c r="M26" s="8"/>
      <c r="N26" s="8"/>
      <c r="O26" s="53" t="b">
        <f>IF(SUM(F26:N26)=E26,TRUE,"false")</f>
        <v>1</v>
      </c>
    </row>
    <row r="27" spans="2:26" ht="30.4" customHeight="1" thickBot="1" x14ac:dyDescent="0.3">
      <c r="C27" s="51" t="s">
        <v>307</v>
      </c>
      <c r="D27" s="81" t="s">
        <v>1708</v>
      </c>
      <c r="E27" s="8">
        <v>6</v>
      </c>
      <c r="F27" s="8"/>
      <c r="G27" s="8">
        <v>3</v>
      </c>
      <c r="H27" s="8">
        <v>1</v>
      </c>
      <c r="I27" s="8">
        <v>1</v>
      </c>
      <c r="J27" s="8">
        <v>1</v>
      </c>
      <c r="K27" s="8"/>
      <c r="L27" s="8"/>
      <c r="M27" s="8"/>
      <c r="N27" s="8"/>
      <c r="O27" s="53" t="b">
        <f t="shared" ref="O27:O40" si="1">IF(SUM(F27:N27)=E27,TRUE,"false")</f>
        <v>1</v>
      </c>
    </row>
    <row r="28" spans="2:26" ht="30.4" customHeight="1" thickBot="1" x14ac:dyDescent="0.3">
      <c r="C28" s="51" t="s">
        <v>308</v>
      </c>
      <c r="D28" s="81" t="s">
        <v>1709</v>
      </c>
      <c r="E28" s="8">
        <v>14</v>
      </c>
      <c r="F28" s="8">
        <v>4</v>
      </c>
      <c r="G28" s="8">
        <v>7</v>
      </c>
      <c r="H28" s="8">
        <v>1</v>
      </c>
      <c r="I28" s="8">
        <v>1</v>
      </c>
      <c r="J28" s="8">
        <v>1</v>
      </c>
      <c r="K28" s="8"/>
      <c r="L28" s="8"/>
      <c r="M28" s="8"/>
      <c r="N28" s="8"/>
      <c r="O28" s="53" t="b">
        <f t="shared" si="1"/>
        <v>1</v>
      </c>
    </row>
    <row r="29" spans="2:26" ht="30.4" customHeight="1" thickBot="1" x14ac:dyDescent="0.3">
      <c r="C29" s="51" t="s">
        <v>309</v>
      </c>
      <c r="D29" s="81" t="s">
        <v>1710</v>
      </c>
      <c r="E29" s="8">
        <v>4</v>
      </c>
      <c r="F29" s="8">
        <v>2</v>
      </c>
      <c r="G29" s="8"/>
      <c r="H29" s="8">
        <v>1</v>
      </c>
      <c r="I29" s="8">
        <v>1</v>
      </c>
      <c r="J29" s="8"/>
      <c r="K29" s="8"/>
      <c r="L29" s="8"/>
      <c r="M29" s="8"/>
      <c r="N29" s="8"/>
      <c r="O29" s="53" t="b">
        <f t="shared" si="1"/>
        <v>1</v>
      </c>
    </row>
    <row r="30" spans="2:26" ht="30.4" customHeight="1" thickBot="1" x14ac:dyDescent="0.3">
      <c r="C30" s="51" t="s">
        <v>310</v>
      </c>
      <c r="D30" s="25"/>
      <c r="E30" s="8"/>
      <c r="F30" s="8"/>
      <c r="G30" s="8"/>
      <c r="H30" s="8"/>
      <c r="I30" s="8"/>
      <c r="J30" s="8"/>
      <c r="K30" s="8"/>
      <c r="L30" s="8"/>
      <c r="M30" s="8"/>
      <c r="N30" s="8"/>
      <c r="O30" s="53" t="b">
        <f t="shared" si="1"/>
        <v>1</v>
      </c>
    </row>
    <row r="31" spans="2:26" ht="30.4" customHeight="1" thickBot="1" x14ac:dyDescent="0.3">
      <c r="C31" s="51" t="s">
        <v>311</v>
      </c>
      <c r="D31" s="25"/>
      <c r="E31" s="8"/>
      <c r="F31" s="8"/>
      <c r="G31" s="8"/>
      <c r="H31" s="8"/>
      <c r="I31" s="8"/>
      <c r="J31" s="8"/>
      <c r="K31" s="8"/>
      <c r="L31" s="8"/>
      <c r="M31" s="8"/>
      <c r="N31" s="8"/>
      <c r="O31" s="53" t="b">
        <f t="shared" si="1"/>
        <v>1</v>
      </c>
    </row>
    <row r="32" spans="2:26" ht="30.4" customHeight="1" thickBot="1" x14ac:dyDescent="0.3">
      <c r="C32" s="51" t="s">
        <v>312</v>
      </c>
      <c r="D32" s="25"/>
      <c r="E32" s="8"/>
      <c r="F32" s="8"/>
      <c r="G32" s="8"/>
      <c r="H32" s="8"/>
      <c r="I32" s="8"/>
      <c r="J32" s="8"/>
      <c r="K32" s="8"/>
      <c r="L32" s="8"/>
      <c r="M32" s="8"/>
      <c r="N32" s="8"/>
      <c r="O32" s="53" t="b">
        <f t="shared" si="1"/>
        <v>1</v>
      </c>
    </row>
    <row r="33" spans="2:15" ht="30.4" customHeight="1" thickBot="1" x14ac:dyDescent="0.3">
      <c r="C33" s="51" t="s">
        <v>313</v>
      </c>
      <c r="D33" s="25"/>
      <c r="E33" s="8"/>
      <c r="F33" s="8"/>
      <c r="G33" s="8"/>
      <c r="H33" s="8"/>
      <c r="I33" s="8"/>
      <c r="J33" s="8"/>
      <c r="K33" s="8"/>
      <c r="L33" s="8"/>
      <c r="M33" s="8"/>
      <c r="N33" s="8"/>
      <c r="O33" s="53" t="b">
        <f t="shared" si="1"/>
        <v>1</v>
      </c>
    </row>
    <row r="34" spans="2:15" ht="30.4" customHeight="1" thickBot="1" x14ac:dyDescent="0.3">
      <c r="C34" s="51" t="s">
        <v>314</v>
      </c>
      <c r="D34" s="25"/>
      <c r="E34" s="8"/>
      <c r="F34" s="8"/>
      <c r="G34" s="8"/>
      <c r="H34" s="8"/>
      <c r="I34" s="8"/>
      <c r="J34" s="8"/>
      <c r="K34" s="8"/>
      <c r="L34" s="8"/>
      <c r="M34" s="8"/>
      <c r="N34" s="8"/>
      <c r="O34" s="53" t="b">
        <f t="shared" si="1"/>
        <v>1</v>
      </c>
    </row>
    <row r="35" spans="2:15" ht="30.4" customHeight="1" thickBot="1" x14ac:dyDescent="0.3">
      <c r="C35" s="51" t="s">
        <v>315</v>
      </c>
      <c r="D35" s="25"/>
      <c r="E35" s="8"/>
      <c r="F35" s="8"/>
      <c r="G35" s="8"/>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9</v>
      </c>
      <c r="G40" s="52">
        <f t="shared" si="2"/>
        <v>10</v>
      </c>
      <c r="H40" s="52">
        <f t="shared" si="2"/>
        <v>4</v>
      </c>
      <c r="I40" s="52">
        <f t="shared" si="2"/>
        <v>4</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v>
      </c>
      <c r="G41" s="54">
        <f>ROUND(G40/E40,2)</f>
        <v>0.33</v>
      </c>
      <c r="H41" s="54">
        <f>ROUND(H40/E40,2)</f>
        <v>0.13</v>
      </c>
      <c r="I41" s="54">
        <f>ROUND(I40/E40,2)</f>
        <v>0.13</v>
      </c>
      <c r="J41" s="54">
        <f>ROUND(J40/E40,2)</f>
        <v>0.1</v>
      </c>
      <c r="K41" s="54">
        <f>ROUND(K40/E40,2)</f>
        <v>0</v>
      </c>
      <c r="L41" s="54">
        <f>ROUND(L40/E40,2)</f>
        <v>0</v>
      </c>
      <c r="M41" s="54">
        <f>ROUND(M40/E40,2)</f>
        <v>0</v>
      </c>
      <c r="N41" s="54">
        <f>ROUND(N40/E40,2)</f>
        <v>0</v>
      </c>
      <c r="O41" s="54">
        <f>SUM(F41:N41)</f>
        <v>0.99</v>
      </c>
    </row>
    <row r="42" spans="2:15" ht="55.9" customHeight="1" x14ac:dyDescent="0.25">
      <c r="C42" s="151" t="s">
        <v>322</v>
      </c>
      <c r="D42" s="151"/>
      <c r="E42" s="151"/>
      <c r="F42" s="7">
        <v>30</v>
      </c>
      <c r="G42" s="7">
        <v>30</v>
      </c>
      <c r="H42" s="7">
        <v>15</v>
      </c>
      <c r="I42" s="7">
        <v>15</v>
      </c>
      <c r="J42" s="7">
        <v>10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K2.3</v>
      </c>
      <c r="H46" s="59" t="str">
        <f>C14</f>
        <v>S2.1</v>
      </c>
      <c r="I46" s="59" t="str">
        <f>C15</f>
        <v>S3.1</v>
      </c>
      <c r="J46" s="59">
        <f>C16</f>
        <v>0</v>
      </c>
      <c r="K46" s="59">
        <f>C17</f>
        <v>0</v>
      </c>
      <c r="L46" s="59">
        <f>C18</f>
        <v>0</v>
      </c>
      <c r="M46" s="59">
        <f>C19</f>
        <v>0</v>
      </c>
      <c r="N46" s="60" t="s">
        <v>327</v>
      </c>
    </row>
    <row r="47" spans="2:15" ht="55.15" customHeight="1" x14ac:dyDescent="0.25">
      <c r="C47" s="9" t="s">
        <v>328</v>
      </c>
      <c r="D47" s="10">
        <v>25</v>
      </c>
      <c r="E47" s="8">
        <v>10</v>
      </c>
      <c r="F47" s="8">
        <v>5</v>
      </c>
      <c r="G47" s="8">
        <v>5</v>
      </c>
      <c r="H47" s="8">
        <v>5</v>
      </c>
      <c r="I47" s="8"/>
      <c r="J47" s="8"/>
      <c r="K47" s="8"/>
      <c r="L47" s="8"/>
      <c r="M47" s="8"/>
      <c r="N47" s="55" t="b">
        <f t="shared" ref="N47:N54" si="3">IF(SUM(E47:M47)=D47,TRUE,"false")</f>
        <v>1</v>
      </c>
    </row>
    <row r="48" spans="2:15" ht="55.15" customHeight="1" x14ac:dyDescent="0.25">
      <c r="C48" s="9" t="s">
        <v>329</v>
      </c>
      <c r="D48" s="10">
        <v>5</v>
      </c>
      <c r="E48" s="11"/>
      <c r="F48" s="12"/>
      <c r="G48" s="12"/>
      <c r="H48" s="12"/>
      <c r="I48" s="12">
        <v>5</v>
      </c>
      <c r="J48" s="12"/>
      <c r="K48" s="12"/>
      <c r="L48" s="12"/>
      <c r="M48" s="12"/>
      <c r="N48" s="55" t="b">
        <f t="shared" si="3"/>
        <v>1</v>
      </c>
    </row>
    <row r="49" spans="3:14" ht="55.15" customHeight="1" x14ac:dyDescent="0.25">
      <c r="C49" s="9" t="s">
        <v>330</v>
      </c>
      <c r="D49" s="10">
        <v>5</v>
      </c>
      <c r="E49" s="11"/>
      <c r="F49" s="12">
        <v>5</v>
      </c>
      <c r="G49" s="12"/>
      <c r="H49" s="12"/>
      <c r="I49" s="12"/>
      <c r="J49" s="12"/>
      <c r="K49" s="12"/>
      <c r="L49" s="12"/>
      <c r="M49" s="12"/>
      <c r="N49" s="55" t="b">
        <f t="shared" si="3"/>
        <v>1</v>
      </c>
    </row>
    <row r="50" spans="3:14" ht="55.15" customHeight="1" x14ac:dyDescent="0.25">
      <c r="C50" s="9" t="s">
        <v>331</v>
      </c>
      <c r="D50" s="10">
        <v>15</v>
      </c>
      <c r="E50" s="11"/>
      <c r="F50" s="12">
        <v>5</v>
      </c>
      <c r="G50" s="12"/>
      <c r="H50" s="12">
        <v>5</v>
      </c>
      <c r="I50" s="12">
        <v>5</v>
      </c>
      <c r="J50" s="12"/>
      <c r="K50" s="12"/>
      <c r="L50" s="12"/>
      <c r="M50" s="12"/>
      <c r="N50" s="55" t="b">
        <f t="shared" si="3"/>
        <v>1</v>
      </c>
    </row>
    <row r="51" spans="3:14" ht="55.15" customHeight="1" x14ac:dyDescent="0.25">
      <c r="C51" s="9" t="s">
        <v>504</v>
      </c>
      <c r="D51" s="10">
        <v>50</v>
      </c>
      <c r="E51" s="11">
        <v>20</v>
      </c>
      <c r="F51" s="12">
        <v>15</v>
      </c>
      <c r="G51" s="12">
        <v>10</v>
      </c>
      <c r="H51" s="12">
        <v>5</v>
      </c>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30</v>
      </c>
      <c r="F56" s="65">
        <f t="shared" si="5"/>
        <v>30</v>
      </c>
      <c r="G56" s="65">
        <f t="shared" si="5"/>
        <v>15</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M54">
    <cfRule type="containsBlanks" dxfId="1189" priority="1">
      <formula>LEN(TRIM(D47))=0</formula>
    </cfRule>
    <cfRule type="cellIs" dxfId="1188" priority="2" operator="equal">
      <formula>0</formula>
    </cfRule>
  </conditionalFormatting>
  <conditionalFormatting sqref="E50">
    <cfRule type="containsBlanks" dxfId="1187" priority="7">
      <formula>LEN(TRIM(E50))=0</formula>
    </cfRule>
    <cfRule type="cellIs" dxfId="1186" priority="8" operator="equal">
      <formula>0</formula>
    </cfRule>
  </conditionalFormatting>
  <conditionalFormatting sqref="E55:M55">
    <cfRule type="containsText" dxfId="1185" priority="17" operator="containsText" text="false">
      <formula>NOT(ISERROR(SEARCH("false",E55)))</formula>
    </cfRule>
    <cfRule type="containsText" dxfId="1184" priority="18" operator="containsText" text="true">
      <formula>NOT(ISERROR(SEARCH("true",E55)))</formula>
    </cfRule>
  </conditionalFormatting>
  <conditionalFormatting sqref="E26:N39">
    <cfRule type="containsBlanks" dxfId="1183" priority="11">
      <formula>LEN(TRIM(E26))=0</formula>
    </cfRule>
    <cfRule type="cellIs" dxfId="1182" priority="12" operator="equal">
      <formula>0</formula>
    </cfRule>
  </conditionalFormatting>
  <conditionalFormatting sqref="F48:I48">
    <cfRule type="containsBlanks" dxfId="1181" priority="9">
      <formula>LEN(TRIM(F48))=0</formula>
    </cfRule>
    <cfRule type="cellIs" dxfId="1180" priority="10" operator="equal">
      <formula>0</formula>
    </cfRule>
  </conditionalFormatting>
  <conditionalFormatting sqref="F50:I51">
    <cfRule type="containsBlanks" dxfId="1179" priority="5">
      <formula>LEN(TRIM(F50))=0</formula>
    </cfRule>
    <cfRule type="cellIs" dxfId="1178" priority="6" operator="equal">
      <formula>0</formula>
    </cfRule>
  </conditionalFormatting>
  <conditionalFormatting sqref="N47:N54">
    <cfRule type="containsText" dxfId="1177" priority="19" operator="containsText" text="false">
      <formula>NOT(ISERROR(SEARCH("false",N47)))</formula>
    </cfRule>
    <cfRule type="containsText" dxfId="1176" priority="20" operator="containsText" text="true">
      <formula>NOT(ISERROR(SEARCH("true",N47)))</formula>
    </cfRule>
  </conditionalFormatting>
  <conditionalFormatting sqref="N55">
    <cfRule type="containsBlanks" dxfId="1175" priority="25">
      <formula>LEN(TRIM(N55))=0</formula>
    </cfRule>
    <cfRule type="cellIs" dxfId="1174" priority="26" operator="equal">
      <formula>0</formula>
    </cfRule>
  </conditionalFormatting>
  <conditionalFormatting sqref="O26:O40">
    <cfRule type="containsText" dxfId="1173" priority="21" operator="containsText" text="false">
      <formula>NOT(ISERROR(SEARCH("false",O26)))</formula>
    </cfRule>
    <cfRule type="containsText" dxfId="1172" priority="22" operator="containsText" text="true">
      <formula>NOT(ISERROR(SEARCH("true",O26)))</formula>
    </cfRule>
  </conditionalFormatting>
  <conditionalFormatting sqref="O42">
    <cfRule type="cellIs" dxfId="1171" priority="13" operator="notEqual">
      <formula>100</formula>
    </cfRule>
    <cfRule type="cellIs" dxfId="1170" priority="14"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'Name and Course code'!$B$2:$B$76</xm:f>
          </x14:formula1>
          <xm:sqref>I6</xm:sqref>
        </x14:dataValidation>
        <x14:dataValidation type="list" allowBlank="1" showInputMessage="1" showErrorMessage="1" xr:uid="{00000000-0002-0000-0600-000001000000}">
          <x14:formula1>
            <xm:f>'Name and Course code'!$A$2:$A$76</xm:f>
          </x14:formula1>
          <xm:sqref>K6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249977111117893"/>
  </sheetPr>
  <dimension ref="B2:AB57"/>
  <sheetViews>
    <sheetView topLeftCell="C1"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170</v>
      </c>
      <c r="J6" s="43" t="s">
        <v>278</v>
      </c>
      <c r="K6" s="1" t="s">
        <v>169</v>
      </c>
    </row>
    <row r="7" spans="2:26" ht="72.599999999999994" customHeight="1" thickBot="1" x14ac:dyDescent="0.3">
      <c r="B7" s="160"/>
      <c r="C7" s="161"/>
      <c r="D7" s="43" t="s">
        <v>279</v>
      </c>
      <c r="E7" s="1">
        <v>2</v>
      </c>
      <c r="F7" s="43" t="s">
        <v>280</v>
      </c>
      <c r="G7" s="1">
        <v>4</v>
      </c>
      <c r="H7" s="43" t="s">
        <v>281</v>
      </c>
      <c r="I7" s="1">
        <v>2</v>
      </c>
      <c r="J7" s="43" t="s">
        <v>283</v>
      </c>
      <c r="K7" s="1" t="s">
        <v>608</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5" t="s">
        <v>297</v>
      </c>
      <c r="D11" s="81" t="s">
        <v>609</v>
      </c>
      <c r="E11" s="2" t="s">
        <v>7</v>
      </c>
      <c r="F11" s="3"/>
      <c r="G11" s="17"/>
      <c r="H11" s="17">
        <v>0.6</v>
      </c>
      <c r="I11" s="17">
        <v>1</v>
      </c>
      <c r="J11" s="80" t="s">
        <v>610</v>
      </c>
      <c r="K11" s="80" t="s">
        <v>611</v>
      </c>
      <c r="U11" s="3">
        <f>F11</f>
        <v>0</v>
      </c>
      <c r="V11" s="2" t="str">
        <f>C11</f>
        <v>K1.1</v>
      </c>
      <c r="W11" s="2"/>
      <c r="X11" s="17"/>
      <c r="Y11" s="37"/>
      <c r="Z11" s="37"/>
    </row>
    <row r="12" spans="2:26" ht="58.9" customHeight="1" x14ac:dyDescent="0.25">
      <c r="B12" s="36"/>
      <c r="C12" s="5" t="s">
        <v>298</v>
      </c>
      <c r="D12" s="81" t="s">
        <v>612</v>
      </c>
      <c r="E12" s="5" t="s">
        <v>7</v>
      </c>
      <c r="F12" s="6"/>
      <c r="G12" s="4"/>
      <c r="H12" s="17">
        <v>0.6</v>
      </c>
      <c r="I12" s="17">
        <v>1</v>
      </c>
      <c r="J12" s="80" t="s">
        <v>610</v>
      </c>
      <c r="K12" s="80" t="s">
        <v>611</v>
      </c>
      <c r="U12" s="6">
        <f t="shared" ref="U12:U19" si="0">F12</f>
        <v>0</v>
      </c>
      <c r="V12" s="2" t="str">
        <f>C12</f>
        <v>K1.2</v>
      </c>
      <c r="W12" s="5"/>
      <c r="X12" s="4"/>
      <c r="Y12" s="38"/>
      <c r="Z12" s="38"/>
    </row>
    <row r="13" spans="2:26" ht="58.9" customHeight="1" x14ac:dyDescent="0.25">
      <c r="B13" s="36"/>
      <c r="C13" s="5" t="s">
        <v>299</v>
      </c>
      <c r="D13" s="81" t="s">
        <v>613</v>
      </c>
      <c r="E13" s="5" t="s">
        <v>7</v>
      </c>
      <c r="F13" s="6"/>
      <c r="G13" s="4"/>
      <c r="H13" s="17">
        <v>0.6</v>
      </c>
      <c r="I13" s="17">
        <v>1</v>
      </c>
      <c r="J13" s="80" t="s">
        <v>610</v>
      </c>
      <c r="K13" s="80" t="s">
        <v>611</v>
      </c>
      <c r="U13" s="6">
        <f t="shared" si="0"/>
        <v>0</v>
      </c>
      <c r="V13" s="2" t="str">
        <f>C13</f>
        <v>K1.3</v>
      </c>
      <c r="W13" s="5"/>
      <c r="X13" s="4"/>
      <c r="Y13" s="38"/>
      <c r="Z13" s="38"/>
    </row>
    <row r="14" spans="2:26" ht="58.9" customHeight="1" x14ac:dyDescent="0.25">
      <c r="B14" s="36"/>
      <c r="C14" s="5" t="s">
        <v>519</v>
      </c>
      <c r="D14" s="81" t="s">
        <v>614</v>
      </c>
      <c r="E14" s="5" t="s">
        <v>7</v>
      </c>
      <c r="F14" s="6"/>
      <c r="G14" s="4"/>
      <c r="H14" s="17">
        <v>0.6</v>
      </c>
      <c r="I14" s="17">
        <v>1</v>
      </c>
      <c r="J14" s="80" t="s">
        <v>610</v>
      </c>
      <c r="K14" s="80" t="s">
        <v>611</v>
      </c>
      <c r="U14" s="6">
        <f t="shared" si="0"/>
        <v>0</v>
      </c>
      <c r="V14" s="2" t="str">
        <f>C14</f>
        <v>K1.4</v>
      </c>
      <c r="W14" s="5"/>
      <c r="X14" s="4"/>
      <c r="Y14" s="38"/>
      <c r="Z14" s="38"/>
    </row>
    <row r="15" spans="2:26" ht="58.9" customHeight="1" x14ac:dyDescent="0.25">
      <c r="B15" s="36"/>
      <c r="C15" s="5" t="s">
        <v>395</v>
      </c>
      <c r="D15" s="81" t="s">
        <v>615</v>
      </c>
      <c r="E15" s="5" t="s">
        <v>24</v>
      </c>
      <c r="F15" s="6"/>
      <c r="G15" s="4"/>
      <c r="H15" s="17">
        <v>0.6</v>
      </c>
      <c r="I15" s="17">
        <v>1</v>
      </c>
      <c r="J15" s="81" t="s">
        <v>509</v>
      </c>
      <c r="K15" s="81" t="s">
        <v>510</v>
      </c>
      <c r="U15" s="6">
        <f t="shared" si="0"/>
        <v>0</v>
      </c>
      <c r="V15" s="2" t="str">
        <f>C15</f>
        <v>S3.1</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K1.3</v>
      </c>
      <c r="I25" s="49" t="str">
        <f>C14</f>
        <v>K1.4</v>
      </c>
      <c r="J25" s="49" t="str">
        <f>C15</f>
        <v>S3.1</v>
      </c>
      <c r="K25" s="49">
        <f>C16</f>
        <v>0</v>
      </c>
      <c r="L25" s="49">
        <f>C17</f>
        <v>0</v>
      </c>
      <c r="M25" s="49">
        <f>C18</f>
        <v>0</v>
      </c>
      <c r="N25" s="49">
        <f>C19</f>
        <v>0</v>
      </c>
      <c r="O25" s="50" t="s">
        <v>305</v>
      </c>
    </row>
    <row r="26" spans="2:26" ht="30.4" customHeight="1" thickBot="1" x14ac:dyDescent="0.3">
      <c r="C26" s="51" t="s">
        <v>306</v>
      </c>
      <c r="D26" s="81" t="s">
        <v>616</v>
      </c>
      <c r="E26" s="8">
        <v>8</v>
      </c>
      <c r="F26" s="8">
        <v>6</v>
      </c>
      <c r="G26" s="8"/>
      <c r="H26" s="8"/>
      <c r="I26" s="8"/>
      <c r="J26" s="8">
        <v>2</v>
      </c>
      <c r="K26" s="8"/>
      <c r="L26" s="8"/>
      <c r="M26" s="8"/>
      <c r="N26" s="8"/>
      <c r="O26" s="53" t="b">
        <f>IF(SUM(F26:N26)=E26,TRUE,"false")</f>
        <v>1</v>
      </c>
    </row>
    <row r="27" spans="2:26" ht="30.4" customHeight="1" thickBot="1" x14ac:dyDescent="0.3">
      <c r="C27" s="51" t="s">
        <v>307</v>
      </c>
      <c r="D27" s="81" t="s">
        <v>617</v>
      </c>
      <c r="E27" s="8">
        <v>6</v>
      </c>
      <c r="F27" s="8">
        <v>2</v>
      </c>
      <c r="G27" s="8">
        <v>2</v>
      </c>
      <c r="H27" s="8"/>
      <c r="I27" s="8"/>
      <c r="J27" s="8">
        <v>2</v>
      </c>
      <c r="K27" s="8"/>
      <c r="L27" s="8"/>
      <c r="M27" s="8"/>
      <c r="N27" s="8"/>
      <c r="O27" s="53" t="b">
        <f t="shared" ref="O27:O40" si="1">IF(SUM(F27:N27)=E27,TRUE,"false")</f>
        <v>1</v>
      </c>
    </row>
    <row r="28" spans="2:26" ht="30.4" customHeight="1" thickBot="1" x14ac:dyDescent="0.3">
      <c r="C28" s="51" t="s">
        <v>308</v>
      </c>
      <c r="D28" s="81" t="s">
        <v>618</v>
      </c>
      <c r="E28" s="8">
        <v>4</v>
      </c>
      <c r="F28" s="8"/>
      <c r="G28" s="8">
        <v>4</v>
      </c>
      <c r="H28" s="8"/>
      <c r="I28" s="8"/>
      <c r="J28" s="8"/>
      <c r="K28" s="8"/>
      <c r="L28" s="8"/>
      <c r="M28" s="8"/>
      <c r="N28" s="8"/>
      <c r="O28" s="53" t="b">
        <f t="shared" si="1"/>
        <v>1</v>
      </c>
    </row>
    <row r="29" spans="2:26" ht="30.4" customHeight="1" thickBot="1" x14ac:dyDescent="0.3">
      <c r="C29" s="51" t="s">
        <v>309</v>
      </c>
      <c r="D29" s="81" t="s">
        <v>619</v>
      </c>
      <c r="E29" s="8">
        <v>6</v>
      </c>
      <c r="F29" s="8"/>
      <c r="G29" s="8"/>
      <c r="H29" s="8">
        <v>5</v>
      </c>
      <c r="I29" s="8"/>
      <c r="J29" s="8">
        <v>1</v>
      </c>
      <c r="K29" s="8"/>
      <c r="L29" s="8"/>
      <c r="M29" s="8"/>
      <c r="N29" s="8"/>
      <c r="O29" s="53" t="b">
        <f t="shared" si="1"/>
        <v>1</v>
      </c>
    </row>
    <row r="30" spans="2:26" ht="30.4" customHeight="1" thickBot="1" x14ac:dyDescent="0.3">
      <c r="C30" s="51" t="s">
        <v>310</v>
      </c>
      <c r="D30" s="81" t="s">
        <v>620</v>
      </c>
      <c r="E30" s="8">
        <v>6</v>
      </c>
      <c r="F30" s="8"/>
      <c r="G30" s="8"/>
      <c r="H30" s="8"/>
      <c r="I30" s="8">
        <v>6</v>
      </c>
      <c r="J30" s="8"/>
      <c r="K30" s="8"/>
      <c r="L30" s="8"/>
      <c r="M30" s="8"/>
      <c r="N30" s="8"/>
      <c r="O30" s="53" t="b">
        <f t="shared" si="1"/>
        <v>1</v>
      </c>
    </row>
    <row r="31" spans="2:26" ht="30.4" customHeight="1" thickBot="1" x14ac:dyDescent="0.3">
      <c r="C31" s="51" t="s">
        <v>311</v>
      </c>
      <c r="D31" s="81"/>
      <c r="E31" s="8"/>
      <c r="F31" s="8"/>
      <c r="G31" s="8"/>
      <c r="H31" s="8"/>
      <c r="I31" s="8"/>
      <c r="J31" s="8"/>
      <c r="K31" s="8"/>
      <c r="L31" s="8"/>
      <c r="M31" s="8"/>
      <c r="N31" s="8"/>
      <c r="O31" s="53" t="b">
        <f t="shared" si="1"/>
        <v>1</v>
      </c>
    </row>
    <row r="32" spans="2:26" ht="30.4" customHeight="1" thickBot="1" x14ac:dyDescent="0.3">
      <c r="C32" s="51" t="s">
        <v>312</v>
      </c>
      <c r="D32" s="25"/>
      <c r="E32" s="8"/>
      <c r="F32" s="8"/>
      <c r="G32" s="8"/>
      <c r="H32" s="8"/>
      <c r="I32" s="8"/>
      <c r="J32" s="8"/>
      <c r="K32" s="8"/>
      <c r="L32" s="8"/>
      <c r="M32" s="8"/>
      <c r="N32" s="8"/>
      <c r="O32" s="53" t="b">
        <f t="shared" si="1"/>
        <v>1</v>
      </c>
    </row>
    <row r="33" spans="2:15" ht="30.4" customHeight="1" thickBot="1" x14ac:dyDescent="0.3">
      <c r="C33" s="51" t="s">
        <v>313</v>
      </c>
      <c r="D33" s="25"/>
      <c r="E33" s="8"/>
      <c r="F33" s="8"/>
      <c r="G33" s="8"/>
      <c r="H33" s="8"/>
      <c r="I33" s="8"/>
      <c r="J33" s="8"/>
      <c r="K33" s="8"/>
      <c r="L33" s="8"/>
      <c r="M33" s="8"/>
      <c r="N33" s="8"/>
      <c r="O33" s="53" t="b">
        <f t="shared" si="1"/>
        <v>1</v>
      </c>
    </row>
    <row r="34" spans="2:15" ht="30.4" customHeight="1" thickBot="1" x14ac:dyDescent="0.3">
      <c r="C34" s="51" t="s">
        <v>314</v>
      </c>
      <c r="D34" s="25"/>
      <c r="E34" s="8"/>
      <c r="F34" s="8"/>
      <c r="G34" s="8"/>
      <c r="H34" s="8"/>
      <c r="I34" s="8"/>
      <c r="J34" s="8"/>
      <c r="K34" s="8"/>
      <c r="L34" s="8"/>
      <c r="M34" s="8"/>
      <c r="N34" s="8"/>
      <c r="O34" s="53" t="b">
        <f t="shared" si="1"/>
        <v>1</v>
      </c>
    </row>
    <row r="35" spans="2:15" ht="30.4" customHeight="1" thickBot="1" x14ac:dyDescent="0.3">
      <c r="C35" s="51" t="s">
        <v>315</v>
      </c>
      <c r="D35" s="25"/>
      <c r="E35" s="8"/>
      <c r="F35" s="8"/>
      <c r="G35" s="8"/>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8</v>
      </c>
      <c r="G40" s="52">
        <f t="shared" si="2"/>
        <v>6</v>
      </c>
      <c r="H40" s="52">
        <f t="shared" si="2"/>
        <v>5</v>
      </c>
      <c r="I40" s="52">
        <f t="shared" si="2"/>
        <v>6</v>
      </c>
      <c r="J40" s="52">
        <f t="shared" si="2"/>
        <v>5</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0.27</v>
      </c>
      <c r="G41" s="54">
        <f>ROUND(G40/E40,2)</f>
        <v>0.2</v>
      </c>
      <c r="H41" s="54">
        <f>ROUND(H40/E40,2)</f>
        <v>0.17</v>
      </c>
      <c r="I41" s="54">
        <f>ROUND(I40/E40,2)</f>
        <v>0.2</v>
      </c>
      <c r="J41" s="54">
        <f>ROUND(J40/E40,2)</f>
        <v>0.17</v>
      </c>
      <c r="K41" s="54">
        <f>ROUND(K40/E40,2)</f>
        <v>0</v>
      </c>
      <c r="L41" s="54">
        <f>ROUND(L40/E40,2)</f>
        <v>0</v>
      </c>
      <c r="M41" s="54">
        <f>ROUND(M40/E40,2)</f>
        <v>0</v>
      </c>
      <c r="N41" s="54">
        <f>ROUND(N40/E40,2)</f>
        <v>0</v>
      </c>
      <c r="O41" s="54">
        <f>SUM(F41:N41)</f>
        <v>1.01</v>
      </c>
    </row>
    <row r="42" spans="2:15" ht="55.9" customHeight="1" x14ac:dyDescent="0.25">
      <c r="C42" s="151" t="s">
        <v>322</v>
      </c>
      <c r="D42" s="151"/>
      <c r="E42" s="151"/>
      <c r="F42" s="7">
        <v>25</v>
      </c>
      <c r="G42" s="7">
        <v>20</v>
      </c>
      <c r="H42" s="7">
        <v>15</v>
      </c>
      <c r="I42" s="7">
        <v>20</v>
      </c>
      <c r="J42" s="7">
        <v>20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K1.3</v>
      </c>
      <c r="H46" s="59" t="str">
        <f>C14</f>
        <v>K1.4</v>
      </c>
      <c r="I46" s="59" t="str">
        <f>C15</f>
        <v>S3.1</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c r="G49" s="12"/>
      <c r="H49" s="12">
        <v>5</v>
      </c>
      <c r="I49" s="12">
        <v>5</v>
      </c>
      <c r="J49" s="12"/>
      <c r="K49" s="12"/>
      <c r="L49" s="12"/>
      <c r="M49" s="12"/>
      <c r="N49" s="55" t="b">
        <f t="shared" si="3"/>
        <v>1</v>
      </c>
    </row>
    <row r="50" spans="3:14" ht="55.15" customHeight="1" x14ac:dyDescent="0.25">
      <c r="C50" s="9" t="s">
        <v>331</v>
      </c>
      <c r="D50" s="10">
        <v>5</v>
      </c>
      <c r="E50" s="11"/>
      <c r="F50" s="12"/>
      <c r="G50" s="12"/>
      <c r="H50" s="12"/>
      <c r="I50" s="12">
        <v>5</v>
      </c>
      <c r="J50" s="12"/>
      <c r="K50" s="12"/>
      <c r="L50" s="12"/>
      <c r="M50" s="12"/>
      <c r="N50" s="55" t="b">
        <f t="shared" si="3"/>
        <v>1</v>
      </c>
    </row>
    <row r="51" spans="3:14" ht="55.15" customHeight="1" x14ac:dyDescent="0.25">
      <c r="C51" s="9" t="s">
        <v>607</v>
      </c>
      <c r="D51" s="10">
        <v>5</v>
      </c>
      <c r="E51" s="11"/>
      <c r="F51" s="12"/>
      <c r="G51" s="12"/>
      <c r="H51" s="12">
        <v>5</v>
      </c>
      <c r="I51" s="12"/>
      <c r="J51" s="12"/>
      <c r="K51" s="12"/>
      <c r="L51" s="12"/>
      <c r="M51" s="12"/>
      <c r="N51" s="55" t="b">
        <f t="shared" si="3"/>
        <v>1</v>
      </c>
    </row>
    <row r="52" spans="3:14" ht="55.15" customHeight="1" x14ac:dyDescent="0.25">
      <c r="C52" s="9" t="s">
        <v>504</v>
      </c>
      <c r="D52" s="10">
        <v>50</v>
      </c>
      <c r="E52" s="11">
        <v>10</v>
      </c>
      <c r="F52" s="12">
        <v>10</v>
      </c>
      <c r="G52" s="12">
        <v>10</v>
      </c>
      <c r="H52" s="12">
        <v>10</v>
      </c>
      <c r="I52" s="12">
        <v>10</v>
      </c>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15</v>
      </c>
      <c r="H56" s="65">
        <f t="shared" si="5"/>
        <v>20</v>
      </c>
      <c r="I56" s="65">
        <f t="shared" si="5"/>
        <v>20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169" priority="1">
      <formula>LEN(TRIM(D47))=0</formula>
    </cfRule>
    <cfRule type="cellIs" dxfId="1168" priority="2" operator="equal">
      <formula>0</formula>
    </cfRule>
  </conditionalFormatting>
  <conditionalFormatting sqref="E50">
    <cfRule type="containsBlanks" dxfId="1167" priority="7">
      <formula>LEN(TRIM(E50))=0</formula>
    </cfRule>
    <cfRule type="cellIs" dxfId="1166" priority="8" operator="equal">
      <formula>0</formula>
    </cfRule>
  </conditionalFormatting>
  <conditionalFormatting sqref="E47:I51 E52">
    <cfRule type="containsBlanks" dxfId="1165" priority="3">
      <formula>LEN(TRIM(E47))=0</formula>
    </cfRule>
    <cfRule type="cellIs" dxfId="1164" priority="4" operator="equal">
      <formula>0</formula>
    </cfRule>
  </conditionalFormatting>
  <conditionalFormatting sqref="E53:M54">
    <cfRule type="containsBlanks" dxfId="1163" priority="27">
      <formula>LEN(TRIM(E53))=0</formula>
    </cfRule>
    <cfRule type="cellIs" dxfId="1162" priority="28" operator="equal">
      <formula>0</formula>
    </cfRule>
  </conditionalFormatting>
  <conditionalFormatting sqref="E55:M55">
    <cfRule type="containsText" dxfId="1161" priority="17" operator="containsText" text="false">
      <formula>NOT(ISERROR(SEARCH("false",E55)))</formula>
    </cfRule>
    <cfRule type="containsText" dxfId="1160" priority="18" operator="containsText" text="true">
      <formula>NOT(ISERROR(SEARCH("true",E55)))</formula>
    </cfRule>
  </conditionalFormatting>
  <conditionalFormatting sqref="E26:N39">
    <cfRule type="containsBlanks" dxfId="1159" priority="11">
      <formula>LEN(TRIM(E26))=0</formula>
    </cfRule>
    <cfRule type="cellIs" dxfId="1158" priority="12" operator="equal">
      <formula>0</formula>
    </cfRule>
  </conditionalFormatting>
  <conditionalFormatting sqref="F48:I48">
    <cfRule type="containsBlanks" dxfId="1157" priority="9">
      <formula>LEN(TRIM(F48))=0</formula>
    </cfRule>
    <cfRule type="cellIs" dxfId="1156" priority="10" operator="equal">
      <formula>0</formula>
    </cfRule>
  </conditionalFormatting>
  <conditionalFormatting sqref="F50:I52">
    <cfRule type="containsBlanks" dxfId="1155" priority="5">
      <formula>LEN(TRIM(F50))=0</formula>
    </cfRule>
    <cfRule type="cellIs" dxfId="1154" priority="6" operator="equal">
      <formula>0</formula>
    </cfRule>
  </conditionalFormatting>
  <conditionalFormatting sqref="J47:M52">
    <cfRule type="containsBlanks" dxfId="1153" priority="29">
      <formula>LEN(TRIM(J47))=0</formula>
    </cfRule>
    <cfRule type="cellIs" dxfId="1152" priority="30" operator="equal">
      <formula>0</formula>
    </cfRule>
  </conditionalFormatting>
  <conditionalFormatting sqref="N47:N54">
    <cfRule type="containsText" dxfId="1151" priority="19" operator="containsText" text="false">
      <formula>NOT(ISERROR(SEARCH("false",N47)))</formula>
    </cfRule>
    <cfRule type="containsText" dxfId="1150" priority="20" operator="containsText" text="true">
      <formula>NOT(ISERROR(SEARCH("true",N47)))</formula>
    </cfRule>
  </conditionalFormatting>
  <conditionalFormatting sqref="N55">
    <cfRule type="containsBlanks" dxfId="1149" priority="25">
      <formula>LEN(TRIM(N55))=0</formula>
    </cfRule>
    <cfRule type="cellIs" dxfId="1148" priority="26" operator="equal">
      <formula>0</formula>
    </cfRule>
  </conditionalFormatting>
  <conditionalFormatting sqref="O26:O40">
    <cfRule type="containsText" dxfId="1147" priority="21" operator="containsText" text="false">
      <formula>NOT(ISERROR(SEARCH("false",O26)))</formula>
    </cfRule>
    <cfRule type="containsText" dxfId="1146" priority="22" operator="containsText" text="true">
      <formula>NOT(ISERROR(SEARCH("true",O26)))</formula>
    </cfRule>
  </conditionalFormatting>
  <conditionalFormatting sqref="O42">
    <cfRule type="cellIs" dxfId="1145" priority="13" operator="notEqual">
      <formula>100</formula>
    </cfRule>
    <cfRule type="cellIs" dxfId="1144" priority="14"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'Name and Course code'!$A$2:$A$76</xm:f>
          </x14:formula1>
          <xm:sqref>K6</xm:sqref>
        </x14:dataValidation>
        <x14:dataValidation type="list" allowBlank="1" showInputMessage="1" showErrorMessage="1" xr:uid="{00000000-0002-0000-0700-000001000000}">
          <x14:formula1>
            <xm:f>'Name and Course code'!$B$2:$B$76</xm:f>
          </x14:formula1>
          <xm:sqref>I6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8" tint="-0.249977111117893"/>
    <pageSetUpPr fitToPage="1"/>
  </sheetPr>
  <dimension ref="B2:AB57"/>
  <sheetViews>
    <sheetView zoomScale="50" zoomScaleNormal="50" workbookViewId="0">
      <selection activeCell="G8" sqref="G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172</v>
      </c>
      <c r="J6" s="43" t="s">
        <v>278</v>
      </c>
      <c r="K6" s="1" t="s">
        <v>76</v>
      </c>
    </row>
    <row r="7" spans="2:26" ht="72.599999999999994" customHeight="1" thickBot="1" x14ac:dyDescent="0.3">
      <c r="B7" s="160"/>
      <c r="C7" s="161"/>
      <c r="D7" s="43" t="s">
        <v>279</v>
      </c>
      <c r="E7" s="1">
        <v>2</v>
      </c>
      <c r="F7" s="43" t="s">
        <v>280</v>
      </c>
      <c r="G7" s="1">
        <v>4</v>
      </c>
      <c r="H7" s="43" t="s">
        <v>281</v>
      </c>
      <c r="I7" s="1" t="s">
        <v>282</v>
      </c>
      <c r="J7" s="43" t="s">
        <v>283</v>
      </c>
      <c r="K7" s="1" t="s">
        <v>621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79.5" customHeight="1" x14ac:dyDescent="0.25">
      <c r="B11" s="36"/>
      <c r="C11" s="89" t="s">
        <v>622</v>
      </c>
      <c r="D11" s="78" t="s">
        <v>623</v>
      </c>
      <c r="E11" s="89" t="s">
        <v>10</v>
      </c>
      <c r="F11" s="3"/>
      <c r="G11" s="17"/>
      <c r="H11" s="17">
        <v>0.6</v>
      </c>
      <c r="I11" s="17">
        <v>1</v>
      </c>
      <c r="J11" s="89" t="s">
        <v>534</v>
      </c>
      <c r="K11" s="80" t="s">
        <v>624</v>
      </c>
      <c r="U11" s="3">
        <f>F11</f>
        <v>0</v>
      </c>
      <c r="V11" s="2" t="str">
        <f>C11</f>
        <v>K.2.1</v>
      </c>
      <c r="W11" s="2"/>
      <c r="X11" s="17"/>
      <c r="Y11" s="37"/>
      <c r="Z11" s="37"/>
    </row>
    <row r="12" spans="2:26" ht="58.9" customHeight="1" x14ac:dyDescent="0.25">
      <c r="B12" s="36"/>
      <c r="C12" s="84" t="s">
        <v>625</v>
      </c>
      <c r="D12" s="79" t="s">
        <v>626</v>
      </c>
      <c r="E12" s="84" t="s">
        <v>39</v>
      </c>
      <c r="F12" s="6"/>
      <c r="G12" s="4"/>
      <c r="H12" s="17">
        <v>0.6</v>
      </c>
      <c r="I12" s="17">
        <v>1</v>
      </c>
      <c r="J12" s="84" t="s">
        <v>627</v>
      </c>
      <c r="K12" s="81" t="s">
        <v>628</v>
      </c>
      <c r="U12" s="6">
        <f>F12</f>
        <v>0</v>
      </c>
      <c r="V12" s="2" t="str">
        <f>C12</f>
        <v>S.6.1</v>
      </c>
      <c r="W12" s="5"/>
      <c r="X12" s="4"/>
      <c r="Y12" s="38"/>
      <c r="Z12" s="38"/>
    </row>
    <row r="13" spans="2:26" ht="58.9" customHeight="1" x14ac:dyDescent="0.25">
      <c r="B13" s="36"/>
      <c r="C13" s="84" t="s">
        <v>629</v>
      </c>
      <c r="D13" s="79" t="s">
        <v>630</v>
      </c>
      <c r="E13" s="5" t="s">
        <v>31</v>
      </c>
      <c r="F13" s="6"/>
      <c r="G13" s="4"/>
      <c r="H13" s="17">
        <v>0.6</v>
      </c>
      <c r="I13" s="17">
        <v>1</v>
      </c>
      <c r="J13" s="84" t="s">
        <v>631</v>
      </c>
      <c r="K13" s="82" t="s">
        <v>448</v>
      </c>
      <c r="U13" s="6">
        <f>F13</f>
        <v>0</v>
      </c>
      <c r="V13" s="2" t="str">
        <f>C13</f>
        <v xml:space="preserve">  S.7.1</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S.6.1</v>
      </c>
      <c r="H25" s="49" t="str">
        <f>C13</f>
        <v xml:space="preserve">  S.7.1</v>
      </c>
      <c r="I25" s="49">
        <f>C14</f>
        <v>0</v>
      </c>
      <c r="J25" s="49">
        <f>C15</f>
        <v>0</v>
      </c>
      <c r="K25" s="49">
        <f>C16</f>
        <v>0</v>
      </c>
      <c r="L25" s="49">
        <f>C17</f>
        <v>0</v>
      </c>
      <c r="M25" s="49">
        <f>C18</f>
        <v>0</v>
      </c>
      <c r="N25" s="49">
        <f>C19</f>
        <v>0</v>
      </c>
      <c r="O25" s="50" t="s">
        <v>305</v>
      </c>
    </row>
    <row r="26" spans="2:26" ht="30.75" thickBot="1" x14ac:dyDescent="0.3">
      <c r="C26" s="51" t="s">
        <v>306</v>
      </c>
      <c r="D26" s="92" t="s">
        <v>632</v>
      </c>
      <c r="E26" s="8">
        <v>4</v>
      </c>
      <c r="F26" s="8">
        <v>2</v>
      </c>
      <c r="G26" s="8"/>
      <c r="H26" s="8">
        <v>2</v>
      </c>
      <c r="I26" s="8"/>
      <c r="J26" s="8"/>
      <c r="K26" s="8"/>
      <c r="L26" s="8"/>
      <c r="M26" s="8"/>
      <c r="N26" s="8"/>
      <c r="O26" s="53" t="b">
        <f t="shared" ref="O26:O40" si="0">IF(SUM(F26:N26)=E26,TRUE,"false")</f>
        <v>1</v>
      </c>
    </row>
    <row r="27" spans="2:26" ht="58.5" customHeight="1" thickBot="1" x14ac:dyDescent="0.3">
      <c r="C27" s="51" t="s">
        <v>307</v>
      </c>
      <c r="D27" s="92" t="s">
        <v>633</v>
      </c>
      <c r="E27" s="8">
        <v>8</v>
      </c>
      <c r="F27" s="8">
        <v>2</v>
      </c>
      <c r="G27" s="8">
        <v>4</v>
      </c>
      <c r="H27" s="8">
        <v>2</v>
      </c>
      <c r="I27" s="8"/>
      <c r="J27" s="8"/>
      <c r="K27" s="8"/>
      <c r="L27" s="8"/>
      <c r="M27" s="8"/>
      <c r="N27" s="8"/>
      <c r="O27" s="53" t="b">
        <f t="shared" si="0"/>
        <v>1</v>
      </c>
    </row>
    <row r="28" spans="2:26" ht="54" customHeight="1" thickBot="1" x14ac:dyDescent="0.3">
      <c r="C28" s="51" t="s">
        <v>308</v>
      </c>
      <c r="D28" s="92" t="s">
        <v>634</v>
      </c>
      <c r="E28" s="8">
        <v>4</v>
      </c>
      <c r="F28" s="8">
        <v>4</v>
      </c>
      <c r="G28" s="8"/>
      <c r="H28" s="8"/>
      <c r="I28" s="8"/>
      <c r="J28" s="8"/>
      <c r="K28" s="8"/>
      <c r="L28" s="8"/>
      <c r="M28" s="8"/>
      <c r="N28" s="8"/>
      <c r="O28" s="53" t="b">
        <f t="shared" si="0"/>
        <v>1</v>
      </c>
    </row>
    <row r="29" spans="2:26" ht="53.45" customHeight="1" thickBot="1" x14ac:dyDescent="0.3">
      <c r="C29" s="51" t="s">
        <v>309</v>
      </c>
      <c r="D29" s="92" t="s">
        <v>635</v>
      </c>
      <c r="E29" s="8">
        <v>6</v>
      </c>
      <c r="F29" s="8">
        <v>2</v>
      </c>
      <c r="G29" s="8">
        <v>4</v>
      </c>
      <c r="H29" s="8"/>
      <c r="I29" s="8"/>
      <c r="J29" s="8"/>
      <c r="K29" s="8"/>
      <c r="L29" s="8"/>
      <c r="M29" s="8"/>
      <c r="N29" s="8"/>
      <c r="O29" s="53" t="b">
        <f t="shared" si="0"/>
        <v>1</v>
      </c>
    </row>
    <row r="30" spans="2:26" ht="50.1" customHeight="1" thickBot="1" x14ac:dyDescent="0.3">
      <c r="C30" s="51" t="s">
        <v>310</v>
      </c>
      <c r="D30" s="92" t="s">
        <v>636</v>
      </c>
      <c r="E30" s="8">
        <v>12</v>
      </c>
      <c r="F30" s="8">
        <v>8</v>
      </c>
      <c r="G30" s="8">
        <v>2</v>
      </c>
      <c r="H30" s="8">
        <v>2</v>
      </c>
      <c r="I30" s="8"/>
      <c r="J30" s="8"/>
      <c r="K30" s="8"/>
      <c r="L30" s="8"/>
      <c r="M30" s="8"/>
      <c r="N30" s="8"/>
      <c r="O30" s="53" t="b">
        <f t="shared" si="0"/>
        <v>1</v>
      </c>
    </row>
    <row r="31" spans="2:26" ht="60.6" customHeight="1" thickBot="1" x14ac:dyDescent="0.3">
      <c r="C31" s="51" t="s">
        <v>311</v>
      </c>
      <c r="D31" s="92" t="s">
        <v>637</v>
      </c>
      <c r="E31" s="8">
        <v>10</v>
      </c>
      <c r="F31" s="8">
        <v>6</v>
      </c>
      <c r="G31" s="8">
        <v>2</v>
      </c>
      <c r="H31" s="8">
        <v>2</v>
      </c>
      <c r="I31" s="8"/>
      <c r="J31" s="8"/>
      <c r="K31" s="8"/>
      <c r="L31" s="8"/>
      <c r="M31" s="8"/>
      <c r="N31" s="8"/>
      <c r="O31" s="53" t="b">
        <f t="shared" si="0"/>
        <v>1</v>
      </c>
    </row>
    <row r="32" spans="2:26" ht="48" customHeight="1" thickBot="1" x14ac:dyDescent="0.3">
      <c r="C32" s="51" t="s">
        <v>312</v>
      </c>
      <c r="D32" s="92" t="s">
        <v>638</v>
      </c>
      <c r="E32" s="8">
        <v>8</v>
      </c>
      <c r="F32" s="8">
        <v>6</v>
      </c>
      <c r="G32" s="8">
        <v>2</v>
      </c>
      <c r="H32" s="8"/>
      <c r="I32" s="8"/>
      <c r="J32" s="8"/>
      <c r="K32" s="8"/>
      <c r="L32" s="8"/>
      <c r="M32" s="8"/>
      <c r="N32" s="8"/>
      <c r="O32" s="53" t="b">
        <f t="shared" si="0"/>
        <v>1</v>
      </c>
    </row>
    <row r="33" spans="2:15" ht="54.6" customHeight="1" thickBot="1" x14ac:dyDescent="0.3">
      <c r="C33" s="51" t="s">
        <v>313</v>
      </c>
      <c r="D33" s="92" t="s">
        <v>639</v>
      </c>
      <c r="E33" s="8">
        <v>8</v>
      </c>
      <c r="F33" s="8">
        <v>6</v>
      </c>
      <c r="G33" s="8">
        <v>2</v>
      </c>
      <c r="H33" s="8"/>
      <c r="I33" s="8"/>
      <c r="J33" s="8"/>
      <c r="K33" s="8"/>
      <c r="L33" s="8"/>
      <c r="M33" s="8"/>
      <c r="N33" s="8"/>
      <c r="O33" s="53" t="b">
        <f t="shared" si="0"/>
        <v>1</v>
      </c>
    </row>
    <row r="34" spans="2:15" ht="30.4" customHeight="1" thickBot="1" x14ac:dyDescent="0.3">
      <c r="C34" s="51" t="s">
        <v>314</v>
      </c>
      <c r="D34" s="91"/>
      <c r="E34" s="8"/>
      <c r="F34" s="8"/>
      <c r="G34" s="8"/>
      <c r="H34" s="8"/>
      <c r="I34" s="8"/>
      <c r="J34" s="8"/>
      <c r="K34" s="8"/>
      <c r="L34" s="8"/>
      <c r="M34" s="8"/>
      <c r="N34" s="8"/>
      <c r="O34" s="53" t="b">
        <f t="shared" si="0"/>
        <v>1</v>
      </c>
    </row>
    <row r="35" spans="2:15" ht="30.4" customHeight="1" thickBot="1" x14ac:dyDescent="0.3">
      <c r="C35" s="51" t="s">
        <v>315</v>
      </c>
      <c r="D35" s="25"/>
      <c r="E35" s="8"/>
      <c r="F35" s="8"/>
      <c r="G35" s="8"/>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36</v>
      </c>
      <c r="G40" s="52">
        <f t="shared" si="1"/>
        <v>16</v>
      </c>
      <c r="H40" s="52">
        <f t="shared" si="1"/>
        <v>8</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0.6</v>
      </c>
      <c r="G41" s="54">
        <f>ROUND(G40/E40,2)</f>
        <v>0.27</v>
      </c>
      <c r="H41" s="54">
        <f>ROUND(H40/E40,2)</f>
        <v>0.13</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60</v>
      </c>
      <c r="G42" s="7">
        <v>30</v>
      </c>
      <c r="H42" s="7">
        <v>10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S.6.1</v>
      </c>
      <c r="G46" s="59" t="str">
        <f>C13</f>
        <v xml:space="preserve">  S.7.1</v>
      </c>
      <c r="H46" s="59">
        <f>C14</f>
        <v>0</v>
      </c>
      <c r="I46" s="59">
        <f>C15</f>
        <v>0</v>
      </c>
      <c r="J46" s="59">
        <f>C16</f>
        <v>0</v>
      </c>
      <c r="K46" s="59">
        <f>C17</f>
        <v>0</v>
      </c>
      <c r="L46" s="59">
        <f>C18</f>
        <v>0</v>
      </c>
      <c r="M46" s="59">
        <f>C19</f>
        <v>0</v>
      </c>
      <c r="N46" s="60" t="s">
        <v>327</v>
      </c>
    </row>
    <row r="47" spans="2:15" ht="55.15" customHeight="1" x14ac:dyDescent="0.25">
      <c r="C47" s="9" t="s">
        <v>458</v>
      </c>
      <c r="D47" s="10">
        <v>5</v>
      </c>
      <c r="E47" s="8">
        <v>5</v>
      </c>
      <c r="F47" s="8"/>
      <c r="G47" s="8"/>
      <c r="H47" s="8"/>
      <c r="I47" s="8"/>
      <c r="J47" s="8"/>
      <c r="K47" s="8"/>
      <c r="L47" s="8"/>
      <c r="M47" s="8"/>
      <c r="N47" s="55" t="b">
        <f t="shared" ref="N47:N54" si="2">IF(SUM(E47:M47)=D47,TRUE,"false")</f>
        <v>1</v>
      </c>
    </row>
    <row r="48" spans="2:15" ht="55.15" customHeight="1" x14ac:dyDescent="0.25">
      <c r="C48" s="9" t="s">
        <v>328</v>
      </c>
      <c r="D48" s="10">
        <v>25</v>
      </c>
      <c r="E48" s="11">
        <v>19</v>
      </c>
      <c r="F48" s="12">
        <v>6</v>
      </c>
      <c r="G48" s="12"/>
      <c r="H48" s="12"/>
      <c r="I48" s="12"/>
      <c r="J48" s="12"/>
      <c r="K48" s="12"/>
      <c r="L48" s="12"/>
      <c r="M48" s="12"/>
      <c r="N48" s="55" t="b">
        <f t="shared" si="2"/>
        <v>1</v>
      </c>
    </row>
    <row r="49" spans="3:14" ht="55.15" customHeight="1" x14ac:dyDescent="0.25">
      <c r="C49" s="9" t="s">
        <v>640</v>
      </c>
      <c r="D49" s="10">
        <v>20</v>
      </c>
      <c r="E49" s="11"/>
      <c r="F49" s="12">
        <v>10</v>
      </c>
      <c r="G49" s="12">
        <v>10</v>
      </c>
      <c r="H49" s="12"/>
      <c r="I49" s="12"/>
      <c r="J49" s="12"/>
      <c r="K49" s="12"/>
      <c r="L49" s="12"/>
      <c r="M49" s="12"/>
      <c r="N49" s="55" t="b">
        <f t="shared" si="2"/>
        <v>1</v>
      </c>
    </row>
    <row r="50" spans="3:14" ht="55.15" customHeight="1" x14ac:dyDescent="0.25">
      <c r="C50" s="9" t="s">
        <v>460</v>
      </c>
      <c r="D50" s="10">
        <v>50</v>
      </c>
      <c r="E50" s="11">
        <v>36</v>
      </c>
      <c r="F50" s="12">
        <v>14</v>
      </c>
      <c r="G50" s="12"/>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60</v>
      </c>
      <c r="F56" s="65">
        <f t="shared" si="4"/>
        <v>30</v>
      </c>
      <c r="G56" s="65">
        <f t="shared" si="4"/>
        <v>10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143" priority="11">
      <formula>LEN(TRIM(D47))=0</formula>
    </cfRule>
    <cfRule type="cellIs" dxfId="1142" priority="12" operator="equal">
      <formula>0</formula>
    </cfRule>
  </conditionalFormatting>
  <conditionalFormatting sqref="E50">
    <cfRule type="containsBlanks" dxfId="1141" priority="21">
      <formula>LEN(TRIM(E50))=0</formula>
    </cfRule>
    <cfRule type="cellIs" dxfId="1140" priority="22" operator="equal">
      <formula>0</formula>
    </cfRule>
  </conditionalFormatting>
  <conditionalFormatting sqref="E47:M51 E52">
    <cfRule type="containsBlanks" dxfId="1139" priority="17">
      <formula>LEN(TRIM(E47))=0</formula>
    </cfRule>
    <cfRule type="cellIs" dxfId="1138" priority="18" operator="equal">
      <formula>0</formula>
    </cfRule>
  </conditionalFormatting>
  <conditionalFormatting sqref="E53:M54">
    <cfRule type="containsBlanks" dxfId="1137" priority="15">
      <formula>LEN(TRIM(E53))=0</formula>
    </cfRule>
    <cfRule type="cellIs" dxfId="1136" priority="16" operator="equal">
      <formula>0</formula>
    </cfRule>
  </conditionalFormatting>
  <conditionalFormatting sqref="E55:M55">
    <cfRule type="containsText" dxfId="1135" priority="5" operator="containsText" text="false">
      <formula>NOT(ISERROR(SEARCH("false",E55)))</formula>
    </cfRule>
    <cfRule type="containsText" dxfId="1134" priority="6" operator="containsText" text="true">
      <formula>NOT(ISERROR(SEARCH("true",E55)))</formula>
    </cfRule>
  </conditionalFormatting>
  <conditionalFormatting sqref="E26:N39">
    <cfRule type="containsBlanks" dxfId="1133" priority="3">
      <formula>LEN(TRIM(E26))=0</formula>
    </cfRule>
    <cfRule type="cellIs" dxfId="1132" priority="4" operator="equal">
      <formula>0</formula>
    </cfRule>
  </conditionalFormatting>
  <conditionalFormatting sqref="F48:M48">
    <cfRule type="containsBlanks" dxfId="1131" priority="23">
      <formula>LEN(TRIM(F48))=0</formula>
    </cfRule>
    <cfRule type="cellIs" dxfId="1130" priority="24" operator="equal">
      <formula>0</formula>
    </cfRule>
  </conditionalFormatting>
  <conditionalFormatting sqref="F50:M52">
    <cfRule type="containsBlanks" dxfId="1129" priority="19">
      <formula>LEN(TRIM(F50))=0</formula>
    </cfRule>
    <cfRule type="cellIs" dxfId="1128" priority="20" operator="equal">
      <formula>0</formula>
    </cfRule>
  </conditionalFormatting>
  <conditionalFormatting sqref="N47:N54">
    <cfRule type="containsText" dxfId="1127" priority="7" operator="containsText" text="false">
      <formula>NOT(ISERROR(SEARCH("false",N47)))</formula>
    </cfRule>
    <cfRule type="containsText" dxfId="1126" priority="8" operator="containsText" text="true">
      <formula>NOT(ISERROR(SEARCH("true",N47)))</formula>
    </cfRule>
  </conditionalFormatting>
  <conditionalFormatting sqref="N55">
    <cfRule type="containsBlanks" dxfId="1125" priority="13">
      <formula>LEN(TRIM(N55))=0</formula>
    </cfRule>
    <cfRule type="cellIs" dxfId="1124" priority="14" operator="equal">
      <formula>0</formula>
    </cfRule>
  </conditionalFormatting>
  <conditionalFormatting sqref="O26:O40">
    <cfRule type="containsText" dxfId="1123" priority="9" operator="containsText" text="false">
      <formula>NOT(ISERROR(SEARCH("false",O26)))</formula>
    </cfRule>
    <cfRule type="containsText" dxfId="1122" priority="10" operator="containsText" text="true">
      <formula>NOT(ISERROR(SEARCH("true",O26)))</formula>
    </cfRule>
  </conditionalFormatting>
  <conditionalFormatting sqref="O42">
    <cfRule type="cellIs" dxfId="1121" priority="1" operator="notEqual">
      <formula>100</formula>
    </cfRule>
    <cfRule type="cellIs" dxfId="1120" priority="2" operator="equal">
      <formula>100</formula>
    </cfRule>
  </conditionalFormatting>
  <pageMargins left="0.7" right="0.7" top="0.75" bottom="0.75" header="0.3" footer="0.3"/>
  <pageSetup paperSize="9" scale="1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249977111117893"/>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174</v>
      </c>
      <c r="J6" s="43" t="s">
        <v>278</v>
      </c>
      <c r="K6" s="1" t="s">
        <v>77</v>
      </c>
    </row>
    <row r="7" spans="2:26" ht="72.599999999999994" customHeight="1" thickBot="1" x14ac:dyDescent="0.3">
      <c r="B7" s="160"/>
      <c r="C7" s="161"/>
      <c r="D7" s="43" t="s">
        <v>279</v>
      </c>
      <c r="E7" s="1">
        <v>2</v>
      </c>
      <c r="F7" s="43" t="s">
        <v>280</v>
      </c>
      <c r="G7" s="1">
        <v>4</v>
      </c>
      <c r="H7" s="43" t="s">
        <v>281</v>
      </c>
      <c r="I7" s="1">
        <v>1</v>
      </c>
      <c r="J7" s="43" t="s">
        <v>283</v>
      </c>
      <c r="K7" s="1" t="s">
        <v>641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129" t="s">
        <v>560</v>
      </c>
      <c r="D11" s="130" t="s">
        <v>642</v>
      </c>
      <c r="E11" s="129" t="s">
        <v>13</v>
      </c>
      <c r="F11" s="131"/>
      <c r="G11" s="132"/>
      <c r="H11" s="132">
        <v>0.6</v>
      </c>
      <c r="I11" s="132">
        <v>1</v>
      </c>
      <c r="J11" s="133" t="s">
        <v>1581</v>
      </c>
      <c r="K11" s="133" t="s">
        <v>643</v>
      </c>
      <c r="U11" s="3">
        <f>F11</f>
        <v>0</v>
      </c>
      <c r="V11" s="2" t="str">
        <f t="shared" ref="V11:V19" si="0">C11</f>
        <v>K3.1</v>
      </c>
      <c r="W11" s="2"/>
      <c r="X11" s="17"/>
      <c r="Y11" s="37"/>
      <c r="Z11" s="37"/>
    </row>
    <row r="12" spans="2:26" ht="172.5" customHeight="1" x14ac:dyDescent="0.25">
      <c r="B12" s="36"/>
      <c r="C12" s="134" t="s">
        <v>644</v>
      </c>
      <c r="D12" s="135" t="s">
        <v>1723</v>
      </c>
      <c r="E12" s="134" t="s">
        <v>18</v>
      </c>
      <c r="F12" s="136"/>
      <c r="G12" s="137"/>
      <c r="H12" s="132">
        <v>0.6</v>
      </c>
      <c r="I12" s="132">
        <v>1</v>
      </c>
      <c r="J12" s="133" t="s">
        <v>645</v>
      </c>
      <c r="K12" s="133" t="s">
        <v>1578</v>
      </c>
      <c r="U12" s="6">
        <f>F12</f>
        <v>0</v>
      </c>
      <c r="V12" s="2" t="str">
        <f t="shared" si="0"/>
        <v>S1.1</v>
      </c>
      <c r="W12" s="5"/>
      <c r="X12" s="4"/>
      <c r="Y12" s="38"/>
      <c r="Z12" s="38"/>
    </row>
    <row r="13" spans="2:26" ht="58.9" customHeight="1" x14ac:dyDescent="0.25">
      <c r="B13" s="36"/>
      <c r="C13" s="134" t="s">
        <v>586</v>
      </c>
      <c r="D13" s="135" t="s">
        <v>647</v>
      </c>
      <c r="E13" s="134" t="s">
        <v>27</v>
      </c>
      <c r="F13" s="136"/>
      <c r="G13" s="137"/>
      <c r="H13" s="132">
        <v>0.6</v>
      </c>
      <c r="I13" s="132">
        <v>1</v>
      </c>
      <c r="J13" s="138" t="s">
        <v>1579</v>
      </c>
      <c r="K13" s="138" t="s">
        <v>646</v>
      </c>
      <c r="U13" s="6">
        <f>F13</f>
        <v>0</v>
      </c>
      <c r="V13" s="2" t="str">
        <f t="shared" si="0"/>
        <v>S5.1</v>
      </c>
      <c r="W13" s="5"/>
      <c r="X13" s="4"/>
      <c r="Y13" s="38"/>
      <c r="Z13" s="38"/>
    </row>
    <row r="14" spans="2:26" ht="58.9" customHeight="1" x14ac:dyDescent="0.25">
      <c r="B14" s="36"/>
      <c r="C14" s="134" t="s">
        <v>441</v>
      </c>
      <c r="D14" s="135" t="s">
        <v>648</v>
      </c>
      <c r="E14" s="134" t="s">
        <v>39</v>
      </c>
      <c r="F14" s="136"/>
      <c r="G14" s="137"/>
      <c r="H14" s="132">
        <v>0.6</v>
      </c>
      <c r="I14" s="132">
        <v>1</v>
      </c>
      <c r="J14" s="138" t="s">
        <v>649</v>
      </c>
      <c r="K14" s="138" t="s">
        <v>650</v>
      </c>
      <c r="U14" s="6">
        <f>F14</f>
        <v>0</v>
      </c>
      <c r="V14" s="2" t="str">
        <f t="shared" si="0"/>
        <v>S6.1</v>
      </c>
      <c r="W14" s="5"/>
      <c r="X14" s="4"/>
      <c r="Y14" s="38"/>
      <c r="Z14" s="38"/>
    </row>
    <row r="15" spans="2:26" ht="58.9" customHeight="1" x14ac:dyDescent="0.25">
      <c r="B15" s="36"/>
      <c r="C15" s="134" t="s">
        <v>300</v>
      </c>
      <c r="D15" s="135" t="s">
        <v>651</v>
      </c>
      <c r="E15" s="134" t="s">
        <v>44</v>
      </c>
      <c r="F15" s="136"/>
      <c r="G15" s="137"/>
      <c r="H15" s="132">
        <v>0.6</v>
      </c>
      <c r="I15" s="132">
        <v>1</v>
      </c>
      <c r="J15" s="138" t="s">
        <v>652</v>
      </c>
      <c r="K15" s="138" t="s">
        <v>1580</v>
      </c>
      <c r="U15" s="6">
        <f>F15</f>
        <v>0</v>
      </c>
      <c r="V15" s="2" t="str">
        <f t="shared" si="0"/>
        <v>V1.1</v>
      </c>
      <c r="W15" s="5"/>
      <c r="X15" s="4"/>
      <c r="Y15" s="38"/>
      <c r="Z15" s="38"/>
    </row>
    <row r="16" spans="2:26" ht="58.9" customHeight="1" x14ac:dyDescent="0.25">
      <c r="B16" s="36"/>
      <c r="C16" s="134" t="s">
        <v>567</v>
      </c>
      <c r="D16" s="135" t="s">
        <v>653</v>
      </c>
      <c r="E16" s="134" t="s">
        <v>48</v>
      </c>
      <c r="F16" s="136"/>
      <c r="G16" s="137"/>
      <c r="H16" s="137">
        <v>0.6</v>
      </c>
      <c r="I16" s="137">
        <v>1</v>
      </c>
      <c r="J16" s="138" t="s">
        <v>654</v>
      </c>
      <c r="K16" s="139" t="s">
        <v>646</v>
      </c>
      <c r="U16" s="6"/>
      <c r="V16" s="2" t="str">
        <f t="shared" si="0"/>
        <v>V2.1</v>
      </c>
      <c r="W16" s="5"/>
      <c r="X16" s="4"/>
      <c r="Y16" s="38"/>
      <c r="Z16" s="38"/>
    </row>
    <row r="17" spans="2:26" ht="58.9" customHeight="1" x14ac:dyDescent="0.25">
      <c r="B17" s="36"/>
      <c r="C17" s="5"/>
      <c r="D17" s="79"/>
      <c r="E17" s="5"/>
      <c r="F17" s="6"/>
      <c r="G17" s="4"/>
      <c r="H17" s="4"/>
      <c r="I17" s="4"/>
      <c r="J17" s="84"/>
      <c r="K17" s="84"/>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K3.1</v>
      </c>
      <c r="G25" s="49" t="str">
        <f>C12</f>
        <v>S1.1</v>
      </c>
      <c r="H25" s="49" t="str">
        <f>C13</f>
        <v>S5.1</v>
      </c>
      <c r="I25" s="49" t="str">
        <f>C14</f>
        <v>S6.1</v>
      </c>
      <c r="J25" s="49" t="str">
        <f>C15</f>
        <v>V1.1</v>
      </c>
      <c r="K25" s="49" t="str">
        <f>C16</f>
        <v>V2.1</v>
      </c>
      <c r="L25" s="49">
        <f>C17</f>
        <v>0</v>
      </c>
      <c r="M25" s="49">
        <f>C18</f>
        <v>0</v>
      </c>
      <c r="N25" s="49">
        <f>C19</f>
        <v>0</v>
      </c>
      <c r="O25" s="50" t="s">
        <v>305</v>
      </c>
    </row>
    <row r="26" spans="2:26" ht="30.4" customHeight="1" thickBot="1" x14ac:dyDescent="0.3">
      <c r="C26" s="51" t="s">
        <v>306</v>
      </c>
      <c r="D26" s="83" t="s">
        <v>655</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656</v>
      </c>
      <c r="E27" s="8">
        <v>4</v>
      </c>
      <c r="F27" s="8"/>
      <c r="G27" s="8">
        <v>1</v>
      </c>
      <c r="H27" s="8">
        <v>1</v>
      </c>
      <c r="I27" s="8"/>
      <c r="J27" s="8"/>
      <c r="K27" s="8">
        <v>2</v>
      </c>
      <c r="L27" s="8"/>
      <c r="M27" s="8"/>
      <c r="N27" s="8"/>
      <c r="O27" s="53" t="b">
        <f t="shared" si="1"/>
        <v>1</v>
      </c>
    </row>
    <row r="28" spans="2:26" ht="30.4" customHeight="1" thickBot="1" x14ac:dyDescent="0.3">
      <c r="C28" s="51" t="s">
        <v>308</v>
      </c>
      <c r="D28" s="83" t="s">
        <v>657</v>
      </c>
      <c r="E28" s="8">
        <v>4</v>
      </c>
      <c r="F28" s="8">
        <v>1</v>
      </c>
      <c r="G28" s="8"/>
      <c r="H28" s="8"/>
      <c r="I28" s="8">
        <v>1</v>
      </c>
      <c r="J28" s="8">
        <v>1</v>
      </c>
      <c r="K28" s="8">
        <v>1</v>
      </c>
      <c r="L28" s="8"/>
      <c r="M28" s="8"/>
      <c r="N28" s="8"/>
      <c r="O28" s="53" t="b">
        <f t="shared" si="1"/>
        <v>1</v>
      </c>
    </row>
    <row r="29" spans="2:26" ht="30.4" customHeight="1" thickBot="1" x14ac:dyDescent="0.3">
      <c r="C29" s="51" t="s">
        <v>309</v>
      </c>
      <c r="D29" s="83" t="s">
        <v>658</v>
      </c>
      <c r="E29" s="8">
        <v>4</v>
      </c>
      <c r="F29" s="8">
        <v>1</v>
      </c>
      <c r="G29" s="8"/>
      <c r="H29" s="8"/>
      <c r="I29" s="8">
        <v>2</v>
      </c>
      <c r="J29" s="8">
        <v>1</v>
      </c>
      <c r="K29" s="8"/>
      <c r="L29" s="8"/>
      <c r="M29" s="8"/>
      <c r="N29" s="8"/>
      <c r="O29" s="53" t="b">
        <f t="shared" si="1"/>
        <v>1</v>
      </c>
    </row>
    <row r="30" spans="2:26" ht="30.4" customHeight="1" thickBot="1" x14ac:dyDescent="0.3">
      <c r="C30" s="51" t="s">
        <v>310</v>
      </c>
      <c r="D30" s="83" t="s">
        <v>659</v>
      </c>
      <c r="E30" s="8">
        <v>2</v>
      </c>
      <c r="F30" s="8"/>
      <c r="G30" s="8"/>
      <c r="H30" s="8"/>
      <c r="I30" s="8">
        <v>1</v>
      </c>
      <c r="J30" s="8">
        <v>1</v>
      </c>
      <c r="K30" s="8"/>
      <c r="L30" s="8"/>
      <c r="M30" s="8"/>
      <c r="N30" s="8"/>
      <c r="O30" s="53" t="b">
        <f t="shared" si="1"/>
        <v>1</v>
      </c>
    </row>
    <row r="31" spans="2:26" ht="30.4" customHeight="1" thickBot="1" x14ac:dyDescent="0.3">
      <c r="C31" s="51" t="s">
        <v>311</v>
      </c>
      <c r="D31" s="83" t="s">
        <v>660</v>
      </c>
      <c r="E31" s="8">
        <v>3</v>
      </c>
      <c r="F31" s="8"/>
      <c r="G31" s="8"/>
      <c r="H31" s="8">
        <v>1</v>
      </c>
      <c r="I31" s="8">
        <v>1</v>
      </c>
      <c r="J31" s="8">
        <v>1</v>
      </c>
      <c r="K31" s="8"/>
      <c r="L31" s="8"/>
      <c r="M31" s="8"/>
      <c r="N31" s="8"/>
      <c r="O31" s="53" t="b">
        <f t="shared" si="1"/>
        <v>1</v>
      </c>
    </row>
    <row r="32" spans="2:26" ht="30.4" customHeight="1" thickBot="1" x14ac:dyDescent="0.3">
      <c r="C32" s="51" t="s">
        <v>312</v>
      </c>
      <c r="D32" s="83" t="s">
        <v>661</v>
      </c>
      <c r="E32" s="8">
        <v>3</v>
      </c>
      <c r="F32" s="8"/>
      <c r="G32" s="8"/>
      <c r="H32" s="8">
        <v>1</v>
      </c>
      <c r="I32" s="8">
        <v>1</v>
      </c>
      <c r="J32" s="8">
        <v>1</v>
      </c>
      <c r="K32" s="8"/>
      <c r="L32" s="8"/>
      <c r="M32" s="8"/>
      <c r="N32" s="8"/>
      <c r="O32" s="53" t="b">
        <f t="shared" si="1"/>
        <v>1</v>
      </c>
    </row>
    <row r="33" spans="2:15" ht="30.4" customHeight="1" thickBot="1" x14ac:dyDescent="0.3">
      <c r="C33" s="51" t="s">
        <v>313</v>
      </c>
      <c r="D33" s="83" t="s">
        <v>662</v>
      </c>
      <c r="E33" s="8">
        <v>4</v>
      </c>
      <c r="F33" s="8"/>
      <c r="G33" s="8"/>
      <c r="H33" s="8">
        <v>1</v>
      </c>
      <c r="I33" s="8">
        <v>1</v>
      </c>
      <c r="J33" s="8">
        <v>2</v>
      </c>
      <c r="K33" s="8"/>
      <c r="L33" s="8"/>
      <c r="M33" s="8"/>
      <c r="N33" s="8"/>
      <c r="O33" s="53" t="b">
        <f t="shared" si="1"/>
        <v>1</v>
      </c>
    </row>
    <row r="34" spans="2:15" ht="30.4" customHeight="1" thickBot="1" x14ac:dyDescent="0.3">
      <c r="C34" s="51" t="s">
        <v>314</v>
      </c>
      <c r="D34" s="83" t="s">
        <v>663</v>
      </c>
      <c r="E34" s="8">
        <v>4</v>
      </c>
      <c r="F34" s="8"/>
      <c r="G34" s="8"/>
      <c r="H34" s="8"/>
      <c r="I34" s="8">
        <v>2</v>
      </c>
      <c r="J34" s="8">
        <v>2</v>
      </c>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3</v>
      </c>
      <c r="G40" s="52">
        <f t="shared" si="2"/>
        <v>2</v>
      </c>
      <c r="H40" s="52">
        <f t="shared" si="2"/>
        <v>4</v>
      </c>
      <c r="I40" s="52">
        <f t="shared" si="2"/>
        <v>9</v>
      </c>
      <c r="J40" s="52">
        <f t="shared" si="2"/>
        <v>9</v>
      </c>
      <c r="K40" s="52">
        <f t="shared" si="2"/>
        <v>3</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0.1</v>
      </c>
      <c r="G41" s="54">
        <f>ROUND(G40/E40,2)</f>
        <v>7.0000000000000007E-2</v>
      </c>
      <c r="H41" s="54">
        <f>ROUND(H40/E40,2)</f>
        <v>0.13</v>
      </c>
      <c r="I41" s="54">
        <f>ROUND(I40/E40,2)</f>
        <v>0.3</v>
      </c>
      <c r="J41" s="54">
        <f>ROUND(J40/E40,2)</f>
        <v>0.3</v>
      </c>
      <c r="K41" s="54">
        <f>ROUND(K40/E40,2)</f>
        <v>0.1</v>
      </c>
      <c r="L41" s="54">
        <f>ROUND(L40/E40,2)</f>
        <v>0</v>
      </c>
      <c r="M41" s="54">
        <f>ROUND(M40/E40,2)</f>
        <v>0</v>
      </c>
      <c r="N41" s="54">
        <f>ROUND(N40/E40,2)</f>
        <v>0</v>
      </c>
      <c r="O41" s="54">
        <f>SUM(F41:N41)</f>
        <v>1.0000000000000002</v>
      </c>
    </row>
    <row r="42" spans="2:15" ht="55.9" customHeight="1" x14ac:dyDescent="0.25">
      <c r="C42" s="151" t="s">
        <v>322</v>
      </c>
      <c r="D42" s="151"/>
      <c r="E42" s="151"/>
      <c r="F42" s="7">
        <v>10</v>
      </c>
      <c r="G42" s="7">
        <v>5</v>
      </c>
      <c r="H42" s="7">
        <v>15</v>
      </c>
      <c r="I42" s="7">
        <v>30</v>
      </c>
      <c r="J42" s="7">
        <v>30</v>
      </c>
      <c r="K42" s="7">
        <v>10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K3.1</v>
      </c>
      <c r="F46" s="59" t="str">
        <f>C12</f>
        <v>S1.1</v>
      </c>
      <c r="G46" s="59" t="str">
        <f>C13</f>
        <v>S5.1</v>
      </c>
      <c r="H46" s="59" t="str">
        <f>C14</f>
        <v>S6.1</v>
      </c>
      <c r="I46" s="59" t="str">
        <f>C15</f>
        <v>V1.1</v>
      </c>
      <c r="J46" s="59" t="str">
        <f>C16</f>
        <v>V2.1</v>
      </c>
      <c r="K46" s="59">
        <f>C17</f>
        <v>0</v>
      </c>
      <c r="L46" s="59">
        <f>C18</f>
        <v>0</v>
      </c>
      <c r="M46" s="59">
        <f>C19</f>
        <v>0</v>
      </c>
      <c r="N46" s="60" t="s">
        <v>327</v>
      </c>
    </row>
    <row r="47" spans="2:15" ht="55.15" customHeight="1" x14ac:dyDescent="0.25">
      <c r="C47" s="9" t="s">
        <v>328</v>
      </c>
      <c r="D47" s="10"/>
      <c r="E47" s="8"/>
      <c r="F47" s="8"/>
      <c r="G47" s="8"/>
      <c r="H47" s="8"/>
      <c r="I47" s="8"/>
      <c r="J47" s="8"/>
      <c r="K47" s="8"/>
      <c r="L47" s="8"/>
      <c r="M47" s="8"/>
      <c r="N47" s="55" t="b">
        <f t="shared" ref="N47:N54" si="3">IF(SUM(E47:M47)=D47,TRUE,"false")</f>
        <v>1</v>
      </c>
    </row>
    <row r="48" spans="2:15" ht="55.15" customHeight="1" x14ac:dyDescent="0.25">
      <c r="C48" s="9" t="s">
        <v>329</v>
      </c>
      <c r="D48" s="10">
        <v>10</v>
      </c>
      <c r="E48" s="11">
        <v>10</v>
      </c>
      <c r="F48" s="12"/>
      <c r="G48" s="12"/>
      <c r="H48" s="12"/>
      <c r="I48" s="12"/>
      <c r="J48" s="12"/>
      <c r="K48" s="12"/>
      <c r="L48" s="12"/>
      <c r="M48" s="12"/>
      <c r="N48" s="55" t="b">
        <f t="shared" si="3"/>
        <v>1</v>
      </c>
    </row>
    <row r="49" spans="3:14" ht="55.15" customHeight="1" x14ac:dyDescent="0.25">
      <c r="C49" s="9" t="s">
        <v>330</v>
      </c>
      <c r="D49" s="10">
        <v>10</v>
      </c>
      <c r="E49" s="11"/>
      <c r="F49" s="12"/>
      <c r="G49" s="12"/>
      <c r="H49" s="12">
        <v>10</v>
      </c>
      <c r="I49" s="12"/>
      <c r="J49" s="12"/>
      <c r="K49" s="12"/>
      <c r="L49" s="12"/>
      <c r="M49" s="12"/>
      <c r="N49" s="55" t="b">
        <f t="shared" si="3"/>
        <v>1</v>
      </c>
    </row>
    <row r="50" spans="3:14" ht="55.15" customHeight="1" x14ac:dyDescent="0.25">
      <c r="C50" s="9" t="s">
        <v>664</v>
      </c>
      <c r="D50" s="10">
        <v>30</v>
      </c>
      <c r="E50" s="11"/>
      <c r="F50" s="12"/>
      <c r="G50" s="12"/>
      <c r="H50" s="12">
        <v>20</v>
      </c>
      <c r="I50" s="12">
        <v>10</v>
      </c>
      <c r="J50" s="12"/>
      <c r="K50" s="12"/>
      <c r="L50" s="12"/>
      <c r="M50" s="12"/>
      <c r="N50" s="55" t="b">
        <f t="shared" si="3"/>
        <v>1</v>
      </c>
    </row>
    <row r="51" spans="3:14" ht="55.15" customHeight="1" x14ac:dyDescent="0.25">
      <c r="C51" s="9" t="s">
        <v>607</v>
      </c>
      <c r="D51" s="10">
        <v>10</v>
      </c>
      <c r="E51" s="11"/>
      <c r="F51" s="12"/>
      <c r="G51" s="12"/>
      <c r="H51" s="12"/>
      <c r="I51" s="12">
        <v>10</v>
      </c>
      <c r="J51" s="12"/>
      <c r="K51" s="12"/>
      <c r="L51" s="12"/>
      <c r="M51" s="12"/>
      <c r="N51" s="55" t="b">
        <f t="shared" si="3"/>
        <v>1</v>
      </c>
    </row>
    <row r="52" spans="3:14" ht="55.15" customHeight="1" x14ac:dyDescent="0.25">
      <c r="C52" s="9" t="s">
        <v>665</v>
      </c>
      <c r="D52" s="10">
        <v>40</v>
      </c>
      <c r="E52" s="11"/>
      <c r="F52" s="12">
        <v>5</v>
      </c>
      <c r="G52" s="12">
        <v>15</v>
      </c>
      <c r="H52" s="12"/>
      <c r="I52" s="12">
        <v>10</v>
      </c>
      <c r="J52" s="12">
        <v>10</v>
      </c>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10</v>
      </c>
      <c r="F56" s="65">
        <f t="shared" si="5"/>
        <v>5</v>
      </c>
      <c r="G56" s="65">
        <f t="shared" si="5"/>
        <v>15</v>
      </c>
      <c r="H56" s="65">
        <f t="shared" si="5"/>
        <v>30</v>
      </c>
      <c r="I56" s="65">
        <f t="shared" si="5"/>
        <v>30</v>
      </c>
      <c r="J56" s="65">
        <f t="shared" si="5"/>
        <v>10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119" priority="11">
      <formula>LEN(TRIM(D47))=0</formula>
    </cfRule>
    <cfRule type="cellIs" dxfId="1118" priority="12" operator="equal">
      <formula>0</formula>
    </cfRule>
  </conditionalFormatting>
  <conditionalFormatting sqref="E50">
    <cfRule type="containsBlanks" dxfId="1117" priority="21">
      <formula>LEN(TRIM(E50))=0</formula>
    </cfRule>
    <cfRule type="cellIs" dxfId="1116" priority="22" operator="equal">
      <formula>0</formula>
    </cfRule>
  </conditionalFormatting>
  <conditionalFormatting sqref="E47:M51 E52">
    <cfRule type="containsBlanks" dxfId="1115" priority="17">
      <formula>LEN(TRIM(E47))=0</formula>
    </cfRule>
    <cfRule type="cellIs" dxfId="1114" priority="18" operator="equal">
      <formula>0</formula>
    </cfRule>
  </conditionalFormatting>
  <conditionalFormatting sqref="E53:M54">
    <cfRule type="containsBlanks" dxfId="1113" priority="15">
      <formula>LEN(TRIM(E53))=0</formula>
    </cfRule>
    <cfRule type="cellIs" dxfId="1112" priority="16" operator="equal">
      <formula>0</formula>
    </cfRule>
  </conditionalFormatting>
  <conditionalFormatting sqref="E55:M55">
    <cfRule type="containsText" dxfId="1111" priority="5" operator="containsText" text="false">
      <formula>NOT(ISERROR(SEARCH("false",E55)))</formula>
    </cfRule>
    <cfRule type="containsText" dxfId="1110" priority="6" operator="containsText" text="true">
      <formula>NOT(ISERROR(SEARCH("true",E55)))</formula>
    </cfRule>
  </conditionalFormatting>
  <conditionalFormatting sqref="E26:N39">
    <cfRule type="containsBlanks" dxfId="1109" priority="3">
      <formula>LEN(TRIM(E26))=0</formula>
    </cfRule>
    <cfRule type="cellIs" dxfId="1108" priority="4" operator="equal">
      <formula>0</formula>
    </cfRule>
  </conditionalFormatting>
  <conditionalFormatting sqref="F48:M48">
    <cfRule type="containsBlanks" dxfId="1107" priority="23">
      <formula>LEN(TRIM(F48))=0</formula>
    </cfRule>
    <cfRule type="cellIs" dxfId="1106" priority="24" operator="equal">
      <formula>0</formula>
    </cfRule>
  </conditionalFormatting>
  <conditionalFormatting sqref="F50:M52">
    <cfRule type="containsBlanks" dxfId="1105" priority="19">
      <formula>LEN(TRIM(F50))=0</formula>
    </cfRule>
    <cfRule type="cellIs" dxfId="1104" priority="20" operator="equal">
      <formula>0</formula>
    </cfRule>
  </conditionalFormatting>
  <conditionalFormatting sqref="N47:N54">
    <cfRule type="containsText" dxfId="1103" priority="7" operator="containsText" text="false">
      <formula>NOT(ISERROR(SEARCH("false",N47)))</formula>
    </cfRule>
    <cfRule type="containsText" dxfId="1102" priority="8" operator="containsText" text="true">
      <formula>NOT(ISERROR(SEARCH("true",N47)))</formula>
    </cfRule>
  </conditionalFormatting>
  <conditionalFormatting sqref="N55">
    <cfRule type="containsBlanks" dxfId="1101" priority="13">
      <formula>LEN(TRIM(N55))=0</formula>
    </cfRule>
    <cfRule type="cellIs" dxfId="1100" priority="14" operator="equal">
      <formula>0</formula>
    </cfRule>
  </conditionalFormatting>
  <conditionalFormatting sqref="O26:O40">
    <cfRule type="containsText" dxfId="1099" priority="9" operator="containsText" text="false">
      <formula>NOT(ISERROR(SEARCH("false",O26)))</formula>
    </cfRule>
    <cfRule type="containsText" dxfId="1098" priority="10" operator="containsText" text="true">
      <formula>NOT(ISERROR(SEARCH("true",O26)))</formula>
    </cfRule>
  </conditionalFormatting>
  <conditionalFormatting sqref="O42">
    <cfRule type="cellIs" dxfId="1097" priority="1" operator="notEqual">
      <formula>100</formula>
    </cfRule>
    <cfRule type="cellIs" dxfId="1096" priority="2" operator="equal">
      <formula>100</formula>
    </cfRule>
  </conditionalFormatting>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pageSetUpPr fitToPage="1"/>
  </sheetPr>
  <dimension ref="B2:AB57"/>
  <sheetViews>
    <sheetView zoomScale="50" zoomScaleNormal="50" workbookViewId="0">
      <selection activeCell="G8" sqref="G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176</v>
      </c>
      <c r="J6" s="43" t="s">
        <v>278</v>
      </c>
      <c r="K6" s="1" t="s">
        <v>73</v>
      </c>
    </row>
    <row r="7" spans="2:26" ht="72.599999999999994" customHeight="1" thickBot="1" x14ac:dyDescent="0.3">
      <c r="B7" s="160"/>
      <c r="C7" s="161"/>
      <c r="D7" s="43" t="s">
        <v>279</v>
      </c>
      <c r="E7" s="1">
        <v>2</v>
      </c>
      <c r="F7" s="43" t="s">
        <v>280</v>
      </c>
      <c r="G7" s="1">
        <v>4</v>
      </c>
      <c r="H7" s="43" t="s">
        <v>281</v>
      </c>
      <c r="I7" s="1" t="s">
        <v>666</v>
      </c>
      <c r="J7" s="43" t="s">
        <v>283</v>
      </c>
      <c r="K7" s="1" t="s">
        <v>621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26" x14ac:dyDescent="0.25">
      <c r="B11" s="36"/>
      <c r="C11" s="89" t="s">
        <v>622</v>
      </c>
      <c r="D11" s="78" t="s">
        <v>667</v>
      </c>
      <c r="E11" s="84" t="s">
        <v>10</v>
      </c>
      <c r="F11" s="3"/>
      <c r="G11" s="17"/>
      <c r="H11" s="17">
        <v>0.6</v>
      </c>
      <c r="I11" s="17">
        <v>1</v>
      </c>
      <c r="J11" s="89" t="s">
        <v>668</v>
      </c>
      <c r="K11" s="89" t="s">
        <v>669</v>
      </c>
      <c r="U11" s="3">
        <f>F11</f>
        <v>0</v>
      </c>
      <c r="V11" s="2" t="str">
        <f>C11</f>
        <v>K.2.1</v>
      </c>
      <c r="W11" s="2"/>
      <c r="X11" s="17"/>
      <c r="Y11" s="37"/>
      <c r="Z11" s="37"/>
    </row>
    <row r="12" spans="2:26" ht="168" x14ac:dyDescent="0.25">
      <c r="B12" s="36"/>
      <c r="C12" s="84" t="s">
        <v>670</v>
      </c>
      <c r="D12" s="79" t="s">
        <v>671</v>
      </c>
      <c r="E12" s="84" t="s">
        <v>10</v>
      </c>
      <c r="F12" s="6"/>
      <c r="G12" s="4"/>
      <c r="H12" s="17">
        <v>0.6</v>
      </c>
      <c r="I12" s="17">
        <v>1</v>
      </c>
      <c r="J12" s="84" t="s">
        <v>672</v>
      </c>
      <c r="K12" s="84" t="s">
        <v>673</v>
      </c>
      <c r="U12" s="6">
        <f>F12</f>
        <v>0</v>
      </c>
      <c r="V12" s="2" t="str">
        <f>C12</f>
        <v>K.2.2</v>
      </c>
      <c r="W12" s="5"/>
      <c r="X12" s="4"/>
      <c r="Y12" s="38"/>
      <c r="Z12" s="38"/>
    </row>
    <row r="13" spans="2:26" ht="58.9" customHeight="1" x14ac:dyDescent="0.25">
      <c r="B13" s="36"/>
      <c r="C13" s="84" t="s">
        <v>625</v>
      </c>
      <c r="D13" s="79" t="s">
        <v>674</v>
      </c>
      <c r="E13" s="84" t="s">
        <v>39</v>
      </c>
      <c r="G13" s="6"/>
      <c r="H13" s="17">
        <v>0.6</v>
      </c>
      <c r="I13" s="17">
        <v>1</v>
      </c>
      <c r="J13" s="84" t="s">
        <v>675</v>
      </c>
      <c r="K13" s="5" t="s">
        <v>676</v>
      </c>
      <c r="U13" s="6">
        <f>G13</f>
        <v>0</v>
      </c>
      <c r="V13" s="2" t="str">
        <f>C13</f>
        <v>S.6.1</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S.6.1</v>
      </c>
      <c r="I25" s="49">
        <f>C14</f>
        <v>0</v>
      </c>
      <c r="J25" s="49">
        <f>C15</f>
        <v>0</v>
      </c>
      <c r="K25" s="49">
        <f>C16</f>
        <v>0</v>
      </c>
      <c r="L25" s="49">
        <f>C17</f>
        <v>0</v>
      </c>
      <c r="M25" s="49">
        <f>C18</f>
        <v>0</v>
      </c>
      <c r="N25" s="49">
        <f>C19</f>
        <v>0</v>
      </c>
      <c r="O25" s="50" t="s">
        <v>305</v>
      </c>
    </row>
    <row r="26" spans="2:26" ht="30.4" customHeight="1" thickBot="1" x14ac:dyDescent="0.3">
      <c r="C26" s="51" t="s">
        <v>306</v>
      </c>
      <c r="D26" s="92" t="s">
        <v>677</v>
      </c>
      <c r="E26" s="8">
        <v>2</v>
      </c>
      <c r="F26" s="8">
        <v>2</v>
      </c>
      <c r="G26" s="8"/>
      <c r="H26" s="8"/>
      <c r="I26" s="8"/>
      <c r="J26" s="8"/>
      <c r="K26" s="8"/>
      <c r="L26" s="8"/>
      <c r="M26" s="8"/>
      <c r="N26" s="8"/>
      <c r="O26" s="53" t="b">
        <f t="shared" ref="O26:O40" si="0">IF(SUM(F26:N26)=E26,TRUE,"false")</f>
        <v>1</v>
      </c>
    </row>
    <row r="27" spans="2:26" ht="30.4" customHeight="1" thickBot="1" x14ac:dyDescent="0.3">
      <c r="C27" s="51" t="s">
        <v>307</v>
      </c>
      <c r="D27" s="92" t="s">
        <v>678</v>
      </c>
      <c r="E27" s="8">
        <v>4</v>
      </c>
      <c r="F27" s="8"/>
      <c r="G27" s="8">
        <v>3</v>
      </c>
      <c r="H27" s="8">
        <v>1</v>
      </c>
      <c r="I27" s="8"/>
      <c r="J27" s="8"/>
      <c r="K27" s="8"/>
      <c r="L27" s="8"/>
      <c r="M27" s="8"/>
      <c r="N27" s="8"/>
      <c r="O27" s="53" t="b">
        <f t="shared" si="0"/>
        <v>1</v>
      </c>
    </row>
    <row r="28" spans="2:26" ht="30.4" customHeight="1" thickBot="1" x14ac:dyDescent="0.3">
      <c r="C28" s="51" t="s">
        <v>308</v>
      </c>
      <c r="D28" s="92" t="s">
        <v>679</v>
      </c>
      <c r="E28" s="8">
        <v>4</v>
      </c>
      <c r="F28" s="8"/>
      <c r="G28" s="8">
        <v>4</v>
      </c>
      <c r="H28" s="8"/>
      <c r="I28" s="8"/>
      <c r="J28" s="8"/>
      <c r="K28" s="8"/>
      <c r="L28" s="8"/>
      <c r="M28" s="8"/>
      <c r="N28" s="8"/>
      <c r="O28" s="53" t="b">
        <f t="shared" si="0"/>
        <v>1</v>
      </c>
    </row>
    <row r="29" spans="2:26" ht="30.4" customHeight="1" thickBot="1" x14ac:dyDescent="0.3">
      <c r="C29" s="51" t="s">
        <v>309</v>
      </c>
      <c r="D29" s="92" t="s">
        <v>680</v>
      </c>
      <c r="E29" s="8">
        <v>6</v>
      </c>
      <c r="F29" s="8">
        <v>3</v>
      </c>
      <c r="G29" s="8">
        <v>3</v>
      </c>
      <c r="H29" s="8"/>
      <c r="I29" s="8"/>
      <c r="J29" s="8"/>
      <c r="K29" s="8"/>
      <c r="L29" s="8"/>
      <c r="M29" s="8"/>
      <c r="N29" s="8"/>
      <c r="O29" s="53" t="b">
        <f t="shared" si="0"/>
        <v>1</v>
      </c>
    </row>
    <row r="30" spans="2:26" ht="23.25" thickBot="1" x14ac:dyDescent="0.3">
      <c r="C30" s="51" t="s">
        <v>310</v>
      </c>
      <c r="D30" s="92" t="s">
        <v>681</v>
      </c>
      <c r="E30" s="8">
        <v>2</v>
      </c>
      <c r="F30" s="8">
        <v>2</v>
      </c>
      <c r="G30" s="8"/>
      <c r="H30" s="8"/>
      <c r="I30" s="8"/>
      <c r="J30" s="8"/>
      <c r="K30" s="8"/>
      <c r="L30" s="8"/>
      <c r="M30" s="8"/>
      <c r="N30" s="8"/>
      <c r="O30" s="53" t="b">
        <f t="shared" si="0"/>
        <v>1</v>
      </c>
    </row>
    <row r="31" spans="2:26" ht="30.4" customHeight="1" thickBot="1" x14ac:dyDescent="0.3">
      <c r="C31" s="51" t="s">
        <v>311</v>
      </c>
      <c r="D31" s="92" t="s">
        <v>682</v>
      </c>
      <c r="E31" s="8">
        <v>4</v>
      </c>
      <c r="F31" s="8"/>
      <c r="G31" s="8">
        <v>2</v>
      </c>
      <c r="H31" s="8">
        <v>2</v>
      </c>
      <c r="I31" s="8"/>
      <c r="J31" s="8"/>
      <c r="K31" s="8"/>
      <c r="L31" s="8"/>
      <c r="M31" s="8"/>
      <c r="N31" s="8"/>
      <c r="O31" s="53" t="b">
        <f t="shared" si="0"/>
        <v>1</v>
      </c>
    </row>
    <row r="32" spans="2:26" ht="36.6" customHeight="1" thickBot="1" x14ac:dyDescent="0.3">
      <c r="C32" s="51" t="s">
        <v>312</v>
      </c>
      <c r="D32" s="92" t="s">
        <v>683</v>
      </c>
      <c r="E32" s="8">
        <v>4</v>
      </c>
      <c r="F32" s="8"/>
      <c r="G32" s="8">
        <v>4</v>
      </c>
      <c r="H32" s="8"/>
      <c r="I32" s="8"/>
      <c r="J32" s="8"/>
      <c r="K32" s="8"/>
      <c r="L32" s="8"/>
      <c r="M32" s="8"/>
      <c r="N32" s="8"/>
      <c r="O32" s="53" t="b">
        <f t="shared" si="0"/>
        <v>1</v>
      </c>
    </row>
    <row r="33" spans="2:15" ht="30.4" customHeight="1" thickBot="1" x14ac:dyDescent="0.3">
      <c r="C33" s="51" t="s">
        <v>313</v>
      </c>
      <c r="D33" s="92" t="s">
        <v>684</v>
      </c>
      <c r="E33" s="8">
        <v>4</v>
      </c>
      <c r="F33" s="8">
        <v>4</v>
      </c>
      <c r="G33" s="8"/>
      <c r="H33" s="8"/>
      <c r="I33" s="8"/>
      <c r="J33" s="8"/>
      <c r="K33" s="8"/>
      <c r="L33" s="8"/>
      <c r="M33" s="8"/>
      <c r="N33" s="8"/>
      <c r="O33" s="53" t="b">
        <f t="shared" si="0"/>
        <v>1</v>
      </c>
    </row>
    <row r="34" spans="2:15" ht="30.4" customHeight="1" thickBot="1" x14ac:dyDescent="0.3">
      <c r="C34" s="51" t="s">
        <v>314</v>
      </c>
      <c r="D34" s="25"/>
      <c r="E34" s="8"/>
      <c r="F34" s="8"/>
      <c r="G34" s="8"/>
      <c r="H34" s="8"/>
      <c r="I34" s="8"/>
      <c r="J34" s="8"/>
      <c r="K34" s="8"/>
      <c r="L34" s="8"/>
      <c r="M34" s="8"/>
      <c r="N34" s="8"/>
      <c r="O34" s="53" t="b">
        <f t="shared" si="0"/>
        <v>1</v>
      </c>
    </row>
    <row r="35" spans="2:15" ht="30.4" customHeight="1" thickBot="1" x14ac:dyDescent="0.3">
      <c r="C35" s="51" t="s">
        <v>315</v>
      </c>
      <c r="D35" s="25"/>
      <c r="E35" s="8"/>
      <c r="F35" s="8"/>
      <c r="G35" s="8"/>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11</v>
      </c>
      <c r="G40" s="52">
        <f t="shared" si="1"/>
        <v>16</v>
      </c>
      <c r="H40" s="52">
        <f t="shared" si="1"/>
        <v>3</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0.37</v>
      </c>
      <c r="G41" s="54">
        <f>ROUND(G40/E40,2)</f>
        <v>0.53</v>
      </c>
      <c r="H41" s="54">
        <f>ROUND(H40/E40,2)</f>
        <v>0.1</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40</v>
      </c>
      <c r="G42" s="7">
        <v>50</v>
      </c>
      <c r="H42" s="7">
        <v>10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S.6.1</v>
      </c>
      <c r="H46" s="59">
        <f>C14</f>
        <v>0</v>
      </c>
      <c r="I46" s="59">
        <f>C15</f>
        <v>0</v>
      </c>
      <c r="J46" s="59">
        <f>C16</f>
        <v>0</v>
      </c>
      <c r="K46" s="59">
        <f>C17</f>
        <v>0</v>
      </c>
      <c r="L46" s="59">
        <f>C18</f>
        <v>0</v>
      </c>
      <c r="M46" s="59">
        <f>C19</f>
        <v>0</v>
      </c>
      <c r="N46" s="60" t="s">
        <v>327</v>
      </c>
    </row>
    <row r="47" spans="2:15" ht="55.15" customHeight="1" x14ac:dyDescent="0.25">
      <c r="C47" s="9" t="s">
        <v>458</v>
      </c>
      <c r="D47" s="10">
        <v>15</v>
      </c>
      <c r="E47" s="8">
        <v>10</v>
      </c>
      <c r="F47" s="8">
        <v>5</v>
      </c>
      <c r="G47" s="8"/>
      <c r="H47" s="8"/>
      <c r="I47" s="8"/>
      <c r="J47" s="8"/>
      <c r="K47" s="8"/>
      <c r="L47" s="8"/>
      <c r="M47" s="8"/>
      <c r="N47" s="55" t="b">
        <f t="shared" ref="N47:N54" si="2">IF(SUM(E47:M47)=D47,TRUE,"false")</f>
        <v>1</v>
      </c>
    </row>
    <row r="48" spans="2:15" ht="55.15" customHeight="1" x14ac:dyDescent="0.25">
      <c r="C48" s="9" t="s">
        <v>328</v>
      </c>
      <c r="D48" s="10">
        <v>25</v>
      </c>
      <c r="E48" s="11">
        <v>11</v>
      </c>
      <c r="F48" s="12">
        <v>10</v>
      </c>
      <c r="G48" s="12">
        <v>4</v>
      </c>
      <c r="H48" s="12"/>
      <c r="I48" s="12"/>
      <c r="J48" s="12"/>
      <c r="K48" s="12"/>
      <c r="L48" s="12"/>
      <c r="M48" s="12"/>
      <c r="N48" s="55" t="b">
        <f t="shared" si="2"/>
        <v>1</v>
      </c>
    </row>
    <row r="49" spans="3:14" ht="55.15" customHeight="1" x14ac:dyDescent="0.25">
      <c r="C49" s="9" t="s">
        <v>331</v>
      </c>
      <c r="D49" s="10">
        <v>10</v>
      </c>
      <c r="E49" s="11"/>
      <c r="F49" s="12">
        <v>10</v>
      </c>
      <c r="G49" s="12"/>
      <c r="H49" s="12"/>
      <c r="I49" s="12"/>
      <c r="J49" s="12"/>
      <c r="K49" s="12"/>
      <c r="L49" s="12"/>
      <c r="M49" s="12"/>
      <c r="N49" s="55" t="b">
        <f t="shared" si="2"/>
        <v>1</v>
      </c>
    </row>
    <row r="50" spans="3:14" ht="55.15" customHeight="1" x14ac:dyDescent="0.25">
      <c r="C50" s="9" t="s">
        <v>460</v>
      </c>
      <c r="D50" s="10">
        <v>50</v>
      </c>
      <c r="E50" s="11">
        <v>19</v>
      </c>
      <c r="F50" s="12">
        <v>25</v>
      </c>
      <c r="G50" s="12">
        <v>6</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40</v>
      </c>
      <c r="F56" s="65">
        <f t="shared" si="4"/>
        <v>50</v>
      </c>
      <c r="G56" s="65">
        <f t="shared" si="4"/>
        <v>10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095" priority="11">
      <formula>LEN(TRIM(D47))=0</formula>
    </cfRule>
    <cfRule type="cellIs" dxfId="1094" priority="12" operator="equal">
      <formula>0</formula>
    </cfRule>
  </conditionalFormatting>
  <conditionalFormatting sqref="E50">
    <cfRule type="containsBlanks" dxfId="1093" priority="21">
      <formula>LEN(TRIM(E50))=0</formula>
    </cfRule>
    <cfRule type="cellIs" dxfId="1092" priority="22" operator="equal">
      <formula>0</formula>
    </cfRule>
  </conditionalFormatting>
  <conditionalFormatting sqref="E47:M51 E52">
    <cfRule type="containsBlanks" dxfId="1091" priority="17">
      <formula>LEN(TRIM(E47))=0</formula>
    </cfRule>
    <cfRule type="cellIs" dxfId="1090" priority="18" operator="equal">
      <formula>0</formula>
    </cfRule>
  </conditionalFormatting>
  <conditionalFormatting sqref="E53:M54">
    <cfRule type="containsBlanks" dxfId="1089" priority="15">
      <formula>LEN(TRIM(E53))=0</formula>
    </cfRule>
    <cfRule type="cellIs" dxfId="1088" priority="16" operator="equal">
      <formula>0</formula>
    </cfRule>
  </conditionalFormatting>
  <conditionalFormatting sqref="E55:M55">
    <cfRule type="containsText" dxfId="1087" priority="5" operator="containsText" text="false">
      <formula>NOT(ISERROR(SEARCH("false",E55)))</formula>
    </cfRule>
    <cfRule type="containsText" dxfId="1086" priority="6" operator="containsText" text="true">
      <formula>NOT(ISERROR(SEARCH("true",E55)))</formula>
    </cfRule>
  </conditionalFormatting>
  <conditionalFormatting sqref="E26:N39">
    <cfRule type="containsBlanks" dxfId="1085" priority="3">
      <formula>LEN(TRIM(E26))=0</formula>
    </cfRule>
    <cfRule type="cellIs" dxfId="1084" priority="4" operator="equal">
      <formula>0</formula>
    </cfRule>
  </conditionalFormatting>
  <conditionalFormatting sqref="F48:M48">
    <cfRule type="containsBlanks" dxfId="1083" priority="23">
      <formula>LEN(TRIM(F48))=0</formula>
    </cfRule>
    <cfRule type="cellIs" dxfId="1082" priority="24" operator="equal">
      <formula>0</formula>
    </cfRule>
  </conditionalFormatting>
  <conditionalFormatting sqref="F50:M52">
    <cfRule type="containsBlanks" dxfId="1081" priority="19">
      <formula>LEN(TRIM(F50))=0</formula>
    </cfRule>
    <cfRule type="cellIs" dxfId="1080" priority="20" operator="equal">
      <formula>0</formula>
    </cfRule>
  </conditionalFormatting>
  <conditionalFormatting sqref="N47:N54">
    <cfRule type="containsText" dxfId="1079" priority="7" operator="containsText" text="false">
      <formula>NOT(ISERROR(SEARCH("false",N47)))</formula>
    </cfRule>
    <cfRule type="containsText" dxfId="1078" priority="8" operator="containsText" text="true">
      <formula>NOT(ISERROR(SEARCH("true",N47)))</formula>
    </cfRule>
  </conditionalFormatting>
  <conditionalFormatting sqref="N55">
    <cfRule type="containsBlanks" dxfId="1077" priority="13">
      <formula>LEN(TRIM(N55))=0</formula>
    </cfRule>
    <cfRule type="cellIs" dxfId="1076" priority="14" operator="equal">
      <formula>0</formula>
    </cfRule>
  </conditionalFormatting>
  <conditionalFormatting sqref="O26:O40">
    <cfRule type="containsText" dxfId="1075" priority="9" operator="containsText" text="false">
      <formula>NOT(ISERROR(SEARCH("false",O26)))</formula>
    </cfRule>
    <cfRule type="containsText" dxfId="1074" priority="10" operator="containsText" text="true">
      <formula>NOT(ISERROR(SEARCH("true",O26)))</formula>
    </cfRule>
  </conditionalFormatting>
  <conditionalFormatting sqref="O42">
    <cfRule type="cellIs" dxfId="1073" priority="1" operator="notEqual">
      <formula>100</formula>
    </cfRule>
    <cfRule type="cellIs" dxfId="1072" priority="2" operator="equal">
      <formula>100</formula>
    </cfRule>
  </conditionalFormatting>
  <pageMargins left="0.7" right="0.7" top="0.75" bottom="0.75" header="0.3" footer="0.3"/>
  <pageSetup scale="18"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B2:AB57"/>
  <sheetViews>
    <sheetView topLeftCell="C1" zoomScale="50" zoomScaleNormal="50" workbookViewId="0">
      <selection activeCell="G7" sqref="G7"/>
    </sheetView>
  </sheetViews>
  <sheetFormatPr defaultColWidth="9.140625" defaultRowHeight="15" x14ac:dyDescent="0.25"/>
  <cols>
    <col min="1" max="1" width="9.140625" style="19"/>
    <col min="2" max="2" width="15.570312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180</v>
      </c>
      <c r="J6" s="43" t="s">
        <v>278</v>
      </c>
      <c r="K6" s="1" t="s">
        <v>79</v>
      </c>
    </row>
    <row r="7" spans="2:26" ht="72.599999999999994" customHeight="1" thickBot="1" x14ac:dyDescent="0.3">
      <c r="B7" s="160"/>
      <c r="C7" s="161"/>
      <c r="D7" s="43" t="s">
        <v>279</v>
      </c>
      <c r="E7" s="1">
        <v>3</v>
      </c>
      <c r="F7" s="43" t="s">
        <v>280</v>
      </c>
      <c r="G7" s="1">
        <v>5</v>
      </c>
      <c r="H7" s="43" t="s">
        <v>281</v>
      </c>
      <c r="I7" s="1">
        <v>3</v>
      </c>
      <c r="J7" s="43" t="s">
        <v>283</v>
      </c>
      <c r="K7" s="1" t="s">
        <v>685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05" customHeight="1" x14ac:dyDescent="0.25">
      <c r="B11" s="36"/>
      <c r="C11" s="2" t="s">
        <v>297</v>
      </c>
      <c r="D11" s="78" t="s">
        <v>686</v>
      </c>
      <c r="E11" s="2" t="s">
        <v>7</v>
      </c>
      <c r="F11" s="3"/>
      <c r="G11" s="17"/>
      <c r="H11" s="17">
        <v>0.6</v>
      </c>
      <c r="I11" s="17">
        <v>1</v>
      </c>
      <c r="J11" s="80" t="s">
        <v>606</v>
      </c>
      <c r="K11" s="80" t="s">
        <v>687</v>
      </c>
      <c r="U11" s="3">
        <f>F11</f>
        <v>0</v>
      </c>
      <c r="V11" s="2" t="str">
        <f>C11</f>
        <v>K1.1</v>
      </c>
      <c r="W11" s="2"/>
      <c r="X11" s="17"/>
      <c r="Y11" s="37"/>
      <c r="Z11" s="37"/>
    </row>
    <row r="12" spans="2:26" ht="132.75" customHeight="1" x14ac:dyDescent="0.25">
      <c r="B12" s="36"/>
      <c r="C12" s="5" t="s">
        <v>415</v>
      </c>
      <c r="D12" s="78" t="s">
        <v>688</v>
      </c>
      <c r="E12" s="5" t="s">
        <v>10</v>
      </c>
      <c r="F12" s="6"/>
      <c r="G12" s="4"/>
      <c r="H12" s="17">
        <v>0.6</v>
      </c>
      <c r="I12" s="17">
        <v>1</v>
      </c>
      <c r="J12" s="80" t="s">
        <v>689</v>
      </c>
      <c r="K12" s="80" t="s">
        <v>690</v>
      </c>
      <c r="U12" s="6">
        <f>F12</f>
        <v>0</v>
      </c>
      <c r="V12" s="2" t="str">
        <f>C12</f>
        <v>K2.1</v>
      </c>
      <c r="W12" s="5"/>
      <c r="X12" s="4"/>
      <c r="Y12" s="38"/>
      <c r="Z12" s="38"/>
    </row>
    <row r="13" spans="2:26" ht="140.25" customHeight="1" x14ac:dyDescent="0.25">
      <c r="B13" s="36"/>
      <c r="C13" s="5" t="s">
        <v>395</v>
      </c>
      <c r="D13" s="78" t="s">
        <v>691</v>
      </c>
      <c r="E13" s="5" t="s">
        <v>24</v>
      </c>
      <c r="F13" s="6"/>
      <c r="G13" s="4"/>
      <c r="H13" s="17">
        <v>0.6</v>
      </c>
      <c r="I13" s="17">
        <v>1</v>
      </c>
      <c r="J13" s="80" t="s">
        <v>524</v>
      </c>
      <c r="K13" s="80" t="s">
        <v>692</v>
      </c>
      <c r="U13" s="6">
        <f>F13</f>
        <v>0</v>
      </c>
      <c r="V13" s="2" t="str">
        <f>C13</f>
        <v>S3.1</v>
      </c>
      <c r="W13" s="5"/>
      <c r="X13" s="4"/>
      <c r="Y13" s="38"/>
      <c r="Z13" s="38"/>
    </row>
    <row r="14" spans="2:26" ht="135" customHeight="1" x14ac:dyDescent="0.25">
      <c r="B14" s="36"/>
      <c r="C14" s="5" t="s">
        <v>586</v>
      </c>
      <c r="D14" s="79" t="s">
        <v>693</v>
      </c>
      <c r="E14" s="5" t="s">
        <v>27</v>
      </c>
      <c r="F14" s="6"/>
      <c r="G14" s="4"/>
      <c r="H14" s="17">
        <v>0.6</v>
      </c>
      <c r="I14" s="17">
        <v>1</v>
      </c>
      <c r="J14" s="80" t="s">
        <v>694</v>
      </c>
      <c r="K14" s="80" t="s">
        <v>695</v>
      </c>
      <c r="U14" s="6">
        <f>F14</f>
        <v>0</v>
      </c>
      <c r="V14" s="2" t="str">
        <f>C14</f>
        <v>S5.1</v>
      </c>
      <c r="W14" s="5"/>
      <c r="X14" s="4"/>
      <c r="Y14" s="38"/>
      <c r="Z14" s="38"/>
    </row>
    <row r="15" spans="2:26" ht="92.25" customHeight="1" x14ac:dyDescent="0.25">
      <c r="B15" s="36"/>
      <c r="C15" s="5"/>
      <c r="D15" s="24"/>
      <c r="E15" s="5"/>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K2.1</v>
      </c>
      <c r="H25" s="49" t="str">
        <f>C13</f>
        <v>S3.1</v>
      </c>
      <c r="I25" s="49" t="str">
        <f>C14</f>
        <v>S5.1</v>
      </c>
      <c r="J25" s="49">
        <f>C15</f>
        <v>0</v>
      </c>
      <c r="K25" s="49">
        <f>C16</f>
        <v>0</v>
      </c>
      <c r="L25" s="49">
        <f>C17</f>
        <v>0</v>
      </c>
      <c r="M25" s="49">
        <f>C18</f>
        <v>0</v>
      </c>
      <c r="N25" s="49">
        <f>C19</f>
        <v>0</v>
      </c>
      <c r="O25" s="50" t="s">
        <v>305</v>
      </c>
    </row>
    <row r="26" spans="2:26" ht="30.4" customHeight="1" thickBot="1" x14ac:dyDescent="0.3">
      <c r="C26" s="51" t="s">
        <v>306</v>
      </c>
      <c r="D26" s="85" t="s">
        <v>696</v>
      </c>
      <c r="E26" s="8">
        <v>2</v>
      </c>
      <c r="F26" s="8">
        <v>1</v>
      </c>
      <c r="G26" s="8">
        <v>1</v>
      </c>
      <c r="H26" s="8"/>
      <c r="I26" s="8"/>
      <c r="J26" s="8"/>
      <c r="K26" s="8"/>
      <c r="L26" s="8"/>
      <c r="M26" s="8"/>
      <c r="N26" s="8"/>
      <c r="O26" s="53" t="b">
        <f t="shared" ref="O26:O40" si="0">IF(SUM(F26:N26)=E26,TRUE,"false")</f>
        <v>1</v>
      </c>
    </row>
    <row r="27" spans="2:26" ht="33" customHeight="1" thickBot="1" x14ac:dyDescent="0.3">
      <c r="C27" s="51" t="s">
        <v>307</v>
      </c>
      <c r="D27" s="85" t="s">
        <v>697</v>
      </c>
      <c r="E27" s="8">
        <v>12</v>
      </c>
      <c r="F27" s="8">
        <v>4</v>
      </c>
      <c r="G27" s="8">
        <v>4</v>
      </c>
      <c r="H27" s="8">
        <v>2</v>
      </c>
      <c r="I27" s="8">
        <v>2</v>
      </c>
      <c r="J27" s="8"/>
      <c r="K27" s="8"/>
      <c r="L27" s="8"/>
      <c r="M27" s="8"/>
      <c r="N27" s="8"/>
      <c r="O27" s="53" t="b">
        <f t="shared" si="0"/>
        <v>1</v>
      </c>
    </row>
    <row r="28" spans="2:26" ht="35.25" customHeight="1" thickBot="1" x14ac:dyDescent="0.3">
      <c r="C28" s="51" t="s">
        <v>308</v>
      </c>
      <c r="D28" s="86" t="s">
        <v>698</v>
      </c>
      <c r="E28" s="87">
        <v>8</v>
      </c>
      <c r="F28" s="8">
        <v>2</v>
      </c>
      <c r="G28" s="8">
        <v>2</v>
      </c>
      <c r="H28" s="8">
        <v>2</v>
      </c>
      <c r="I28" s="8">
        <v>2</v>
      </c>
      <c r="J28" s="8"/>
      <c r="K28" s="8"/>
      <c r="L28" s="8"/>
      <c r="M28" s="8"/>
      <c r="N28" s="8"/>
      <c r="O28" s="53" t="b">
        <f t="shared" si="0"/>
        <v>1</v>
      </c>
    </row>
    <row r="29" spans="2:26" ht="30.4" customHeight="1" thickBot="1" x14ac:dyDescent="0.3">
      <c r="C29" s="51" t="s">
        <v>309</v>
      </c>
      <c r="D29" s="86" t="s">
        <v>699</v>
      </c>
      <c r="E29" s="8">
        <v>4</v>
      </c>
      <c r="F29" s="8">
        <v>1</v>
      </c>
      <c r="G29" s="8">
        <v>1</v>
      </c>
      <c r="H29" s="8">
        <v>1</v>
      </c>
      <c r="I29" s="8">
        <v>1</v>
      </c>
      <c r="J29" s="8"/>
      <c r="K29" s="8"/>
      <c r="L29" s="8"/>
      <c r="M29" s="8"/>
      <c r="N29" s="8"/>
      <c r="O29" s="53" t="b">
        <f t="shared" si="0"/>
        <v>1</v>
      </c>
    </row>
    <row r="30" spans="2:26" ht="30.4" customHeight="1" thickBot="1" x14ac:dyDescent="0.3">
      <c r="C30" s="51" t="s">
        <v>310</v>
      </c>
      <c r="D30" s="86" t="s">
        <v>700</v>
      </c>
      <c r="E30" s="8">
        <v>10</v>
      </c>
      <c r="F30" s="8">
        <v>4</v>
      </c>
      <c r="G30" s="8">
        <v>4</v>
      </c>
      <c r="H30" s="8">
        <v>1</v>
      </c>
      <c r="I30" s="8">
        <v>1</v>
      </c>
      <c r="J30" s="8"/>
      <c r="K30" s="8"/>
      <c r="L30" s="8"/>
      <c r="M30" s="8"/>
      <c r="N30" s="8"/>
      <c r="O30" s="53" t="b">
        <f t="shared" si="0"/>
        <v>1</v>
      </c>
    </row>
    <row r="31" spans="2:26" ht="30.4" customHeight="1" thickBot="1" x14ac:dyDescent="0.3">
      <c r="C31" s="51" t="s">
        <v>311</v>
      </c>
      <c r="D31" s="86" t="s">
        <v>701</v>
      </c>
      <c r="E31" s="8">
        <v>8</v>
      </c>
      <c r="F31" s="8">
        <v>2</v>
      </c>
      <c r="G31" s="8">
        <v>3</v>
      </c>
      <c r="H31" s="8">
        <v>2</v>
      </c>
      <c r="I31" s="8">
        <v>1</v>
      </c>
      <c r="J31" s="8"/>
      <c r="K31" s="8"/>
      <c r="L31" s="8"/>
      <c r="M31" s="8"/>
      <c r="N31" s="8"/>
      <c r="O31" s="53" t="b">
        <f t="shared" si="0"/>
        <v>1</v>
      </c>
    </row>
    <row r="32" spans="2:26" ht="30.4" customHeight="1" thickBot="1" x14ac:dyDescent="0.3">
      <c r="C32" s="51" t="s">
        <v>312</v>
      </c>
      <c r="D32" s="86" t="s">
        <v>702</v>
      </c>
      <c r="E32" s="8">
        <v>10</v>
      </c>
      <c r="F32" s="8">
        <v>3</v>
      </c>
      <c r="G32" s="8">
        <v>3</v>
      </c>
      <c r="H32" s="8">
        <v>3</v>
      </c>
      <c r="I32" s="8">
        <v>1</v>
      </c>
      <c r="J32" s="8"/>
      <c r="K32" s="8"/>
      <c r="L32" s="8"/>
      <c r="M32" s="8"/>
      <c r="N32" s="8"/>
      <c r="O32" s="53" t="b">
        <f t="shared" si="0"/>
        <v>1</v>
      </c>
    </row>
    <row r="33" spans="2:15" ht="30.4" customHeight="1" thickBot="1" x14ac:dyDescent="0.3">
      <c r="C33" s="51" t="s">
        <v>313</v>
      </c>
      <c r="D33" s="86" t="s">
        <v>703</v>
      </c>
      <c r="E33" s="8">
        <v>6</v>
      </c>
      <c r="F33" s="8">
        <v>1</v>
      </c>
      <c r="G33" s="8">
        <v>3</v>
      </c>
      <c r="H33" s="8">
        <v>1</v>
      </c>
      <c r="I33" s="8">
        <v>1</v>
      </c>
      <c r="J33" s="8"/>
      <c r="K33" s="8"/>
      <c r="L33" s="8"/>
      <c r="M33" s="8"/>
      <c r="N33" s="8"/>
      <c r="O33" s="53" t="b">
        <f t="shared" si="0"/>
        <v>1</v>
      </c>
    </row>
    <row r="34" spans="2:15" ht="30.4" customHeight="1" thickBot="1" x14ac:dyDescent="0.3">
      <c r="C34" s="51" t="s">
        <v>314</v>
      </c>
      <c r="D34" s="86"/>
      <c r="E34" s="8"/>
      <c r="F34" s="8"/>
      <c r="G34" s="8"/>
      <c r="H34" s="8"/>
      <c r="I34" s="8"/>
      <c r="J34" s="8"/>
      <c r="K34" s="8"/>
      <c r="L34" s="8"/>
      <c r="M34" s="8"/>
      <c r="N34" s="8"/>
      <c r="O34" s="53" t="b">
        <f t="shared" si="0"/>
        <v>1</v>
      </c>
    </row>
    <row r="35" spans="2:15" ht="30.4" customHeight="1" thickBot="1" x14ac:dyDescent="0.3">
      <c r="C35" s="51" t="s">
        <v>315</v>
      </c>
      <c r="D35" s="86"/>
      <c r="E35" s="8"/>
      <c r="F35" s="8"/>
      <c r="G35" s="8"/>
      <c r="H35" s="8"/>
      <c r="I35" s="8"/>
      <c r="J35" s="8"/>
      <c r="K35" s="8"/>
      <c r="L35" s="8"/>
      <c r="M35" s="8"/>
      <c r="N35" s="8"/>
      <c r="O35" s="53" t="b">
        <f t="shared" si="0"/>
        <v>1</v>
      </c>
    </row>
    <row r="36" spans="2:15" ht="30.4" customHeight="1" thickBot="1" x14ac:dyDescent="0.3">
      <c r="C36" s="51" t="s">
        <v>316</v>
      </c>
      <c r="D36" s="86"/>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18</v>
      </c>
      <c r="G40" s="52">
        <f t="shared" si="1"/>
        <v>21</v>
      </c>
      <c r="H40" s="52">
        <f t="shared" si="1"/>
        <v>12</v>
      </c>
      <c r="I40" s="52">
        <f t="shared" si="1"/>
        <v>9</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v>
      </c>
      <c r="G41" s="54">
        <f>ROUND(G40/E40,2)</f>
        <v>0.35</v>
      </c>
      <c r="H41" s="54">
        <f>ROUND(H40/E40,2)</f>
        <v>0.2</v>
      </c>
      <c r="I41" s="54">
        <f>ROUND(I40/E40,2)</f>
        <v>0.15</v>
      </c>
      <c r="J41" s="54">
        <f>ROUND(J40/E40,2)</f>
        <v>0</v>
      </c>
      <c r="K41" s="54">
        <f>ROUND(K40/E40,2)</f>
        <v>0</v>
      </c>
      <c r="L41" s="54">
        <f>ROUND(L40/E40,2)</f>
        <v>0</v>
      </c>
      <c r="M41" s="54">
        <f>ROUND(M40/E40,2)</f>
        <v>0</v>
      </c>
      <c r="N41" s="54">
        <f>ROUND(N40/E40,2)</f>
        <v>0</v>
      </c>
      <c r="O41" s="54">
        <f>SUM(F41:N41)</f>
        <v>0.99999999999999989</v>
      </c>
    </row>
    <row r="42" spans="2:15" ht="55.9" customHeight="1" x14ac:dyDescent="0.25">
      <c r="C42" s="151" t="s">
        <v>322</v>
      </c>
      <c r="D42" s="151"/>
      <c r="E42" s="151"/>
      <c r="F42" s="7">
        <v>30</v>
      </c>
      <c r="G42" s="7">
        <v>35</v>
      </c>
      <c r="H42" s="7">
        <v>20</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K2.1</v>
      </c>
      <c r="G46" s="59" t="str">
        <f>C13</f>
        <v>S3.1</v>
      </c>
      <c r="H46" s="59" t="str">
        <f>C14</f>
        <v>S5.1</v>
      </c>
      <c r="I46" s="59">
        <f>C15</f>
        <v>0</v>
      </c>
      <c r="J46" s="59">
        <f>C16</f>
        <v>0</v>
      </c>
      <c r="K46" s="59">
        <f>C17</f>
        <v>0</v>
      </c>
      <c r="L46" s="59">
        <f>C18</f>
        <v>0</v>
      </c>
      <c r="M46" s="59">
        <f>C19</f>
        <v>0</v>
      </c>
      <c r="N46" s="60" t="s">
        <v>327</v>
      </c>
    </row>
    <row r="47" spans="2:15" ht="55.15" customHeight="1" x14ac:dyDescent="0.25">
      <c r="C47" s="9" t="s">
        <v>328</v>
      </c>
      <c r="D47" s="10">
        <v>25</v>
      </c>
      <c r="E47" s="8">
        <v>10</v>
      </c>
      <c r="F47" s="8">
        <v>15</v>
      </c>
      <c r="G47" s="8"/>
      <c r="H47" s="8"/>
      <c r="I47" s="8"/>
      <c r="J47" s="8"/>
      <c r="K47" s="8"/>
      <c r="L47" s="8"/>
      <c r="M47" s="8"/>
      <c r="N47" s="55" t="b">
        <f t="shared" ref="N47:N54" si="2">IF(SUM(E47:M47)=D47,TRUE,"false")</f>
        <v>1</v>
      </c>
    </row>
    <row r="48" spans="2:15" ht="55.15" customHeight="1" x14ac:dyDescent="0.25">
      <c r="C48" s="9" t="s">
        <v>331</v>
      </c>
      <c r="D48" s="10">
        <v>5</v>
      </c>
      <c r="E48" s="11"/>
      <c r="F48" s="12"/>
      <c r="G48" s="12"/>
      <c r="H48" s="12">
        <v>5</v>
      </c>
      <c r="I48" s="12"/>
      <c r="J48" s="12"/>
      <c r="K48" s="12"/>
      <c r="L48" s="12"/>
      <c r="M48" s="12"/>
      <c r="N48" s="55" t="b">
        <f t="shared" si="2"/>
        <v>1</v>
      </c>
    </row>
    <row r="49" spans="3:14" ht="55.15" customHeight="1" x14ac:dyDescent="0.25">
      <c r="C49" s="9" t="s">
        <v>432</v>
      </c>
      <c r="D49" s="10">
        <v>20</v>
      </c>
      <c r="E49" s="11"/>
      <c r="F49" s="12"/>
      <c r="G49" s="12">
        <v>10</v>
      </c>
      <c r="H49" s="12">
        <v>10</v>
      </c>
      <c r="I49" s="12"/>
      <c r="J49" s="12"/>
      <c r="K49" s="12"/>
      <c r="L49" s="12"/>
      <c r="M49" s="12"/>
      <c r="N49" s="55" t="b">
        <f t="shared" si="2"/>
        <v>1</v>
      </c>
    </row>
    <row r="50" spans="3:14" ht="55.15" customHeight="1" x14ac:dyDescent="0.25">
      <c r="C50" s="9" t="s">
        <v>504</v>
      </c>
      <c r="D50" s="10">
        <v>50</v>
      </c>
      <c r="E50" s="11">
        <v>20</v>
      </c>
      <c r="F50" s="12">
        <v>20</v>
      </c>
      <c r="G50" s="12">
        <v>10</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30</v>
      </c>
      <c r="F56" s="65">
        <f t="shared" si="4"/>
        <v>35</v>
      </c>
      <c r="G56" s="65">
        <f t="shared" si="4"/>
        <v>20</v>
      </c>
      <c r="H56" s="65">
        <f t="shared" si="4"/>
        <v>15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E50">
    <cfRule type="containsBlanks" dxfId="1071" priority="19">
      <formula>LEN(TRIM(E50))=0</formula>
    </cfRule>
    <cfRule type="cellIs" dxfId="1070" priority="20" operator="equal">
      <formula>0</formula>
    </cfRule>
  </conditionalFormatting>
  <conditionalFormatting sqref="E47:M51 E52">
    <cfRule type="containsBlanks" dxfId="1069" priority="15">
      <formula>LEN(TRIM(E47))=0</formula>
    </cfRule>
    <cfRule type="cellIs" dxfId="1068" priority="16" operator="equal">
      <formula>0</formula>
    </cfRule>
  </conditionalFormatting>
  <conditionalFormatting sqref="E53:M54">
    <cfRule type="containsBlanks" dxfId="1067" priority="13">
      <formula>LEN(TRIM(E53))=0</formula>
    </cfRule>
    <cfRule type="cellIs" dxfId="1066" priority="14" operator="equal">
      <formula>0</formula>
    </cfRule>
  </conditionalFormatting>
  <conditionalFormatting sqref="E55:M55">
    <cfRule type="containsText" dxfId="1065" priority="3" operator="containsText" text="false">
      <formula>NOT(ISERROR(SEARCH("false",E55)))</formula>
    </cfRule>
    <cfRule type="containsText" dxfId="1064" priority="4" operator="containsText" text="true">
      <formula>NOT(ISERROR(SEARCH("true",E55)))</formula>
    </cfRule>
  </conditionalFormatting>
  <conditionalFormatting sqref="E26:N37 E38:H38 J38:N38 E39:N39 D47:D54">
    <cfRule type="containsBlanks" dxfId="1063" priority="9">
      <formula>LEN(TRIM(D26))=0</formula>
    </cfRule>
    <cfRule type="cellIs" dxfId="1062" priority="10" operator="equal">
      <formula>0</formula>
    </cfRule>
  </conditionalFormatting>
  <conditionalFormatting sqref="F48:M48">
    <cfRule type="containsBlanks" dxfId="1061" priority="21">
      <formula>LEN(TRIM(F48))=0</formula>
    </cfRule>
    <cfRule type="cellIs" dxfId="1060" priority="22" operator="equal">
      <formula>0</formula>
    </cfRule>
  </conditionalFormatting>
  <conditionalFormatting sqref="F50:M52">
    <cfRule type="containsBlanks" dxfId="1059" priority="17">
      <formula>LEN(TRIM(F50))=0</formula>
    </cfRule>
    <cfRule type="cellIs" dxfId="1058" priority="18" operator="equal">
      <formula>0</formula>
    </cfRule>
  </conditionalFormatting>
  <conditionalFormatting sqref="N47:N54">
    <cfRule type="containsText" dxfId="1057" priority="5" operator="containsText" text="false">
      <formula>NOT(ISERROR(SEARCH("false",N47)))</formula>
    </cfRule>
    <cfRule type="containsText" dxfId="1056" priority="6" operator="containsText" text="true">
      <formula>NOT(ISERROR(SEARCH("true",N47)))</formula>
    </cfRule>
  </conditionalFormatting>
  <conditionalFormatting sqref="N55">
    <cfRule type="containsBlanks" dxfId="1055" priority="11">
      <formula>LEN(TRIM(N55))=0</formula>
    </cfRule>
    <cfRule type="cellIs" dxfId="1054" priority="12" operator="equal">
      <formula>0</formula>
    </cfRule>
  </conditionalFormatting>
  <conditionalFormatting sqref="O26:O40">
    <cfRule type="containsText" dxfId="1053" priority="7" operator="containsText" text="false">
      <formula>NOT(ISERROR(SEARCH("false",O26)))</formula>
    </cfRule>
    <cfRule type="containsText" dxfId="1052" priority="8" operator="containsText" text="true">
      <formula>NOT(ISERROR(SEARCH("true",O26)))</formula>
    </cfRule>
  </conditionalFormatting>
  <conditionalFormatting sqref="O42">
    <cfRule type="cellIs" dxfId="1051" priority="1" operator="notEqual">
      <formula>100</formula>
    </cfRule>
    <cfRule type="cellIs" dxfId="1050" priority="2" operator="equal">
      <formula>100</formula>
    </cfRule>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B2:AB57"/>
  <sheetViews>
    <sheetView zoomScale="50" zoomScaleNormal="50" workbookViewId="0">
      <selection activeCell="K12" sqref="K12"/>
    </sheetView>
  </sheetViews>
  <sheetFormatPr defaultColWidth="9.140625" defaultRowHeight="15" x14ac:dyDescent="0.25"/>
  <cols>
    <col min="1" max="1" width="9.140625" style="19"/>
    <col min="2" max="2" width="12.5703125" style="19" customWidth="1"/>
    <col min="3" max="3" width="21.5703125"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182</v>
      </c>
      <c r="J6" s="43" t="s">
        <v>278</v>
      </c>
      <c r="K6" s="1" t="s">
        <v>80</v>
      </c>
    </row>
    <row r="7" spans="2:26" ht="72.599999999999994" customHeight="1" thickBot="1" x14ac:dyDescent="0.3">
      <c r="B7" s="160"/>
      <c r="C7" s="161"/>
      <c r="D7" s="43" t="s">
        <v>279</v>
      </c>
      <c r="E7" s="1">
        <v>3</v>
      </c>
      <c r="F7" s="43" t="s">
        <v>280</v>
      </c>
      <c r="G7" s="1">
        <v>5</v>
      </c>
      <c r="H7" s="43" t="s">
        <v>281</v>
      </c>
      <c r="I7" s="1">
        <v>2</v>
      </c>
      <c r="J7" s="43" t="s">
        <v>283</v>
      </c>
      <c r="K7" s="1" t="s">
        <v>581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211.5" customHeight="1" x14ac:dyDescent="0.25">
      <c r="B11" s="36"/>
      <c r="C11" s="2" t="s">
        <v>415</v>
      </c>
      <c r="D11" s="78" t="s">
        <v>704</v>
      </c>
      <c r="E11" s="2" t="s">
        <v>10</v>
      </c>
      <c r="F11" s="3"/>
      <c r="G11" s="17"/>
      <c r="H11" s="17">
        <v>0.6</v>
      </c>
      <c r="I11" s="17">
        <v>1</v>
      </c>
      <c r="J11" s="80" t="s">
        <v>705</v>
      </c>
      <c r="K11" s="80" t="s">
        <v>1688</v>
      </c>
      <c r="U11" s="3">
        <f>F11</f>
        <v>0</v>
      </c>
      <c r="V11" s="2" t="str">
        <f>C11</f>
        <v>K2.1</v>
      </c>
      <c r="W11" s="2"/>
      <c r="X11" s="17"/>
      <c r="Y11" s="37"/>
      <c r="Z11" s="37"/>
    </row>
    <row r="12" spans="2:26" ht="203.25" customHeight="1" x14ac:dyDescent="0.25">
      <c r="B12" s="36"/>
      <c r="C12" s="5" t="s">
        <v>507</v>
      </c>
      <c r="D12" s="79" t="s">
        <v>706</v>
      </c>
      <c r="E12" s="5" t="s">
        <v>10</v>
      </c>
      <c r="F12" s="6"/>
      <c r="G12" s="4"/>
      <c r="H12" s="17">
        <v>0.6</v>
      </c>
      <c r="I12" s="17">
        <v>1</v>
      </c>
      <c r="J12" s="80" t="s">
        <v>705</v>
      </c>
      <c r="K12" s="80" t="s">
        <v>1688</v>
      </c>
      <c r="U12" s="6">
        <f>F12</f>
        <v>0</v>
      </c>
      <c r="V12" s="2" t="str">
        <f>C12</f>
        <v>K2.2</v>
      </c>
      <c r="W12" s="5"/>
      <c r="X12" s="4"/>
      <c r="Y12" s="38"/>
      <c r="Z12" s="38"/>
    </row>
    <row r="13" spans="2:26" ht="90.75" customHeight="1" x14ac:dyDescent="0.25">
      <c r="B13" s="36"/>
      <c r="C13" s="5" t="s">
        <v>395</v>
      </c>
      <c r="D13" s="79" t="s">
        <v>707</v>
      </c>
      <c r="E13" s="5" t="s">
        <v>24</v>
      </c>
      <c r="F13" s="6"/>
      <c r="G13" s="4"/>
      <c r="H13" s="17">
        <v>0.6</v>
      </c>
      <c r="I13" s="17">
        <v>1</v>
      </c>
      <c r="J13" s="80" t="s">
        <v>708</v>
      </c>
      <c r="K13" s="81" t="s">
        <v>709</v>
      </c>
      <c r="U13" s="6">
        <f>F13</f>
        <v>0</v>
      </c>
      <c r="V13" s="2" t="str">
        <f>C13</f>
        <v>S3.1</v>
      </c>
      <c r="W13" s="5"/>
      <c r="X13" s="4"/>
      <c r="Y13" s="38"/>
      <c r="Z13" s="38"/>
    </row>
    <row r="14" spans="2:26" ht="86.25" customHeight="1" x14ac:dyDescent="0.25">
      <c r="B14" s="36"/>
      <c r="C14" s="5" t="s">
        <v>437</v>
      </c>
      <c r="D14" s="79" t="s">
        <v>710</v>
      </c>
      <c r="E14" s="5" t="s">
        <v>24</v>
      </c>
      <c r="F14" s="6"/>
      <c r="G14" s="4"/>
      <c r="H14" s="17">
        <v>0.6</v>
      </c>
      <c r="I14" s="17">
        <v>1</v>
      </c>
      <c r="J14" s="80" t="s">
        <v>711</v>
      </c>
      <c r="K14" s="81" t="s">
        <v>709</v>
      </c>
      <c r="U14" s="6">
        <f>F14</f>
        <v>0</v>
      </c>
      <c r="V14" s="2" t="str">
        <f>C14</f>
        <v>S3.2</v>
      </c>
      <c r="W14" s="5"/>
      <c r="X14" s="4"/>
      <c r="Y14" s="38"/>
      <c r="Z14" s="38"/>
    </row>
    <row r="15" spans="2:26" ht="58.9" customHeight="1" x14ac:dyDescent="0.25">
      <c r="B15" s="36"/>
      <c r="C15" s="5"/>
      <c r="D15" s="79"/>
      <c r="E15" s="5"/>
      <c r="F15" s="6"/>
      <c r="G15" s="4"/>
      <c r="H15" s="17"/>
      <c r="I15" s="17"/>
      <c r="J15" s="81"/>
      <c r="K15" s="81"/>
      <c r="U15" s="6">
        <f>F15</f>
        <v>0</v>
      </c>
      <c r="V15" s="2">
        <f>C15</f>
        <v>0</v>
      </c>
      <c r="W15" s="5"/>
      <c r="X15" s="4"/>
      <c r="Y15" s="38"/>
      <c r="Z15" s="38"/>
    </row>
    <row r="16" spans="2:26" ht="58.9" customHeight="1" x14ac:dyDescent="0.25">
      <c r="B16" s="36"/>
      <c r="C16" s="5"/>
      <c r="D16" s="24"/>
      <c r="E16" s="5"/>
      <c r="F16" s="6"/>
      <c r="G16" s="4"/>
      <c r="H16" s="4"/>
      <c r="I16" s="4"/>
      <c r="J16" s="82"/>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S3.1</v>
      </c>
      <c r="I25" s="49" t="str">
        <f>C14</f>
        <v>S3.2</v>
      </c>
      <c r="J25" s="49">
        <f>C15</f>
        <v>0</v>
      </c>
      <c r="K25" s="49">
        <f>C16</f>
        <v>0</v>
      </c>
      <c r="L25" s="49">
        <f>C17</f>
        <v>0</v>
      </c>
      <c r="M25" s="49">
        <f>C18</f>
        <v>0</v>
      </c>
      <c r="N25" s="49">
        <f>C19</f>
        <v>0</v>
      </c>
      <c r="O25" s="50" t="s">
        <v>305</v>
      </c>
    </row>
    <row r="26" spans="2:26" ht="39.75" customHeight="1" thickBot="1" x14ac:dyDescent="0.3">
      <c r="C26" s="51" t="s">
        <v>306</v>
      </c>
      <c r="D26" s="83" t="s">
        <v>712</v>
      </c>
      <c r="E26" s="8">
        <v>2</v>
      </c>
      <c r="F26" s="8">
        <v>1</v>
      </c>
      <c r="G26" s="8"/>
      <c r="H26" s="8">
        <v>1</v>
      </c>
      <c r="I26" s="8"/>
      <c r="J26" s="8"/>
      <c r="K26" s="8"/>
      <c r="L26" s="8"/>
      <c r="M26" s="8"/>
      <c r="N26" s="8"/>
      <c r="O26" s="53" t="b">
        <f t="shared" ref="O26:O40" si="0">IF(SUM(F26:N26)=E26,TRUE,"false")</f>
        <v>1</v>
      </c>
    </row>
    <row r="27" spans="2:26" ht="30.4" customHeight="1" thickBot="1" x14ac:dyDescent="0.3">
      <c r="C27" s="51" t="s">
        <v>307</v>
      </c>
      <c r="D27" s="83" t="s">
        <v>713</v>
      </c>
      <c r="E27" s="8">
        <v>2</v>
      </c>
      <c r="F27" s="8">
        <v>1</v>
      </c>
      <c r="G27" s="8"/>
      <c r="H27" s="8"/>
      <c r="I27" s="8">
        <v>1</v>
      </c>
      <c r="J27" s="8"/>
      <c r="K27" s="8"/>
      <c r="L27" s="8"/>
      <c r="M27" s="8"/>
      <c r="N27" s="8"/>
      <c r="O27" s="53" t="b">
        <f t="shared" si="0"/>
        <v>1</v>
      </c>
    </row>
    <row r="28" spans="2:26" ht="38.25" customHeight="1" thickBot="1" x14ac:dyDescent="0.3">
      <c r="C28" s="51" t="s">
        <v>308</v>
      </c>
      <c r="D28" s="83" t="s">
        <v>714</v>
      </c>
      <c r="E28" s="8">
        <v>2</v>
      </c>
      <c r="F28" s="8">
        <v>1</v>
      </c>
      <c r="G28" s="8">
        <v>1</v>
      </c>
      <c r="H28" s="8"/>
      <c r="I28" s="8"/>
      <c r="J28" s="8"/>
      <c r="K28" s="8"/>
      <c r="L28" s="8"/>
      <c r="M28" s="8"/>
      <c r="N28" s="8"/>
      <c r="O28" s="53" t="b">
        <f t="shared" si="0"/>
        <v>1</v>
      </c>
    </row>
    <row r="29" spans="2:26" ht="38.25" customHeight="1" thickBot="1" x14ac:dyDescent="0.3">
      <c r="C29" s="51" t="s">
        <v>309</v>
      </c>
      <c r="D29" s="83" t="s">
        <v>715</v>
      </c>
      <c r="E29" s="8">
        <v>2</v>
      </c>
      <c r="F29" s="8"/>
      <c r="G29" s="8">
        <v>1</v>
      </c>
      <c r="H29" s="8">
        <v>1</v>
      </c>
      <c r="I29" s="8"/>
      <c r="J29" s="8"/>
      <c r="K29" s="8"/>
      <c r="L29" s="8"/>
      <c r="M29" s="8"/>
      <c r="N29" s="8"/>
      <c r="O29" s="53" t="b">
        <f t="shared" si="0"/>
        <v>1</v>
      </c>
    </row>
    <row r="30" spans="2:26" ht="51" customHeight="1" thickBot="1" x14ac:dyDescent="0.3">
      <c r="C30" s="51" t="s">
        <v>310</v>
      </c>
      <c r="D30" s="83" t="s">
        <v>716</v>
      </c>
      <c r="E30" s="8">
        <v>4</v>
      </c>
      <c r="F30" s="8">
        <v>1</v>
      </c>
      <c r="G30" s="8">
        <v>1</v>
      </c>
      <c r="H30" s="8">
        <v>1</v>
      </c>
      <c r="I30" s="8">
        <v>1</v>
      </c>
      <c r="J30" s="8"/>
      <c r="K30" s="8"/>
      <c r="L30" s="8"/>
      <c r="M30" s="8"/>
      <c r="N30" s="8"/>
      <c r="O30" s="53" t="b">
        <f t="shared" si="0"/>
        <v>1</v>
      </c>
    </row>
    <row r="31" spans="2:26" ht="30.4" customHeight="1" thickBot="1" x14ac:dyDescent="0.3">
      <c r="C31" s="51" t="s">
        <v>311</v>
      </c>
      <c r="D31" s="83" t="s">
        <v>717</v>
      </c>
      <c r="E31" s="8">
        <v>4</v>
      </c>
      <c r="F31" s="8">
        <v>1</v>
      </c>
      <c r="G31" s="8">
        <v>1</v>
      </c>
      <c r="H31" s="8">
        <v>1</v>
      </c>
      <c r="I31" s="8">
        <v>1</v>
      </c>
      <c r="J31" s="8"/>
      <c r="K31" s="8"/>
      <c r="L31" s="8"/>
      <c r="M31" s="8"/>
      <c r="N31" s="8"/>
      <c r="O31" s="53" t="b">
        <f t="shared" si="0"/>
        <v>1</v>
      </c>
    </row>
    <row r="32" spans="2:26" ht="30.4" customHeight="1" thickBot="1" x14ac:dyDescent="0.3">
      <c r="C32" s="51" t="s">
        <v>312</v>
      </c>
      <c r="D32" s="83" t="s">
        <v>718</v>
      </c>
      <c r="E32" s="8">
        <v>2</v>
      </c>
      <c r="F32" s="8">
        <v>1</v>
      </c>
      <c r="G32" s="8"/>
      <c r="H32" s="8">
        <v>0</v>
      </c>
      <c r="I32" s="8">
        <v>1</v>
      </c>
      <c r="J32" s="8"/>
      <c r="K32" s="8"/>
      <c r="L32" s="8"/>
      <c r="M32" s="8"/>
      <c r="N32" s="8"/>
      <c r="O32" s="53" t="b">
        <f t="shared" si="0"/>
        <v>1</v>
      </c>
    </row>
    <row r="33" spans="2:15" ht="36" customHeight="1" thickBot="1" x14ac:dyDescent="0.3">
      <c r="C33" s="51" t="s">
        <v>313</v>
      </c>
      <c r="D33" s="83" t="s">
        <v>719</v>
      </c>
      <c r="E33" s="8">
        <v>2</v>
      </c>
      <c r="F33" s="8">
        <v>1</v>
      </c>
      <c r="G33" s="8">
        <v>1</v>
      </c>
      <c r="H33" s="8"/>
      <c r="I33" s="8"/>
      <c r="J33" s="8"/>
      <c r="K33" s="8"/>
      <c r="L33" s="8"/>
      <c r="M33" s="8"/>
      <c r="N33" s="8"/>
      <c r="O33" s="53" t="b">
        <f t="shared" si="0"/>
        <v>1</v>
      </c>
    </row>
    <row r="34" spans="2:15" ht="32.25" customHeight="1" thickBot="1" x14ac:dyDescent="0.3">
      <c r="C34" s="51" t="s">
        <v>314</v>
      </c>
      <c r="D34" s="83" t="s">
        <v>720</v>
      </c>
      <c r="E34" s="8">
        <v>2</v>
      </c>
      <c r="F34" s="8">
        <v>1</v>
      </c>
      <c r="G34" s="8">
        <v>1</v>
      </c>
      <c r="H34" s="8"/>
      <c r="I34" s="8"/>
      <c r="J34" s="8"/>
      <c r="K34" s="8"/>
      <c r="L34" s="8"/>
      <c r="M34" s="8"/>
      <c r="N34" s="8"/>
      <c r="O34" s="53" t="b">
        <f t="shared" si="0"/>
        <v>1</v>
      </c>
    </row>
    <row r="35" spans="2:15" ht="33.75" customHeight="1" thickBot="1" x14ac:dyDescent="0.3">
      <c r="C35" s="51" t="s">
        <v>315</v>
      </c>
      <c r="D35" s="83" t="s">
        <v>721</v>
      </c>
      <c r="E35" s="8">
        <v>4</v>
      </c>
      <c r="F35" s="8">
        <v>1</v>
      </c>
      <c r="G35" s="8">
        <v>2</v>
      </c>
      <c r="H35" s="8">
        <v>1</v>
      </c>
      <c r="I35" s="8"/>
      <c r="J35" s="8"/>
      <c r="K35" s="8"/>
      <c r="L35" s="8"/>
      <c r="M35" s="8"/>
      <c r="N35" s="8"/>
      <c r="O35" s="53" t="b">
        <f t="shared" si="0"/>
        <v>1</v>
      </c>
    </row>
    <row r="36" spans="2:15" ht="36" customHeight="1" thickBot="1" x14ac:dyDescent="0.3">
      <c r="C36" s="51" t="s">
        <v>316</v>
      </c>
      <c r="D36" s="83" t="s">
        <v>722</v>
      </c>
      <c r="E36" s="8">
        <v>4</v>
      </c>
      <c r="F36" s="8">
        <v>1</v>
      </c>
      <c r="G36" s="8">
        <v>1</v>
      </c>
      <c r="H36" s="8">
        <v>1</v>
      </c>
      <c r="I36" s="8">
        <v>1</v>
      </c>
      <c r="J36" s="8"/>
      <c r="K36" s="8"/>
      <c r="L36" s="8"/>
      <c r="M36" s="8"/>
      <c r="N36" s="8"/>
      <c r="O36" s="53" t="b">
        <f t="shared" si="0"/>
        <v>1</v>
      </c>
    </row>
    <row r="37" spans="2:15" ht="30.4" customHeight="1" thickBot="1" x14ac:dyDescent="0.3">
      <c r="C37" s="51" t="s">
        <v>317</v>
      </c>
      <c r="D37" s="83"/>
      <c r="E37" s="8"/>
      <c r="F37" s="8"/>
      <c r="G37" s="8"/>
      <c r="H37" s="8"/>
      <c r="I37" s="8"/>
      <c r="J37" s="8"/>
      <c r="K37" s="8"/>
      <c r="L37" s="8"/>
      <c r="M37" s="8"/>
      <c r="N37" s="8"/>
      <c r="O37" s="53" t="b">
        <f t="shared" si="0"/>
        <v>1</v>
      </c>
    </row>
    <row r="38" spans="2:15" ht="30.4" customHeight="1" thickBot="1" x14ac:dyDescent="0.3">
      <c r="C38" s="51" t="s">
        <v>318</v>
      </c>
      <c r="D38" s="83"/>
      <c r="E38" s="8"/>
      <c r="F38" s="8"/>
      <c r="G38" s="8"/>
      <c r="H38" s="8"/>
      <c r="I38" s="8"/>
      <c r="J38" s="8"/>
      <c r="K38" s="8"/>
      <c r="L38" s="8"/>
      <c r="M38" s="8"/>
      <c r="N38" s="8"/>
      <c r="O38" s="53" t="b">
        <f t="shared" si="0"/>
        <v>1</v>
      </c>
    </row>
    <row r="39" spans="2:15" ht="30.4" customHeight="1" x14ac:dyDescent="0.25">
      <c r="C39" s="51" t="s">
        <v>319</v>
      </c>
      <c r="D39" s="88"/>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10</v>
      </c>
      <c r="G40" s="52">
        <f t="shared" si="1"/>
        <v>9</v>
      </c>
      <c r="H40" s="52">
        <f t="shared" si="1"/>
        <v>6</v>
      </c>
      <c r="I40" s="52">
        <f t="shared" si="1"/>
        <v>5</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0.33</v>
      </c>
      <c r="G41" s="54">
        <f>ROUND(G40/E40,2)</f>
        <v>0.3</v>
      </c>
      <c r="H41" s="54">
        <f>ROUND(H40/E40,2)</f>
        <v>0.2</v>
      </c>
      <c r="I41" s="54">
        <f>ROUND(I40/E40,2)</f>
        <v>0.17</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35</v>
      </c>
      <c r="G42" s="7">
        <v>35</v>
      </c>
      <c r="H42" s="7">
        <v>15</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S3.1</v>
      </c>
      <c r="H46" s="59" t="str">
        <f>C14</f>
        <v>S3.2</v>
      </c>
      <c r="I46" s="59">
        <f>C15</f>
        <v>0</v>
      </c>
      <c r="J46" s="59">
        <f>C16</f>
        <v>0</v>
      </c>
      <c r="K46" s="59">
        <f>C17</f>
        <v>0</v>
      </c>
      <c r="L46" s="59">
        <f>C18</f>
        <v>0</v>
      </c>
      <c r="M46" s="59">
        <f>C19</f>
        <v>0</v>
      </c>
      <c r="N46" s="60" t="s">
        <v>327</v>
      </c>
    </row>
    <row r="47" spans="2:15" ht="55.15" customHeight="1" x14ac:dyDescent="0.25">
      <c r="C47" s="9" t="s">
        <v>328</v>
      </c>
      <c r="D47" s="10">
        <v>25</v>
      </c>
      <c r="E47" s="8">
        <v>10</v>
      </c>
      <c r="F47" s="8">
        <v>15</v>
      </c>
      <c r="G47" s="8"/>
      <c r="H47" s="8"/>
      <c r="I47" s="8"/>
      <c r="J47" s="8"/>
      <c r="K47" s="8"/>
      <c r="L47" s="8"/>
      <c r="M47" s="8"/>
      <c r="N47" s="55" t="b">
        <f t="shared" ref="N47:N54" si="2">IF(SUM(E47:M47)=D47,TRUE,"false")</f>
        <v>1</v>
      </c>
    </row>
    <row r="48" spans="2:15" ht="55.15" customHeight="1" x14ac:dyDescent="0.25">
      <c r="C48" s="9" t="s">
        <v>329</v>
      </c>
      <c r="D48" s="10">
        <v>10</v>
      </c>
      <c r="E48" s="11">
        <v>5</v>
      </c>
      <c r="F48" s="12">
        <v>5</v>
      </c>
      <c r="G48" s="12"/>
      <c r="H48" s="12"/>
      <c r="I48" s="12"/>
      <c r="J48" s="12"/>
      <c r="K48" s="12"/>
      <c r="L48" s="12"/>
      <c r="M48" s="12"/>
      <c r="N48" s="55" t="b">
        <f t="shared" si="2"/>
        <v>1</v>
      </c>
    </row>
    <row r="49" spans="3:14" ht="55.15" customHeight="1" x14ac:dyDescent="0.25">
      <c r="C49" s="9" t="s">
        <v>330</v>
      </c>
      <c r="D49" s="10">
        <v>5</v>
      </c>
      <c r="E49" s="11">
        <v>5</v>
      </c>
      <c r="F49" s="12"/>
      <c r="G49" s="12"/>
      <c r="H49" s="12"/>
      <c r="I49" s="12"/>
      <c r="J49" s="12"/>
      <c r="K49" s="12"/>
      <c r="L49" s="12"/>
      <c r="M49" s="12"/>
      <c r="N49" s="55" t="b">
        <f t="shared" si="2"/>
        <v>1</v>
      </c>
    </row>
    <row r="50" spans="3:14" ht="55.15" customHeight="1" x14ac:dyDescent="0.25">
      <c r="C50" s="9" t="s">
        <v>331</v>
      </c>
      <c r="D50" s="10">
        <v>10</v>
      </c>
      <c r="E50" s="11"/>
      <c r="F50" s="12"/>
      <c r="G50" s="12">
        <v>5</v>
      </c>
      <c r="H50" s="12">
        <v>5</v>
      </c>
      <c r="I50" s="12"/>
      <c r="J50" s="12"/>
      <c r="K50" s="12"/>
      <c r="L50" s="12"/>
      <c r="M50" s="12"/>
      <c r="N50" s="55" t="b">
        <f t="shared" si="2"/>
        <v>1</v>
      </c>
    </row>
    <row r="51" spans="3:14" ht="55.15" customHeight="1" x14ac:dyDescent="0.25">
      <c r="C51" s="9" t="s">
        <v>332</v>
      </c>
      <c r="D51" s="10"/>
      <c r="E51" s="11"/>
      <c r="F51" s="12"/>
      <c r="G51" s="12"/>
      <c r="H51" s="12"/>
      <c r="I51" s="12"/>
      <c r="J51" s="12"/>
      <c r="K51" s="12"/>
      <c r="L51" s="12"/>
      <c r="M51" s="12"/>
      <c r="N51" s="55" t="b">
        <f t="shared" si="2"/>
        <v>1</v>
      </c>
    </row>
    <row r="52" spans="3:14" ht="55.15" customHeight="1" x14ac:dyDescent="0.25">
      <c r="C52" s="9" t="s">
        <v>605</v>
      </c>
      <c r="D52" s="10"/>
      <c r="E52" s="11"/>
      <c r="F52" s="12"/>
      <c r="G52" s="12"/>
      <c r="H52" s="12"/>
      <c r="I52" s="12"/>
      <c r="J52" s="12"/>
      <c r="K52" s="12"/>
      <c r="L52" s="12"/>
      <c r="M52" s="12"/>
      <c r="N52" s="55" t="b">
        <f t="shared" si="2"/>
        <v>1</v>
      </c>
    </row>
    <row r="53" spans="3:14" ht="55.15" customHeight="1" x14ac:dyDescent="0.25">
      <c r="C53" s="9" t="s">
        <v>504</v>
      </c>
      <c r="D53" s="10">
        <v>50</v>
      </c>
      <c r="E53" s="11">
        <v>15</v>
      </c>
      <c r="F53" s="12">
        <v>15</v>
      </c>
      <c r="G53" s="12">
        <v>10</v>
      </c>
      <c r="H53" s="12">
        <v>10</v>
      </c>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35</v>
      </c>
      <c r="F56" s="65">
        <f t="shared" si="4"/>
        <v>35</v>
      </c>
      <c r="G56" s="65">
        <f t="shared" si="4"/>
        <v>15</v>
      </c>
      <c r="H56" s="65">
        <f t="shared" si="4"/>
        <v>15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049" priority="11">
      <formula>LEN(TRIM(D47))=0</formula>
    </cfRule>
    <cfRule type="cellIs" dxfId="1048" priority="12" operator="equal">
      <formula>0</formula>
    </cfRule>
  </conditionalFormatting>
  <conditionalFormatting sqref="E50">
    <cfRule type="containsBlanks" dxfId="1047" priority="21">
      <formula>LEN(TRIM(E50))=0</formula>
    </cfRule>
    <cfRule type="cellIs" dxfId="1046" priority="22" operator="equal">
      <formula>0</formula>
    </cfRule>
  </conditionalFormatting>
  <conditionalFormatting sqref="E47:M51 E52">
    <cfRule type="containsBlanks" dxfId="1045" priority="17">
      <formula>LEN(TRIM(E47))=0</formula>
    </cfRule>
    <cfRule type="cellIs" dxfId="1044" priority="18" operator="equal">
      <formula>0</formula>
    </cfRule>
  </conditionalFormatting>
  <conditionalFormatting sqref="E53:M54">
    <cfRule type="containsBlanks" dxfId="1043" priority="15">
      <formula>LEN(TRIM(E53))=0</formula>
    </cfRule>
    <cfRule type="cellIs" dxfId="1042" priority="16" operator="equal">
      <formula>0</formula>
    </cfRule>
  </conditionalFormatting>
  <conditionalFormatting sqref="E55:M55">
    <cfRule type="containsText" dxfId="1041" priority="5" operator="containsText" text="false">
      <formula>NOT(ISERROR(SEARCH("false",E55)))</formula>
    </cfRule>
    <cfRule type="containsText" dxfId="1040" priority="6" operator="containsText" text="true">
      <formula>NOT(ISERROR(SEARCH("true",E55)))</formula>
    </cfRule>
  </conditionalFormatting>
  <conditionalFormatting sqref="E26:N39">
    <cfRule type="containsBlanks" dxfId="1039" priority="3">
      <formula>LEN(TRIM(E26))=0</formula>
    </cfRule>
    <cfRule type="cellIs" dxfId="1038" priority="4" operator="equal">
      <formula>0</formula>
    </cfRule>
  </conditionalFormatting>
  <conditionalFormatting sqref="F48:M48">
    <cfRule type="containsBlanks" dxfId="1037" priority="23">
      <formula>LEN(TRIM(F48))=0</formula>
    </cfRule>
    <cfRule type="cellIs" dxfId="1036" priority="24" operator="equal">
      <formula>0</formula>
    </cfRule>
  </conditionalFormatting>
  <conditionalFormatting sqref="F50:M52">
    <cfRule type="containsBlanks" dxfId="1035" priority="19">
      <formula>LEN(TRIM(F50))=0</formula>
    </cfRule>
    <cfRule type="cellIs" dxfId="1034" priority="20" operator="equal">
      <formula>0</formula>
    </cfRule>
  </conditionalFormatting>
  <conditionalFormatting sqref="N47:N54">
    <cfRule type="containsText" dxfId="1033" priority="7" operator="containsText" text="false">
      <formula>NOT(ISERROR(SEARCH("false",N47)))</formula>
    </cfRule>
    <cfRule type="containsText" dxfId="1032" priority="8" operator="containsText" text="true">
      <formula>NOT(ISERROR(SEARCH("true",N47)))</formula>
    </cfRule>
  </conditionalFormatting>
  <conditionalFormatting sqref="N55">
    <cfRule type="containsBlanks" dxfId="1031" priority="13">
      <formula>LEN(TRIM(N55))=0</formula>
    </cfRule>
    <cfRule type="cellIs" dxfId="1030" priority="14" operator="equal">
      <formula>0</formula>
    </cfRule>
  </conditionalFormatting>
  <conditionalFormatting sqref="O26:O40">
    <cfRule type="containsText" dxfId="1029" priority="9" operator="containsText" text="false">
      <formula>NOT(ISERROR(SEARCH("false",O26)))</formula>
    </cfRule>
    <cfRule type="containsText" dxfId="1028" priority="10" operator="containsText" text="true">
      <formula>NOT(ISERROR(SEARCH("true",O26)))</formula>
    </cfRule>
  </conditionalFormatting>
  <conditionalFormatting sqref="O42">
    <cfRule type="cellIs" dxfId="1027" priority="1" operator="notEqual">
      <formula>100</formula>
    </cfRule>
    <cfRule type="cellIs" dxfId="1026" priority="2" operator="equal">
      <formula>100</formula>
    </cfRule>
  </conditionalFormatting>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2:AB57"/>
  <sheetViews>
    <sheetView topLeftCell="A4" zoomScale="50" zoomScaleNormal="50" workbookViewId="0">
      <selection activeCell="K16" sqref="K16"/>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6.8554687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186</v>
      </c>
      <c r="J6" s="43" t="s">
        <v>278</v>
      </c>
      <c r="K6" s="1" t="s">
        <v>185</v>
      </c>
    </row>
    <row r="7" spans="2:26" ht="72.599999999999994" customHeight="1" thickBot="1" x14ac:dyDescent="0.3">
      <c r="B7" s="160"/>
      <c r="C7" s="161"/>
      <c r="D7" s="43" t="s">
        <v>279</v>
      </c>
      <c r="E7" s="1">
        <v>3</v>
      </c>
      <c r="F7" s="43" t="s">
        <v>280</v>
      </c>
      <c r="G7" s="1">
        <v>5</v>
      </c>
      <c r="H7" s="43" t="s">
        <v>281</v>
      </c>
      <c r="I7" s="1" t="s">
        <v>282</v>
      </c>
      <c r="J7" s="43" t="s">
        <v>283</v>
      </c>
      <c r="K7" s="1" t="s">
        <v>1738</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76.5" customHeight="1" x14ac:dyDescent="0.25">
      <c r="B11" s="36"/>
      <c r="C11" s="5" t="s">
        <v>297</v>
      </c>
      <c r="D11" s="79" t="s">
        <v>745</v>
      </c>
      <c r="E11" s="2" t="s">
        <v>7</v>
      </c>
      <c r="F11" s="3"/>
      <c r="G11" s="17"/>
      <c r="H11" s="17">
        <v>0.6</v>
      </c>
      <c r="I11" s="17">
        <v>1</v>
      </c>
      <c r="J11" s="80" t="s">
        <v>746</v>
      </c>
      <c r="K11" s="80" t="s">
        <v>747</v>
      </c>
      <c r="U11" s="3">
        <f>F11</f>
        <v>0</v>
      </c>
      <c r="V11" s="2" t="str">
        <f>C11</f>
        <v>K1.1</v>
      </c>
      <c r="W11" s="2"/>
      <c r="X11" s="17"/>
      <c r="Y11" s="37"/>
      <c r="Z11" s="37"/>
    </row>
    <row r="12" spans="2:26" ht="58.9" customHeight="1" x14ac:dyDescent="0.25">
      <c r="B12" s="36"/>
      <c r="C12" s="5" t="s">
        <v>298</v>
      </c>
      <c r="D12" s="79" t="s">
        <v>748</v>
      </c>
      <c r="E12" s="5" t="s">
        <v>7</v>
      </c>
      <c r="F12" s="6"/>
      <c r="G12" s="4"/>
      <c r="H12" s="17">
        <v>0.6</v>
      </c>
      <c r="I12" s="17">
        <v>1</v>
      </c>
      <c r="J12" s="80" t="s">
        <v>746</v>
      </c>
      <c r="K12" s="80" t="s">
        <v>747</v>
      </c>
      <c r="U12" s="6">
        <f t="shared" ref="U12:U19" si="0">F12</f>
        <v>0</v>
      </c>
      <c r="V12" s="2" t="str">
        <f>C12</f>
        <v>K1.2</v>
      </c>
      <c r="W12" s="5"/>
      <c r="X12" s="4"/>
      <c r="Y12" s="38"/>
      <c r="Z12" s="38"/>
    </row>
    <row r="13" spans="2:26" ht="58.9" customHeight="1" x14ac:dyDescent="0.25">
      <c r="B13" s="36"/>
      <c r="C13" s="5" t="s">
        <v>299</v>
      </c>
      <c r="D13" s="79" t="s">
        <v>749</v>
      </c>
      <c r="E13" s="5" t="s">
        <v>7</v>
      </c>
      <c r="F13" s="6"/>
      <c r="G13" s="4"/>
      <c r="H13" s="17">
        <v>0.6</v>
      </c>
      <c r="I13" s="17">
        <v>1</v>
      </c>
      <c r="J13" s="80" t="s">
        <v>746</v>
      </c>
      <c r="K13" s="80" t="s">
        <v>747</v>
      </c>
      <c r="U13" s="6">
        <f t="shared" si="0"/>
        <v>0</v>
      </c>
      <c r="V13" s="2" t="str">
        <f>C13</f>
        <v>K1.3</v>
      </c>
      <c r="W13" s="5"/>
      <c r="X13" s="4"/>
      <c r="Y13" s="38"/>
      <c r="Z13" s="38"/>
    </row>
    <row r="14" spans="2:26" ht="58.9" customHeight="1" x14ac:dyDescent="0.25">
      <c r="B14" s="36"/>
      <c r="C14" s="5" t="s">
        <v>342</v>
      </c>
      <c r="D14" s="79" t="s">
        <v>750</v>
      </c>
      <c r="E14" s="5" t="s">
        <v>22</v>
      </c>
      <c r="F14" s="6"/>
      <c r="G14" s="4"/>
      <c r="H14" s="17">
        <v>0.6</v>
      </c>
      <c r="I14" s="17">
        <v>1</v>
      </c>
      <c r="J14" s="81" t="s">
        <v>751</v>
      </c>
      <c r="K14" s="81" t="s">
        <v>860</v>
      </c>
      <c r="U14" s="6">
        <f t="shared" si="0"/>
        <v>0</v>
      </c>
      <c r="V14" s="2" t="str">
        <f>C14</f>
        <v>S2.1</v>
      </c>
      <c r="W14" s="5"/>
      <c r="X14" s="4"/>
      <c r="Y14" s="38"/>
      <c r="Z14" s="38"/>
    </row>
    <row r="15" spans="2:26" ht="58.9" customHeight="1" x14ac:dyDescent="0.25">
      <c r="B15" s="36"/>
      <c r="C15" s="5" t="s">
        <v>752</v>
      </c>
      <c r="D15" s="79" t="s">
        <v>753</v>
      </c>
      <c r="E15" s="5" t="s">
        <v>35</v>
      </c>
      <c r="F15" s="6"/>
      <c r="G15" s="4"/>
      <c r="H15" s="17">
        <v>0.6</v>
      </c>
      <c r="I15" s="17">
        <v>1</v>
      </c>
      <c r="J15" s="81" t="s">
        <v>754</v>
      </c>
      <c r="K15" s="81" t="s">
        <v>1747</v>
      </c>
      <c r="U15" s="6">
        <f t="shared" si="0"/>
        <v>0</v>
      </c>
      <c r="V15" s="2" t="str">
        <f>C15</f>
        <v>S4.1</v>
      </c>
      <c r="W15" s="5"/>
      <c r="X15" s="4"/>
      <c r="Y15" s="38"/>
      <c r="Z15" s="38"/>
    </row>
    <row r="16" spans="2:26" ht="85.5" customHeight="1" x14ac:dyDescent="0.25">
      <c r="B16" s="36"/>
      <c r="C16" s="5" t="s">
        <v>445</v>
      </c>
      <c r="D16" s="79" t="s">
        <v>755</v>
      </c>
      <c r="E16" s="5" t="s">
        <v>31</v>
      </c>
      <c r="F16" s="6"/>
      <c r="G16" s="4"/>
      <c r="H16" s="17">
        <v>0.6</v>
      </c>
      <c r="I16" s="17">
        <v>1</v>
      </c>
      <c r="J16" s="81" t="s">
        <v>756</v>
      </c>
      <c r="K16" s="81" t="s">
        <v>757</v>
      </c>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K1.3</v>
      </c>
      <c r="I25" s="49" t="str">
        <f>C14</f>
        <v>S2.1</v>
      </c>
      <c r="J25" s="49" t="str">
        <f>C15</f>
        <v>S4.1</v>
      </c>
      <c r="K25" s="49" t="str">
        <f>C16</f>
        <v>S7.1</v>
      </c>
      <c r="L25" s="49">
        <f>C17</f>
        <v>0</v>
      </c>
      <c r="M25" s="49">
        <f>C18</f>
        <v>0</v>
      </c>
      <c r="N25" s="49">
        <f>C19</f>
        <v>0</v>
      </c>
      <c r="O25" s="50" t="s">
        <v>305</v>
      </c>
    </row>
    <row r="26" spans="2:26" ht="30.4" customHeight="1" thickBot="1" x14ac:dyDescent="0.3">
      <c r="C26" s="51" t="s">
        <v>306</v>
      </c>
      <c r="D26" s="79" t="s">
        <v>758</v>
      </c>
      <c r="E26" s="8">
        <v>8</v>
      </c>
      <c r="F26" s="8">
        <v>4</v>
      </c>
      <c r="G26" s="8">
        <v>2</v>
      </c>
      <c r="H26" s="8"/>
      <c r="I26" s="8">
        <v>2</v>
      </c>
      <c r="J26" s="8"/>
      <c r="K26" s="8"/>
      <c r="L26" s="8"/>
      <c r="M26" s="8"/>
      <c r="N26" s="8"/>
      <c r="O26" s="53" t="b">
        <f>IF(SUM(F26:N26)=E26,TRUE,"false")</f>
        <v>1</v>
      </c>
    </row>
    <row r="27" spans="2:26" ht="30.4" customHeight="1" thickBot="1" x14ac:dyDescent="0.3">
      <c r="C27" s="51" t="s">
        <v>307</v>
      </c>
      <c r="D27" s="79" t="s">
        <v>759</v>
      </c>
      <c r="E27" s="8">
        <v>8</v>
      </c>
      <c r="F27" s="8">
        <v>2</v>
      </c>
      <c r="G27" s="8">
        <v>4</v>
      </c>
      <c r="H27" s="8"/>
      <c r="I27" s="8"/>
      <c r="J27" s="8"/>
      <c r="K27" s="8">
        <v>2</v>
      </c>
      <c r="L27" s="8"/>
      <c r="M27" s="8"/>
      <c r="N27" s="8"/>
      <c r="O27" s="53" t="b">
        <f t="shared" ref="O27:O40" si="1">IF(SUM(F27:N27)=E27,TRUE,"false")</f>
        <v>1</v>
      </c>
    </row>
    <row r="28" spans="2:26" ht="30.4" customHeight="1" thickBot="1" x14ac:dyDescent="0.3">
      <c r="C28" s="51" t="s">
        <v>308</v>
      </c>
      <c r="D28" s="79" t="s">
        <v>760</v>
      </c>
      <c r="E28" s="8">
        <v>8</v>
      </c>
      <c r="F28" s="8">
        <v>5</v>
      </c>
      <c r="G28" s="8"/>
      <c r="H28" s="8"/>
      <c r="I28" s="8"/>
      <c r="J28" s="8">
        <v>1</v>
      </c>
      <c r="K28" s="8">
        <v>2</v>
      </c>
      <c r="L28" s="8"/>
      <c r="M28" s="8"/>
      <c r="N28" s="8"/>
      <c r="O28" s="53" t="b">
        <f t="shared" si="1"/>
        <v>1</v>
      </c>
    </row>
    <row r="29" spans="2:26" ht="30.4" customHeight="1" thickBot="1" x14ac:dyDescent="0.3">
      <c r="C29" s="51" t="s">
        <v>309</v>
      </c>
      <c r="D29" s="79" t="s">
        <v>761</v>
      </c>
      <c r="E29" s="8">
        <v>12</v>
      </c>
      <c r="F29" s="8"/>
      <c r="G29" s="8">
        <v>4</v>
      </c>
      <c r="H29" s="8">
        <v>5</v>
      </c>
      <c r="I29" s="8"/>
      <c r="J29" s="8">
        <v>1</v>
      </c>
      <c r="K29" s="8">
        <v>2</v>
      </c>
      <c r="L29" s="8"/>
      <c r="M29" s="8"/>
      <c r="N29" s="8"/>
      <c r="O29" s="53" t="b">
        <f t="shared" si="1"/>
        <v>1</v>
      </c>
    </row>
    <row r="30" spans="2:26" ht="30.4" customHeight="1" thickBot="1" x14ac:dyDescent="0.3">
      <c r="C30" s="51" t="s">
        <v>310</v>
      </c>
      <c r="D30" s="79" t="s">
        <v>762</v>
      </c>
      <c r="E30" s="8">
        <v>8</v>
      </c>
      <c r="F30" s="8"/>
      <c r="G30" s="8">
        <v>3</v>
      </c>
      <c r="H30" s="8">
        <v>2</v>
      </c>
      <c r="I30" s="8">
        <v>2</v>
      </c>
      <c r="J30" s="8"/>
      <c r="K30" s="8">
        <v>1</v>
      </c>
      <c r="L30" s="8"/>
      <c r="M30" s="8"/>
      <c r="N30" s="8"/>
      <c r="O30" s="53" t="b">
        <f t="shared" si="1"/>
        <v>1</v>
      </c>
    </row>
    <row r="31" spans="2:26" ht="30.4" customHeight="1" thickBot="1" x14ac:dyDescent="0.3">
      <c r="C31" s="51" t="s">
        <v>311</v>
      </c>
      <c r="D31" s="79" t="s">
        <v>763</v>
      </c>
      <c r="E31" s="8">
        <v>8</v>
      </c>
      <c r="F31" s="8"/>
      <c r="G31" s="8">
        <v>2</v>
      </c>
      <c r="H31" s="8">
        <v>2</v>
      </c>
      <c r="I31" s="8">
        <v>2</v>
      </c>
      <c r="J31" s="8">
        <v>1</v>
      </c>
      <c r="K31" s="8">
        <v>1</v>
      </c>
      <c r="L31" s="8"/>
      <c r="M31" s="8"/>
      <c r="N31" s="8"/>
      <c r="O31" s="53" t="b">
        <f t="shared" si="1"/>
        <v>1</v>
      </c>
    </row>
    <row r="32" spans="2:26" ht="30.4" customHeight="1" thickBot="1" x14ac:dyDescent="0.3">
      <c r="C32" s="51" t="s">
        <v>312</v>
      </c>
      <c r="D32" s="79" t="s">
        <v>764</v>
      </c>
      <c r="E32" s="8">
        <v>8</v>
      </c>
      <c r="F32" s="8">
        <v>2</v>
      </c>
      <c r="G32" s="8">
        <v>2</v>
      </c>
      <c r="H32" s="8"/>
      <c r="I32" s="8">
        <v>2</v>
      </c>
      <c r="J32" s="8">
        <v>1</v>
      </c>
      <c r="K32" s="8">
        <v>1</v>
      </c>
      <c r="L32" s="8"/>
      <c r="M32" s="8"/>
      <c r="N32" s="8"/>
      <c r="O32" s="53" t="b">
        <f t="shared" si="1"/>
        <v>1</v>
      </c>
    </row>
    <row r="33" spans="2:15" ht="30.4" customHeight="1" thickBot="1" x14ac:dyDescent="0.3">
      <c r="C33" s="51" t="s">
        <v>313</v>
      </c>
      <c r="D33" s="25"/>
      <c r="E33" s="8"/>
      <c r="F33" s="8"/>
      <c r="G33" s="8"/>
      <c r="H33" s="8"/>
      <c r="I33" s="8"/>
      <c r="J33" s="8"/>
      <c r="K33" s="8"/>
      <c r="L33" s="8"/>
      <c r="M33" s="8"/>
      <c r="N33" s="8"/>
      <c r="O33" s="53" t="b">
        <f t="shared" si="1"/>
        <v>1</v>
      </c>
    </row>
    <row r="34" spans="2:15" ht="30.4" customHeight="1" thickBot="1" x14ac:dyDescent="0.3">
      <c r="C34" s="51" t="s">
        <v>314</v>
      </c>
      <c r="D34" s="25"/>
      <c r="E34" s="8"/>
      <c r="F34" s="8"/>
      <c r="G34" s="8"/>
      <c r="H34" s="8"/>
      <c r="I34" s="8"/>
      <c r="J34" s="8"/>
      <c r="K34" s="8"/>
      <c r="L34" s="8"/>
      <c r="M34" s="8"/>
      <c r="N34" s="8"/>
      <c r="O34" s="53" t="b">
        <f t="shared" si="1"/>
        <v>1</v>
      </c>
    </row>
    <row r="35" spans="2:15" ht="30.4" customHeight="1" thickBot="1" x14ac:dyDescent="0.3">
      <c r="C35" s="51" t="s">
        <v>315</v>
      </c>
      <c r="D35" s="25"/>
      <c r="E35" s="8"/>
      <c r="F35" s="8"/>
      <c r="G35" s="8"/>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60</v>
      </c>
      <c r="F40" s="52">
        <f t="shared" ref="F40:N40" si="2">SUM(F26:F39)</f>
        <v>13</v>
      </c>
      <c r="G40" s="52">
        <f t="shared" si="2"/>
        <v>17</v>
      </c>
      <c r="H40" s="52">
        <f t="shared" si="2"/>
        <v>9</v>
      </c>
      <c r="I40" s="52">
        <f t="shared" si="2"/>
        <v>8</v>
      </c>
      <c r="J40" s="52">
        <f t="shared" si="2"/>
        <v>4</v>
      </c>
      <c r="K40" s="52">
        <f t="shared" si="2"/>
        <v>9</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0.22</v>
      </c>
      <c r="G41" s="54">
        <f>ROUND(G40/E40,2)</f>
        <v>0.28000000000000003</v>
      </c>
      <c r="H41" s="54">
        <f>ROUND(H40/E40,2)</f>
        <v>0.15</v>
      </c>
      <c r="I41" s="54">
        <f>ROUND(I40/E40,2)</f>
        <v>0.13</v>
      </c>
      <c r="J41" s="54">
        <f>ROUND(J40/E40,2)</f>
        <v>7.0000000000000007E-2</v>
      </c>
      <c r="K41" s="54">
        <f>ROUND(K40/E40,2)</f>
        <v>0.15</v>
      </c>
      <c r="L41" s="54">
        <f>ROUND(L40/E40,2)</f>
        <v>0</v>
      </c>
      <c r="M41" s="54">
        <f>ROUND(M40/E40,2)</f>
        <v>0</v>
      </c>
      <c r="N41" s="54">
        <f>ROUND(N40/E40,2)</f>
        <v>0</v>
      </c>
      <c r="O41" s="54">
        <f>SUM(F41:N41)</f>
        <v>1</v>
      </c>
    </row>
    <row r="42" spans="2:15" ht="55.9" customHeight="1" x14ac:dyDescent="0.25">
      <c r="C42" s="151" t="s">
        <v>322</v>
      </c>
      <c r="D42" s="151"/>
      <c r="E42" s="151"/>
      <c r="F42" s="7">
        <v>20</v>
      </c>
      <c r="G42" s="7">
        <v>30</v>
      </c>
      <c r="H42" s="7">
        <v>15</v>
      </c>
      <c r="I42" s="7">
        <v>15</v>
      </c>
      <c r="J42" s="7">
        <v>5</v>
      </c>
      <c r="K42" s="7">
        <v>15</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K1.3</v>
      </c>
      <c r="H46" s="59" t="str">
        <f>C14</f>
        <v>S2.1</v>
      </c>
      <c r="I46" s="59" t="str">
        <f>C15</f>
        <v>S4.1</v>
      </c>
      <c r="J46" s="59" t="str">
        <f>C16</f>
        <v>S7.1</v>
      </c>
      <c r="K46" s="59">
        <f>C17</f>
        <v>0</v>
      </c>
      <c r="L46" s="59">
        <f>C18</f>
        <v>0</v>
      </c>
      <c r="M46" s="59">
        <f>C19</f>
        <v>0</v>
      </c>
      <c r="N46" s="60" t="s">
        <v>327</v>
      </c>
    </row>
    <row r="47" spans="2:15" ht="55.15" customHeight="1" x14ac:dyDescent="0.25">
      <c r="C47" s="9" t="s">
        <v>328</v>
      </c>
      <c r="D47" s="10">
        <v>25</v>
      </c>
      <c r="E47" s="8">
        <v>10</v>
      </c>
      <c r="F47" s="8">
        <v>10</v>
      </c>
      <c r="G47" s="8"/>
      <c r="H47" s="8">
        <v>5</v>
      </c>
      <c r="I47" s="8"/>
      <c r="J47" s="8"/>
      <c r="K47" s="8"/>
      <c r="L47" s="8"/>
      <c r="M47" s="8"/>
      <c r="N47" s="55" t="b">
        <f t="shared" ref="N47:N54" si="3">IF(SUM(E47:M47)=D47,TRUE,"false")</f>
        <v>1</v>
      </c>
    </row>
    <row r="48" spans="2:15" ht="55.15" customHeight="1" x14ac:dyDescent="0.25">
      <c r="C48" s="9" t="s">
        <v>329</v>
      </c>
      <c r="D48" s="10">
        <v>5</v>
      </c>
      <c r="E48" s="11"/>
      <c r="F48" s="12">
        <v>5</v>
      </c>
      <c r="G48" s="12"/>
      <c r="H48" s="12"/>
      <c r="I48" s="12"/>
      <c r="J48" s="12"/>
      <c r="K48" s="12"/>
      <c r="L48" s="12"/>
      <c r="M48" s="12"/>
      <c r="N48" s="55" t="b">
        <f t="shared" si="3"/>
        <v>1</v>
      </c>
    </row>
    <row r="49" spans="3:14" ht="55.15" customHeight="1" x14ac:dyDescent="0.25">
      <c r="C49" s="9" t="s">
        <v>458</v>
      </c>
      <c r="D49" s="10"/>
      <c r="E49" s="11"/>
      <c r="F49" s="12"/>
      <c r="G49" s="12"/>
      <c r="H49" s="12"/>
      <c r="I49" s="12"/>
      <c r="J49" s="12"/>
      <c r="K49" s="12"/>
      <c r="L49" s="12"/>
      <c r="M49" s="12"/>
      <c r="N49" s="55" t="b">
        <f t="shared" si="3"/>
        <v>1</v>
      </c>
    </row>
    <row r="50" spans="3:14" ht="55.15" customHeight="1" x14ac:dyDescent="0.25">
      <c r="C50" s="9" t="s">
        <v>331</v>
      </c>
      <c r="D50" s="10"/>
      <c r="E50" s="11"/>
      <c r="F50" s="12"/>
      <c r="G50" s="12"/>
      <c r="H50" s="12"/>
      <c r="I50" s="12"/>
      <c r="J50" s="12"/>
      <c r="K50" s="12"/>
      <c r="L50" s="12"/>
      <c r="M50" s="12"/>
      <c r="N50" s="55" t="b">
        <f t="shared" si="3"/>
        <v>1</v>
      </c>
    </row>
    <row r="51" spans="3:14" ht="55.15" customHeight="1" x14ac:dyDescent="0.25">
      <c r="C51" s="9" t="s">
        <v>765</v>
      </c>
      <c r="D51" s="10">
        <v>20</v>
      </c>
      <c r="E51" s="11"/>
      <c r="F51" s="12"/>
      <c r="G51" s="12"/>
      <c r="H51" s="12"/>
      <c r="I51" s="12">
        <v>5</v>
      </c>
      <c r="J51" s="12">
        <v>15</v>
      </c>
      <c r="K51" s="12"/>
      <c r="L51" s="12"/>
      <c r="M51" s="12"/>
      <c r="N51" s="55" t="b">
        <f t="shared" si="3"/>
        <v>1</v>
      </c>
    </row>
    <row r="52" spans="3:14" ht="55.15" customHeight="1" x14ac:dyDescent="0.25">
      <c r="C52" s="9" t="s">
        <v>504</v>
      </c>
      <c r="D52" s="10">
        <v>50</v>
      </c>
      <c r="E52" s="11">
        <v>10</v>
      </c>
      <c r="F52" s="12">
        <v>15</v>
      </c>
      <c r="G52" s="12">
        <v>15</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20</v>
      </c>
      <c r="F56" s="65">
        <f t="shared" si="5"/>
        <v>30</v>
      </c>
      <c r="G56" s="65">
        <f t="shared" si="5"/>
        <v>15</v>
      </c>
      <c r="H56" s="65">
        <f t="shared" si="5"/>
        <v>15</v>
      </c>
      <c r="I56" s="65">
        <f t="shared" si="5"/>
        <v>5</v>
      </c>
      <c r="J56" s="65">
        <f t="shared" si="5"/>
        <v>15</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025" priority="11">
      <formula>LEN(TRIM(D47))=0</formula>
    </cfRule>
    <cfRule type="cellIs" dxfId="1024" priority="12" operator="equal">
      <formula>0</formula>
    </cfRule>
  </conditionalFormatting>
  <conditionalFormatting sqref="E50">
    <cfRule type="containsBlanks" dxfId="1023" priority="21">
      <formula>LEN(TRIM(E50))=0</formula>
    </cfRule>
    <cfRule type="cellIs" dxfId="1022" priority="22" operator="equal">
      <formula>0</formula>
    </cfRule>
  </conditionalFormatting>
  <conditionalFormatting sqref="E47:M51 E52">
    <cfRule type="containsBlanks" dxfId="1021" priority="17">
      <formula>LEN(TRIM(E47))=0</formula>
    </cfRule>
    <cfRule type="cellIs" dxfId="1020" priority="18" operator="equal">
      <formula>0</formula>
    </cfRule>
  </conditionalFormatting>
  <conditionalFormatting sqref="E53:M54">
    <cfRule type="containsBlanks" dxfId="1019" priority="15">
      <formula>LEN(TRIM(E53))=0</formula>
    </cfRule>
    <cfRule type="cellIs" dxfId="1018" priority="16" operator="equal">
      <formula>0</formula>
    </cfRule>
  </conditionalFormatting>
  <conditionalFormatting sqref="E55:M55">
    <cfRule type="containsText" dxfId="1017" priority="5" operator="containsText" text="false">
      <formula>NOT(ISERROR(SEARCH("false",E55)))</formula>
    </cfRule>
    <cfRule type="containsText" dxfId="1016" priority="6" operator="containsText" text="true">
      <formula>NOT(ISERROR(SEARCH("true",E55)))</formula>
    </cfRule>
  </conditionalFormatting>
  <conditionalFormatting sqref="E26:N39">
    <cfRule type="containsBlanks" dxfId="1015" priority="3">
      <formula>LEN(TRIM(E26))=0</formula>
    </cfRule>
    <cfRule type="cellIs" dxfId="1014" priority="4" operator="equal">
      <formula>0</formula>
    </cfRule>
  </conditionalFormatting>
  <conditionalFormatting sqref="F48:M48">
    <cfRule type="containsBlanks" dxfId="1013" priority="23">
      <formula>LEN(TRIM(F48))=0</formula>
    </cfRule>
    <cfRule type="cellIs" dxfId="1012" priority="24" operator="equal">
      <formula>0</formula>
    </cfRule>
  </conditionalFormatting>
  <conditionalFormatting sqref="F50:M52">
    <cfRule type="containsBlanks" dxfId="1011" priority="19">
      <formula>LEN(TRIM(F50))=0</formula>
    </cfRule>
    <cfRule type="cellIs" dxfId="1010" priority="20" operator="equal">
      <formula>0</formula>
    </cfRule>
  </conditionalFormatting>
  <conditionalFormatting sqref="N47:N54">
    <cfRule type="containsText" dxfId="1009" priority="7" operator="containsText" text="false">
      <formula>NOT(ISERROR(SEARCH("false",N47)))</formula>
    </cfRule>
    <cfRule type="containsText" dxfId="1008" priority="8" operator="containsText" text="true">
      <formula>NOT(ISERROR(SEARCH("true",N47)))</formula>
    </cfRule>
  </conditionalFormatting>
  <conditionalFormatting sqref="N55">
    <cfRule type="containsBlanks" dxfId="1007" priority="13">
      <formula>LEN(TRIM(N55))=0</formula>
    </cfRule>
    <cfRule type="cellIs" dxfId="1006" priority="14" operator="equal">
      <formula>0</formula>
    </cfRule>
  </conditionalFormatting>
  <conditionalFormatting sqref="O26:O40">
    <cfRule type="containsText" dxfId="1005" priority="9" operator="containsText" text="false">
      <formula>NOT(ISERROR(SEARCH("false",O26)))</formula>
    </cfRule>
    <cfRule type="containsText" dxfId="1004" priority="10" operator="containsText" text="true">
      <formula>NOT(ISERROR(SEARCH("true",O26)))</formula>
    </cfRule>
  </conditionalFormatting>
  <conditionalFormatting sqref="O42">
    <cfRule type="cellIs" dxfId="1003" priority="1" operator="notEqual">
      <formula>100</formula>
    </cfRule>
    <cfRule type="cellIs" dxfId="1002" priority="2"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'Name and Course code'!$B$2:$B$76</xm:f>
          </x14:formula1>
          <xm:sqref>I6</xm:sqref>
        </x14:dataValidation>
        <x14:dataValidation type="list" allowBlank="1" showInputMessage="1" showErrorMessage="1" xr:uid="{00000000-0002-0000-0800-000001000000}">
          <x14:formula1>
            <xm:f>'Name and Course code'!$A$2:$A$76</xm:f>
          </x14:formula1>
          <xm:sqref>K6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FF00"/>
    <pageSetUpPr fitToPage="1"/>
  </sheetPr>
  <dimension ref="B2:AB57"/>
  <sheetViews>
    <sheetView zoomScale="50" zoomScaleNormal="50" workbookViewId="0">
      <selection activeCell="F8" sqref="F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188</v>
      </c>
      <c r="J6" s="43" t="s">
        <v>278</v>
      </c>
      <c r="K6" s="1" t="s">
        <v>83</v>
      </c>
    </row>
    <row r="7" spans="2:26" ht="72.599999999999994" customHeight="1" thickBot="1" x14ac:dyDescent="0.3">
      <c r="B7" s="160"/>
      <c r="C7" s="161"/>
      <c r="D7" s="43" t="s">
        <v>279</v>
      </c>
      <c r="E7" s="1">
        <v>3</v>
      </c>
      <c r="F7" s="43" t="s">
        <v>280</v>
      </c>
      <c r="G7" s="1">
        <v>5</v>
      </c>
      <c r="H7" s="43" t="s">
        <v>281</v>
      </c>
      <c r="I7" s="1" t="s">
        <v>666</v>
      </c>
      <c r="J7" s="43" t="s">
        <v>283</v>
      </c>
      <c r="K7" s="1" t="s">
        <v>621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9" x14ac:dyDescent="0.25">
      <c r="B11" s="36"/>
      <c r="C11" s="89" t="s">
        <v>622</v>
      </c>
      <c r="D11" s="78" t="s">
        <v>766</v>
      </c>
      <c r="E11" s="84" t="s">
        <v>10</v>
      </c>
      <c r="F11" s="3"/>
      <c r="G11" s="17"/>
      <c r="H11" s="17"/>
      <c r="I11" s="17"/>
      <c r="J11" s="89" t="s">
        <v>767</v>
      </c>
      <c r="K11" s="89" t="s">
        <v>768</v>
      </c>
      <c r="U11" s="3">
        <f>F11</f>
        <v>0</v>
      </c>
      <c r="V11" s="2" t="str">
        <f>C11</f>
        <v>K.2.1</v>
      </c>
      <c r="W11" s="2"/>
      <c r="X11" s="17"/>
      <c r="Y11" s="37"/>
      <c r="Z11" s="37"/>
    </row>
    <row r="12" spans="2:26" ht="168" x14ac:dyDescent="0.25">
      <c r="B12" s="36"/>
      <c r="C12" s="84" t="s">
        <v>670</v>
      </c>
      <c r="D12" s="79" t="s">
        <v>769</v>
      </c>
      <c r="E12" s="84" t="s">
        <v>10</v>
      </c>
      <c r="F12" s="6"/>
      <c r="G12" s="4"/>
      <c r="H12" s="4"/>
      <c r="I12" s="4"/>
      <c r="J12" s="84" t="s">
        <v>770</v>
      </c>
      <c r="K12" s="84" t="s">
        <v>771</v>
      </c>
      <c r="U12" s="6">
        <f>F12</f>
        <v>0</v>
      </c>
      <c r="V12" s="2" t="str">
        <f>C12</f>
        <v>K.2.2</v>
      </c>
      <c r="W12" s="5"/>
      <c r="X12" s="4"/>
      <c r="Y12" s="38"/>
      <c r="Z12" s="38"/>
    </row>
    <row r="13" spans="2:26" ht="63" x14ac:dyDescent="0.25">
      <c r="B13" s="36"/>
      <c r="C13" s="84" t="s">
        <v>772</v>
      </c>
      <c r="D13" s="79" t="s">
        <v>773</v>
      </c>
      <c r="E13" s="84" t="s">
        <v>24</v>
      </c>
      <c r="F13" s="6"/>
      <c r="G13" s="4"/>
      <c r="H13" s="4"/>
      <c r="I13" s="4"/>
      <c r="J13" s="84" t="s">
        <v>774</v>
      </c>
      <c r="K13" s="84" t="s">
        <v>444</v>
      </c>
      <c r="U13" s="6">
        <f>F13</f>
        <v>0</v>
      </c>
      <c r="V13" s="2" t="str">
        <f>C13</f>
        <v>S.3.1</v>
      </c>
      <c r="W13" s="5"/>
      <c r="X13" s="4"/>
      <c r="Y13" s="38"/>
      <c r="Z13" s="38"/>
    </row>
    <row r="14" spans="2:26" ht="21" x14ac:dyDescent="0.25">
      <c r="B14" s="36"/>
      <c r="C14" s="84"/>
      <c r="D14" s="79"/>
      <c r="F14" s="6"/>
      <c r="G14" s="4"/>
      <c r="H14" s="4"/>
      <c r="I14" s="4"/>
      <c r="J14" s="5"/>
      <c r="K14" s="5"/>
      <c r="U14" s="6">
        <f>F14</f>
        <v>0</v>
      </c>
      <c r="V14" s="2">
        <f>C14</f>
        <v>0</v>
      </c>
      <c r="W14" s="5"/>
      <c r="X14" s="4"/>
      <c r="Y14" s="38"/>
      <c r="Z14" s="38"/>
    </row>
    <row r="15" spans="2:26" ht="58.9" customHeight="1" x14ac:dyDescent="0.25">
      <c r="B15" s="36"/>
      <c r="C15" s="84"/>
      <c r="D15" s="79"/>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S.3.1</v>
      </c>
      <c r="I25" s="49">
        <f>C14</f>
        <v>0</v>
      </c>
      <c r="J25" s="49">
        <f>C15</f>
        <v>0</v>
      </c>
      <c r="K25" s="49">
        <f>C16</f>
        <v>0</v>
      </c>
      <c r="L25" s="49">
        <f>C17</f>
        <v>0</v>
      </c>
      <c r="M25" s="49">
        <f>C18</f>
        <v>0</v>
      </c>
      <c r="N25" s="49">
        <f>C19</f>
        <v>0</v>
      </c>
      <c r="O25" s="50" t="s">
        <v>305</v>
      </c>
    </row>
    <row r="26" spans="2:26" ht="30.4" customHeight="1" thickBot="1" x14ac:dyDescent="0.3">
      <c r="C26" s="51" t="s">
        <v>306</v>
      </c>
      <c r="D26" s="25" t="s">
        <v>775</v>
      </c>
      <c r="E26" s="8">
        <v>4</v>
      </c>
      <c r="F26" s="8">
        <v>1</v>
      </c>
      <c r="G26" s="8">
        <v>2</v>
      </c>
      <c r="H26" s="8">
        <v>1</v>
      </c>
      <c r="I26" s="8"/>
      <c r="J26" s="8"/>
      <c r="K26" s="8"/>
      <c r="L26" s="8"/>
      <c r="M26" s="8"/>
      <c r="N26" s="8"/>
      <c r="O26" s="53" t="b">
        <f t="shared" ref="O26:O40" si="0">IF(SUM(F26:N26)=E26,TRUE,"false")</f>
        <v>1</v>
      </c>
    </row>
    <row r="27" spans="2:26" ht="30.4" customHeight="1" thickBot="1" x14ac:dyDescent="0.3">
      <c r="C27" s="51" t="s">
        <v>307</v>
      </c>
      <c r="D27" s="25" t="s">
        <v>776</v>
      </c>
      <c r="E27" s="8">
        <v>4</v>
      </c>
      <c r="F27" s="8">
        <v>1</v>
      </c>
      <c r="G27" s="8">
        <v>2</v>
      </c>
      <c r="H27" s="8">
        <v>1</v>
      </c>
      <c r="I27" s="8"/>
      <c r="J27" s="8"/>
      <c r="K27" s="8"/>
      <c r="L27" s="8"/>
      <c r="M27" s="8"/>
      <c r="N27" s="8"/>
      <c r="O27" s="53" t="b">
        <f t="shared" si="0"/>
        <v>1</v>
      </c>
    </row>
    <row r="28" spans="2:26" ht="30.4" customHeight="1" thickBot="1" x14ac:dyDescent="0.3">
      <c r="C28" s="51" t="s">
        <v>308</v>
      </c>
      <c r="D28" s="25" t="s">
        <v>777</v>
      </c>
      <c r="E28" s="8">
        <v>4</v>
      </c>
      <c r="F28" s="8">
        <v>1</v>
      </c>
      <c r="G28" s="8">
        <v>2</v>
      </c>
      <c r="H28" s="8">
        <v>1</v>
      </c>
      <c r="I28" s="8"/>
      <c r="J28" s="8"/>
      <c r="K28" s="8"/>
      <c r="L28" s="8"/>
      <c r="M28" s="8"/>
      <c r="N28" s="8"/>
      <c r="O28" s="53" t="b">
        <f t="shared" si="0"/>
        <v>1</v>
      </c>
    </row>
    <row r="29" spans="2:26" ht="30.4" customHeight="1" thickBot="1" x14ac:dyDescent="0.3">
      <c r="C29" s="51" t="s">
        <v>309</v>
      </c>
      <c r="D29" s="92" t="s">
        <v>778</v>
      </c>
      <c r="E29" s="8">
        <v>2</v>
      </c>
      <c r="F29" s="8">
        <v>1</v>
      </c>
      <c r="G29" s="8">
        <v>1</v>
      </c>
      <c r="H29" s="8"/>
      <c r="I29" s="8"/>
      <c r="J29" s="8"/>
      <c r="K29" s="8"/>
      <c r="L29" s="8"/>
      <c r="M29" s="8"/>
      <c r="N29" s="8"/>
      <c r="O29" s="53" t="b">
        <f t="shared" si="0"/>
        <v>1</v>
      </c>
    </row>
    <row r="30" spans="2:26" ht="30.4" customHeight="1" thickBot="1" x14ac:dyDescent="0.3">
      <c r="C30" s="51" t="s">
        <v>310</v>
      </c>
      <c r="D30" s="25" t="s">
        <v>779</v>
      </c>
      <c r="E30" s="8">
        <v>2</v>
      </c>
      <c r="F30" s="8">
        <v>1</v>
      </c>
      <c r="G30" s="8">
        <v>1</v>
      </c>
      <c r="H30" s="8"/>
      <c r="I30" s="8"/>
      <c r="J30" s="8"/>
      <c r="K30" s="8"/>
      <c r="L30" s="8"/>
      <c r="M30" s="8"/>
      <c r="N30" s="8"/>
      <c r="O30" s="53" t="b">
        <f t="shared" si="0"/>
        <v>1</v>
      </c>
    </row>
    <row r="31" spans="2:26" ht="30.4" customHeight="1" thickBot="1" x14ac:dyDescent="0.3">
      <c r="C31" s="51" t="s">
        <v>311</v>
      </c>
      <c r="D31" s="25" t="s">
        <v>780</v>
      </c>
      <c r="E31" s="8">
        <v>2</v>
      </c>
      <c r="F31" s="8">
        <v>1</v>
      </c>
      <c r="G31" s="8">
        <v>1</v>
      </c>
      <c r="H31" s="8"/>
      <c r="I31" s="8"/>
      <c r="J31" s="8"/>
      <c r="K31" s="8"/>
      <c r="L31" s="8"/>
      <c r="M31" s="8"/>
      <c r="N31" s="8"/>
      <c r="O31" s="53" t="b">
        <f t="shared" si="0"/>
        <v>1</v>
      </c>
    </row>
    <row r="32" spans="2:26" ht="30.4" customHeight="1" thickBot="1" x14ac:dyDescent="0.3">
      <c r="C32" s="51" t="s">
        <v>312</v>
      </c>
      <c r="D32" s="25" t="s">
        <v>781</v>
      </c>
      <c r="E32" s="8">
        <v>2</v>
      </c>
      <c r="F32" s="8">
        <v>1</v>
      </c>
      <c r="G32" s="8">
        <v>1</v>
      </c>
      <c r="H32" s="8"/>
      <c r="I32" s="8"/>
      <c r="J32" s="8"/>
      <c r="K32" s="8"/>
      <c r="L32" s="8"/>
      <c r="M32" s="8"/>
      <c r="N32" s="8"/>
      <c r="O32" s="53" t="b">
        <f t="shared" si="0"/>
        <v>1</v>
      </c>
    </row>
    <row r="33" spans="2:15" ht="30.4" customHeight="1" thickBot="1" x14ac:dyDescent="0.3">
      <c r="C33" s="51" t="s">
        <v>313</v>
      </c>
      <c r="D33" s="25" t="s">
        <v>782</v>
      </c>
      <c r="E33" s="8">
        <v>2</v>
      </c>
      <c r="F33" s="8">
        <v>1</v>
      </c>
      <c r="G33" s="8">
        <v>1</v>
      </c>
      <c r="H33" s="8"/>
      <c r="I33" s="8"/>
      <c r="J33" s="8"/>
      <c r="K33" s="8"/>
      <c r="L33" s="8"/>
      <c r="M33" s="8"/>
      <c r="N33" s="8"/>
      <c r="O33" s="53" t="b">
        <f t="shared" si="0"/>
        <v>1</v>
      </c>
    </row>
    <row r="34" spans="2:15" ht="30.4" customHeight="1" thickBot="1" x14ac:dyDescent="0.3">
      <c r="C34" s="51" t="s">
        <v>314</v>
      </c>
      <c r="D34" s="25" t="s">
        <v>783</v>
      </c>
      <c r="E34" s="8">
        <v>2</v>
      </c>
      <c r="F34" s="8">
        <v>1</v>
      </c>
      <c r="G34" s="8">
        <v>1</v>
      </c>
      <c r="H34" s="8"/>
      <c r="I34" s="8"/>
      <c r="J34" s="8"/>
      <c r="K34" s="8"/>
      <c r="L34" s="8"/>
      <c r="M34" s="8"/>
      <c r="N34" s="8"/>
      <c r="O34" s="53" t="b">
        <f t="shared" si="0"/>
        <v>1</v>
      </c>
    </row>
    <row r="35" spans="2:15" ht="30.4" customHeight="1" thickBot="1" x14ac:dyDescent="0.3">
      <c r="C35" s="51" t="s">
        <v>315</v>
      </c>
      <c r="D35" s="19" t="s">
        <v>784</v>
      </c>
      <c r="E35" s="8">
        <v>2</v>
      </c>
      <c r="F35" s="8">
        <v>1</v>
      </c>
      <c r="G35" s="8">
        <v>1</v>
      </c>
      <c r="H35" s="8"/>
      <c r="I35" s="8"/>
      <c r="J35" s="8"/>
      <c r="K35" s="8"/>
      <c r="L35" s="8"/>
      <c r="M35" s="8"/>
      <c r="N35" s="8"/>
      <c r="O35" s="53" t="b">
        <f t="shared" si="0"/>
        <v>1</v>
      </c>
    </row>
    <row r="36" spans="2:15" ht="30.4" customHeight="1" thickBot="1" x14ac:dyDescent="0.3">
      <c r="C36" s="51" t="s">
        <v>316</v>
      </c>
      <c r="D36" s="25" t="s">
        <v>785</v>
      </c>
      <c r="E36" s="8">
        <v>4</v>
      </c>
      <c r="F36" s="8">
        <v>2</v>
      </c>
      <c r="G36" s="8">
        <v>2</v>
      </c>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12</v>
      </c>
      <c r="G40" s="52">
        <f t="shared" si="1"/>
        <v>15</v>
      </c>
      <c r="H40" s="52">
        <f t="shared" si="1"/>
        <v>3</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0.4</v>
      </c>
      <c r="G41" s="54">
        <f>ROUND(G40/E40,2)</f>
        <v>0.5</v>
      </c>
      <c r="H41" s="54">
        <f>ROUND(H40/E40,2)</f>
        <v>0.1</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40</v>
      </c>
      <c r="G42" s="7">
        <v>50</v>
      </c>
      <c r="H42" s="7">
        <v>10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S.3.1</v>
      </c>
      <c r="H46" s="59">
        <f>C14</f>
        <v>0</v>
      </c>
      <c r="I46" s="59">
        <f>C15</f>
        <v>0</v>
      </c>
      <c r="J46" s="59">
        <f>C16</f>
        <v>0</v>
      </c>
      <c r="K46" s="59">
        <f>C17</f>
        <v>0</v>
      </c>
      <c r="L46" s="59">
        <f>C18</f>
        <v>0</v>
      </c>
      <c r="M46" s="59">
        <f>C19</f>
        <v>0</v>
      </c>
      <c r="N46" s="60" t="s">
        <v>327</v>
      </c>
    </row>
    <row r="47" spans="2:15" ht="55.15" customHeight="1" x14ac:dyDescent="0.25">
      <c r="C47" s="9" t="s">
        <v>458</v>
      </c>
      <c r="D47" s="10">
        <v>15</v>
      </c>
      <c r="E47" s="8">
        <v>10</v>
      </c>
      <c r="F47" s="8">
        <v>5</v>
      </c>
      <c r="G47" s="8"/>
      <c r="H47" s="8"/>
      <c r="I47" s="8"/>
      <c r="J47" s="8"/>
      <c r="K47" s="8"/>
      <c r="L47" s="8"/>
      <c r="M47" s="8"/>
      <c r="N47" s="55" t="b">
        <f t="shared" ref="N47:N54" si="2">IF(SUM(E47:M47)=D47,TRUE,"false")</f>
        <v>1</v>
      </c>
    </row>
    <row r="48" spans="2:15" ht="55.15" customHeight="1" x14ac:dyDescent="0.25">
      <c r="C48" s="9" t="s">
        <v>328</v>
      </c>
      <c r="D48" s="10">
        <v>25</v>
      </c>
      <c r="E48" s="11">
        <v>10</v>
      </c>
      <c r="F48" s="12">
        <v>15</v>
      </c>
      <c r="G48" s="12"/>
      <c r="H48" s="12"/>
      <c r="I48" s="12"/>
      <c r="J48" s="12"/>
      <c r="K48" s="12"/>
      <c r="L48" s="12"/>
      <c r="M48" s="12"/>
      <c r="N48" s="55" t="b">
        <f t="shared" si="2"/>
        <v>1</v>
      </c>
    </row>
    <row r="49" spans="3:14" ht="55.15" customHeight="1" x14ac:dyDescent="0.25">
      <c r="C49" s="9" t="s">
        <v>331</v>
      </c>
      <c r="D49" s="10">
        <v>10</v>
      </c>
      <c r="E49" s="11"/>
      <c r="F49" s="12">
        <v>10</v>
      </c>
      <c r="G49" s="12"/>
      <c r="H49" s="12"/>
      <c r="I49" s="12"/>
      <c r="J49" s="12"/>
      <c r="K49" s="12"/>
      <c r="L49" s="12"/>
      <c r="M49" s="12"/>
      <c r="N49" s="55" t="b">
        <f t="shared" si="2"/>
        <v>1</v>
      </c>
    </row>
    <row r="50" spans="3:14" ht="55.15" customHeight="1" x14ac:dyDescent="0.25">
      <c r="C50" s="9" t="s">
        <v>460</v>
      </c>
      <c r="D50" s="10">
        <v>50</v>
      </c>
      <c r="E50" s="11">
        <v>20</v>
      </c>
      <c r="F50" s="12">
        <v>20</v>
      </c>
      <c r="G50" s="12">
        <v>10</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40</v>
      </c>
      <c r="F56" s="65">
        <f t="shared" si="4"/>
        <v>50</v>
      </c>
      <c r="G56" s="65">
        <f t="shared" si="4"/>
        <v>10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wKggS9bZhLBFzqzBaVHy427KT9eBCbZA25fh8xpMm6BYjAulRpf2DMiE8ls20FP2D4YMz4yhRzuAtNzQEh8/g==" saltValue="nWXYapfzVzolcQxdPMSj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E50">
    <cfRule type="containsBlanks" dxfId="1001" priority="19">
      <formula>LEN(TRIM(E50))=0</formula>
    </cfRule>
    <cfRule type="cellIs" dxfId="1000" priority="20" operator="equal">
      <formula>0</formula>
    </cfRule>
  </conditionalFormatting>
  <conditionalFormatting sqref="E47:M51 E52">
    <cfRule type="containsBlanks" dxfId="999" priority="15">
      <formula>LEN(TRIM(E47))=0</formula>
    </cfRule>
    <cfRule type="cellIs" dxfId="998" priority="16" operator="equal">
      <formula>0</formula>
    </cfRule>
  </conditionalFormatting>
  <conditionalFormatting sqref="E53:M54">
    <cfRule type="containsBlanks" dxfId="997" priority="13">
      <formula>LEN(TRIM(E53))=0</formula>
    </cfRule>
    <cfRule type="cellIs" dxfId="996" priority="14" operator="equal">
      <formula>0</formula>
    </cfRule>
  </conditionalFormatting>
  <conditionalFormatting sqref="E55:M55">
    <cfRule type="containsText" dxfId="995" priority="3" operator="containsText" text="false">
      <formula>NOT(ISERROR(SEARCH("false",E55)))</formula>
    </cfRule>
    <cfRule type="containsText" dxfId="994" priority="4" operator="containsText" text="true">
      <formula>NOT(ISERROR(SEARCH("true",E55)))</formula>
    </cfRule>
  </conditionalFormatting>
  <conditionalFormatting sqref="E26:N39 D47:D54">
    <cfRule type="containsBlanks" dxfId="993" priority="9">
      <formula>LEN(TRIM(D26))=0</formula>
    </cfRule>
    <cfRule type="cellIs" dxfId="992" priority="10" operator="equal">
      <formula>0</formula>
    </cfRule>
  </conditionalFormatting>
  <conditionalFormatting sqref="F48:M48">
    <cfRule type="containsBlanks" dxfId="991" priority="21">
      <formula>LEN(TRIM(F48))=0</formula>
    </cfRule>
    <cfRule type="cellIs" dxfId="990" priority="22" operator="equal">
      <formula>0</formula>
    </cfRule>
  </conditionalFormatting>
  <conditionalFormatting sqref="F50:M52">
    <cfRule type="containsBlanks" dxfId="989" priority="17">
      <formula>LEN(TRIM(F50))=0</formula>
    </cfRule>
    <cfRule type="cellIs" dxfId="988" priority="18" operator="equal">
      <formula>0</formula>
    </cfRule>
  </conditionalFormatting>
  <conditionalFormatting sqref="N47:N54">
    <cfRule type="containsText" dxfId="987" priority="5" operator="containsText" text="false">
      <formula>NOT(ISERROR(SEARCH("false",N47)))</formula>
    </cfRule>
    <cfRule type="containsText" dxfId="986" priority="6" operator="containsText" text="true">
      <formula>NOT(ISERROR(SEARCH("true",N47)))</formula>
    </cfRule>
  </conditionalFormatting>
  <conditionalFormatting sqref="N55">
    <cfRule type="containsBlanks" dxfId="985" priority="11">
      <formula>LEN(TRIM(N55))=0</formula>
    </cfRule>
    <cfRule type="cellIs" dxfId="984" priority="12" operator="equal">
      <formula>0</formula>
    </cfRule>
  </conditionalFormatting>
  <conditionalFormatting sqref="O26:O40">
    <cfRule type="containsText" dxfId="983" priority="7" operator="containsText" text="false">
      <formula>NOT(ISERROR(SEARCH("false",O26)))</formula>
    </cfRule>
    <cfRule type="containsText" dxfId="982" priority="8" operator="containsText" text="true">
      <formula>NOT(ISERROR(SEARCH("true",O26)))</formula>
    </cfRule>
  </conditionalFormatting>
  <conditionalFormatting sqref="O42">
    <cfRule type="cellIs" dxfId="981" priority="1" operator="notEqual">
      <formula>100</formula>
    </cfRule>
    <cfRule type="cellIs" dxfId="980" priority="2" operator="equal">
      <formula>100</formula>
    </cfRule>
  </conditionalFormatting>
  <pageMargins left="0.7" right="0.7" top="0.75" bottom="0.75" header="0.3" footer="0.3"/>
  <pageSetup scale="18"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sheetPr>
  <dimension ref="B2:AB57"/>
  <sheetViews>
    <sheetView zoomScale="50" zoomScaleNormal="50" workbookViewId="0">
      <selection activeCell="D17" sqref="D1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190</v>
      </c>
      <c r="J6" s="43" t="s">
        <v>278</v>
      </c>
      <c r="K6" s="1" t="s">
        <v>84</v>
      </c>
    </row>
    <row r="7" spans="2:26" ht="72.599999999999994" customHeight="1" thickBot="1" x14ac:dyDescent="0.3">
      <c r="B7" s="160"/>
      <c r="C7" s="161"/>
      <c r="D7" s="43" t="s">
        <v>279</v>
      </c>
      <c r="E7" s="1">
        <v>3</v>
      </c>
      <c r="F7" s="43" t="s">
        <v>280</v>
      </c>
      <c r="G7" s="1">
        <v>5</v>
      </c>
      <c r="H7" s="43" t="s">
        <v>281</v>
      </c>
      <c r="I7" s="1">
        <v>2</v>
      </c>
      <c r="J7" s="43" t="s">
        <v>283</v>
      </c>
      <c r="K7" s="1" t="s">
        <v>786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129" t="s">
        <v>297</v>
      </c>
      <c r="D11" s="130" t="s">
        <v>787</v>
      </c>
      <c r="E11" s="129" t="s">
        <v>1669</v>
      </c>
      <c r="F11" s="131"/>
      <c r="G11" s="132"/>
      <c r="H11" s="132">
        <v>0.6</v>
      </c>
      <c r="I11" s="132">
        <v>1</v>
      </c>
      <c r="J11" s="133" t="s">
        <v>788</v>
      </c>
      <c r="K11" s="133" t="s">
        <v>747</v>
      </c>
      <c r="U11" s="3">
        <f>F11</f>
        <v>0</v>
      </c>
      <c r="V11" s="2" t="str">
        <f t="shared" ref="V11:V19" si="0">C11</f>
        <v>K1.1</v>
      </c>
      <c r="W11" s="2"/>
      <c r="X11" s="17"/>
      <c r="Y11" s="37"/>
      <c r="Z11" s="37"/>
    </row>
    <row r="12" spans="2:26" ht="172.5" customHeight="1" x14ac:dyDescent="0.25">
      <c r="B12" s="36"/>
      <c r="C12" s="134" t="s">
        <v>298</v>
      </c>
      <c r="D12" s="135" t="s">
        <v>789</v>
      </c>
      <c r="E12" s="134" t="s">
        <v>1669</v>
      </c>
      <c r="F12" s="136"/>
      <c r="G12" s="137"/>
      <c r="H12" s="132">
        <v>0.6</v>
      </c>
      <c r="I12" s="132">
        <v>1</v>
      </c>
      <c r="J12" s="133" t="s">
        <v>790</v>
      </c>
      <c r="K12" s="133" t="s">
        <v>611</v>
      </c>
      <c r="U12" s="6">
        <f>F12</f>
        <v>0</v>
      </c>
      <c r="V12" s="2" t="str">
        <f t="shared" si="0"/>
        <v>K1.2</v>
      </c>
      <c r="W12" s="5"/>
      <c r="X12" s="4"/>
      <c r="Y12" s="38"/>
      <c r="Z12" s="38"/>
    </row>
    <row r="13" spans="2:26" ht="58.9" customHeight="1" x14ac:dyDescent="0.25">
      <c r="B13" s="36"/>
      <c r="C13" s="134" t="s">
        <v>644</v>
      </c>
      <c r="D13" s="135" t="s">
        <v>791</v>
      </c>
      <c r="E13" s="134" t="s">
        <v>18</v>
      </c>
      <c r="F13" s="136"/>
      <c r="G13" s="137"/>
      <c r="H13" s="132">
        <v>0.6</v>
      </c>
      <c r="I13" s="132">
        <v>1</v>
      </c>
      <c r="J13" s="138" t="s">
        <v>1582</v>
      </c>
      <c r="K13" s="138" t="s">
        <v>1583</v>
      </c>
      <c r="U13" s="6">
        <f>F13</f>
        <v>0</v>
      </c>
      <c r="V13" s="2" t="str">
        <f t="shared" si="0"/>
        <v>S1.1</v>
      </c>
      <c r="W13" s="5"/>
      <c r="X13" s="4"/>
      <c r="Y13" s="38"/>
      <c r="Z13" s="38"/>
    </row>
    <row r="14" spans="2:26" ht="81" customHeight="1" x14ac:dyDescent="0.25">
      <c r="B14" s="36"/>
      <c r="C14" s="134" t="s">
        <v>342</v>
      </c>
      <c r="D14" s="135" t="s">
        <v>792</v>
      </c>
      <c r="E14" s="134" t="s">
        <v>22</v>
      </c>
      <c r="F14" s="136"/>
      <c r="G14" s="137"/>
      <c r="H14" s="132">
        <v>0.6</v>
      </c>
      <c r="I14" s="132">
        <v>1</v>
      </c>
      <c r="J14" s="138" t="s">
        <v>1584</v>
      </c>
      <c r="K14" s="138" t="s">
        <v>793</v>
      </c>
      <c r="U14" s="6">
        <f>F14</f>
        <v>0</v>
      </c>
      <c r="V14" s="2" t="str">
        <f t="shared" si="0"/>
        <v>S2.1</v>
      </c>
      <c r="W14" s="5"/>
      <c r="X14" s="4"/>
      <c r="Y14" s="38"/>
      <c r="Z14" s="38"/>
    </row>
    <row r="15" spans="2:26" ht="81" customHeight="1" x14ac:dyDescent="0.25">
      <c r="B15" s="36"/>
      <c r="C15" s="134" t="s">
        <v>345</v>
      </c>
      <c r="D15" s="135" t="s">
        <v>1729</v>
      </c>
      <c r="E15" s="134" t="s">
        <v>22</v>
      </c>
      <c r="F15" s="136"/>
      <c r="G15" s="137"/>
      <c r="H15" s="132">
        <v>0.6</v>
      </c>
      <c r="I15" s="132">
        <v>1</v>
      </c>
      <c r="J15" s="138" t="s">
        <v>1585</v>
      </c>
      <c r="K15" s="138" t="s">
        <v>793</v>
      </c>
      <c r="U15" s="6">
        <f>F15</f>
        <v>0</v>
      </c>
      <c r="V15" s="2" t="str">
        <f t="shared" si="0"/>
        <v>S2.2</v>
      </c>
      <c r="W15" s="5"/>
      <c r="X15" s="4"/>
      <c r="Y15" s="38"/>
      <c r="Z15" s="38"/>
    </row>
    <row r="16" spans="2:26" ht="75" customHeight="1" x14ac:dyDescent="0.25">
      <c r="B16" s="36"/>
      <c r="C16" s="134" t="s">
        <v>395</v>
      </c>
      <c r="D16" s="135" t="s">
        <v>1731</v>
      </c>
      <c r="E16" s="134" t="s">
        <v>24</v>
      </c>
      <c r="F16" s="136"/>
      <c r="G16" s="137"/>
      <c r="H16" s="137">
        <v>0.6</v>
      </c>
      <c r="I16" s="137">
        <v>1</v>
      </c>
      <c r="J16" s="138" t="s">
        <v>794</v>
      </c>
      <c r="K16" s="139" t="s">
        <v>795</v>
      </c>
      <c r="U16" s="6"/>
      <c r="V16" s="2" t="str">
        <f t="shared" si="0"/>
        <v>S3.1</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S2.1</v>
      </c>
      <c r="J25" s="49" t="str">
        <f>C15</f>
        <v>S2.2</v>
      </c>
      <c r="K25" s="49" t="str">
        <f>C16</f>
        <v>S3.1</v>
      </c>
      <c r="L25" s="49">
        <f>C17</f>
        <v>0</v>
      </c>
      <c r="M25" s="49">
        <f>C18</f>
        <v>0</v>
      </c>
      <c r="N25" s="49">
        <f>C19</f>
        <v>0</v>
      </c>
      <c r="O25" s="50" t="s">
        <v>305</v>
      </c>
    </row>
    <row r="26" spans="2:26" ht="30.4" customHeight="1" thickBot="1" x14ac:dyDescent="0.3">
      <c r="C26" s="51" t="s">
        <v>306</v>
      </c>
      <c r="D26" s="83" t="s">
        <v>796</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797</v>
      </c>
      <c r="E27" s="8">
        <v>2</v>
      </c>
      <c r="F27" s="8">
        <v>1</v>
      </c>
      <c r="G27" s="8"/>
      <c r="H27" s="8"/>
      <c r="I27" s="8"/>
      <c r="J27" s="8">
        <v>1</v>
      </c>
      <c r="K27" s="8"/>
      <c r="L27" s="8"/>
      <c r="M27" s="8"/>
      <c r="N27" s="8"/>
      <c r="O27" s="53" t="b">
        <f t="shared" si="1"/>
        <v>1</v>
      </c>
    </row>
    <row r="28" spans="2:26" ht="30.4" customHeight="1" thickBot="1" x14ac:dyDescent="0.3">
      <c r="C28" s="51" t="s">
        <v>308</v>
      </c>
      <c r="D28" s="83" t="s">
        <v>798</v>
      </c>
      <c r="E28" s="8">
        <v>2</v>
      </c>
      <c r="F28" s="8"/>
      <c r="G28" s="8">
        <v>1</v>
      </c>
      <c r="H28" s="8"/>
      <c r="I28" s="8"/>
      <c r="J28" s="8"/>
      <c r="K28" s="8">
        <v>1</v>
      </c>
      <c r="L28" s="8"/>
      <c r="M28" s="8"/>
      <c r="N28" s="8"/>
      <c r="O28" s="53" t="b">
        <f t="shared" si="1"/>
        <v>1</v>
      </c>
    </row>
    <row r="29" spans="2:26" ht="30.4" customHeight="1" thickBot="1" x14ac:dyDescent="0.3">
      <c r="C29" s="51" t="s">
        <v>309</v>
      </c>
      <c r="D29" s="83" t="s">
        <v>799</v>
      </c>
      <c r="E29" s="8">
        <v>2</v>
      </c>
      <c r="F29" s="8"/>
      <c r="G29" s="8"/>
      <c r="H29" s="8">
        <v>1</v>
      </c>
      <c r="I29" s="8"/>
      <c r="J29" s="8"/>
      <c r="K29" s="8">
        <v>1</v>
      </c>
      <c r="L29" s="8"/>
      <c r="M29" s="8"/>
      <c r="N29" s="8"/>
      <c r="O29" s="53" t="b">
        <f t="shared" si="1"/>
        <v>1</v>
      </c>
    </row>
    <row r="30" spans="2:26" ht="30.4" customHeight="1" thickBot="1" x14ac:dyDescent="0.3">
      <c r="C30" s="51" t="s">
        <v>310</v>
      </c>
      <c r="D30" s="83" t="s">
        <v>800</v>
      </c>
      <c r="E30" s="8">
        <v>2</v>
      </c>
      <c r="F30" s="8">
        <v>1</v>
      </c>
      <c r="G30" s="8">
        <v>1</v>
      </c>
      <c r="H30" s="8"/>
      <c r="I30" s="8"/>
      <c r="J30" s="8"/>
      <c r="K30" s="8"/>
      <c r="L30" s="8"/>
      <c r="M30" s="8"/>
      <c r="N30" s="8"/>
      <c r="O30" s="53" t="b">
        <f t="shared" si="1"/>
        <v>1</v>
      </c>
    </row>
    <row r="31" spans="2:26" ht="30.4" customHeight="1" thickBot="1" x14ac:dyDescent="0.3">
      <c r="C31" s="51" t="s">
        <v>311</v>
      </c>
      <c r="D31" s="83" t="s">
        <v>801</v>
      </c>
      <c r="E31" s="8">
        <v>2</v>
      </c>
      <c r="F31" s="8">
        <v>1</v>
      </c>
      <c r="G31" s="8"/>
      <c r="H31" s="8"/>
      <c r="I31" s="8">
        <v>1</v>
      </c>
      <c r="J31" s="8"/>
      <c r="K31" s="8"/>
      <c r="L31" s="8"/>
      <c r="M31" s="8"/>
      <c r="N31" s="8"/>
      <c r="O31" s="53" t="b">
        <f t="shared" si="1"/>
        <v>1</v>
      </c>
    </row>
    <row r="32" spans="2:26" ht="30.4" customHeight="1" thickBot="1" x14ac:dyDescent="0.3">
      <c r="C32" s="51" t="s">
        <v>312</v>
      </c>
      <c r="D32" s="83" t="s">
        <v>802</v>
      </c>
      <c r="E32" s="8">
        <v>2</v>
      </c>
      <c r="F32" s="8"/>
      <c r="G32" s="8">
        <v>1</v>
      </c>
      <c r="H32" s="8">
        <v>1</v>
      </c>
      <c r="I32" s="8"/>
      <c r="J32" s="8"/>
      <c r="K32" s="8"/>
      <c r="L32" s="8"/>
      <c r="M32" s="8"/>
      <c r="N32" s="8"/>
      <c r="O32" s="53" t="b">
        <f t="shared" si="1"/>
        <v>1</v>
      </c>
    </row>
    <row r="33" spans="2:15" ht="30.4" customHeight="1" thickBot="1" x14ac:dyDescent="0.3">
      <c r="C33" s="51" t="s">
        <v>313</v>
      </c>
      <c r="D33" s="83" t="s">
        <v>803</v>
      </c>
      <c r="E33" s="8">
        <v>2</v>
      </c>
      <c r="F33" s="8"/>
      <c r="G33" s="8">
        <v>1</v>
      </c>
      <c r="H33" s="8">
        <v>1</v>
      </c>
      <c r="I33" s="8"/>
      <c r="J33" s="8"/>
      <c r="K33" s="8"/>
      <c r="L33" s="8"/>
      <c r="M33" s="8"/>
      <c r="N33" s="8"/>
      <c r="O33" s="53" t="b">
        <f t="shared" si="1"/>
        <v>1</v>
      </c>
    </row>
    <row r="34" spans="2:15" ht="30.4" customHeight="1" thickBot="1" x14ac:dyDescent="0.3">
      <c r="C34" s="51" t="s">
        <v>314</v>
      </c>
      <c r="D34" s="83" t="s">
        <v>804</v>
      </c>
      <c r="E34" s="8">
        <v>2</v>
      </c>
      <c r="F34" s="8">
        <v>1</v>
      </c>
      <c r="G34" s="8">
        <v>1</v>
      </c>
      <c r="H34" s="8"/>
      <c r="I34" s="8"/>
      <c r="J34" s="8"/>
      <c r="K34" s="8"/>
      <c r="L34" s="8"/>
      <c r="M34" s="8"/>
      <c r="N34" s="8"/>
      <c r="O34" s="53" t="b">
        <f t="shared" si="1"/>
        <v>1</v>
      </c>
    </row>
    <row r="35" spans="2:15" ht="30.4" customHeight="1" thickBot="1" x14ac:dyDescent="0.3">
      <c r="C35" s="51" t="s">
        <v>315</v>
      </c>
      <c r="D35" s="83" t="s">
        <v>805</v>
      </c>
      <c r="E35" s="8">
        <v>2</v>
      </c>
      <c r="F35" s="8">
        <v>1</v>
      </c>
      <c r="G35" s="8"/>
      <c r="H35" s="8">
        <v>1</v>
      </c>
      <c r="I35" s="8"/>
      <c r="J35" s="8"/>
      <c r="K35" s="8"/>
      <c r="L35" s="8"/>
      <c r="M35" s="8"/>
      <c r="N35" s="8"/>
      <c r="O35" s="53" t="b">
        <f t="shared" si="1"/>
        <v>1</v>
      </c>
    </row>
    <row r="36" spans="2:15" ht="30.4" customHeight="1" thickBot="1" x14ac:dyDescent="0.3">
      <c r="C36" s="51" t="s">
        <v>316</v>
      </c>
      <c r="D36" s="83" t="s">
        <v>806</v>
      </c>
      <c r="E36" s="8">
        <v>4</v>
      </c>
      <c r="F36" s="8"/>
      <c r="G36" s="8">
        <v>1</v>
      </c>
      <c r="H36" s="8">
        <v>2</v>
      </c>
      <c r="I36" s="8"/>
      <c r="J36" s="8"/>
      <c r="K36" s="8">
        <v>1</v>
      </c>
      <c r="L36" s="8"/>
      <c r="M36" s="8"/>
      <c r="N36" s="8"/>
      <c r="O36" s="53" t="b">
        <f t="shared" si="1"/>
        <v>1</v>
      </c>
    </row>
    <row r="37" spans="2:15" ht="30.4" customHeight="1" thickBot="1" x14ac:dyDescent="0.3">
      <c r="C37" s="51" t="s">
        <v>317</v>
      </c>
      <c r="D37" s="83" t="s">
        <v>807</v>
      </c>
      <c r="E37" s="8">
        <v>2</v>
      </c>
      <c r="F37" s="8"/>
      <c r="G37" s="8"/>
      <c r="H37" s="8"/>
      <c r="I37" s="8"/>
      <c r="J37" s="8"/>
      <c r="K37" s="8">
        <v>2</v>
      </c>
      <c r="L37" s="8"/>
      <c r="M37" s="8"/>
      <c r="N37" s="8"/>
      <c r="O37" s="53" t="b">
        <f t="shared" si="1"/>
        <v>1</v>
      </c>
    </row>
    <row r="38" spans="2:15" ht="30.4" customHeight="1" thickBot="1" x14ac:dyDescent="0.3">
      <c r="C38" s="51" t="s">
        <v>318</v>
      </c>
      <c r="D38" s="83" t="s">
        <v>808</v>
      </c>
      <c r="E38" s="8">
        <v>4</v>
      </c>
      <c r="F38" s="8">
        <v>1</v>
      </c>
      <c r="G38" s="8"/>
      <c r="H38" s="8">
        <v>1</v>
      </c>
      <c r="I38" s="8">
        <v>1</v>
      </c>
      <c r="J38" s="8">
        <v>1</v>
      </c>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7</v>
      </c>
      <c r="G40" s="52">
        <f t="shared" si="2"/>
        <v>7</v>
      </c>
      <c r="H40" s="52">
        <f t="shared" si="2"/>
        <v>7</v>
      </c>
      <c r="I40" s="52">
        <f t="shared" si="2"/>
        <v>2</v>
      </c>
      <c r="J40" s="52">
        <f t="shared" si="2"/>
        <v>2</v>
      </c>
      <c r="K40" s="52">
        <f t="shared" si="2"/>
        <v>5</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0.23</v>
      </c>
      <c r="G41" s="54">
        <f>ROUND(G40/E40,2)</f>
        <v>0.23</v>
      </c>
      <c r="H41" s="54">
        <f>ROUND(H40/E40,2)</f>
        <v>0.23</v>
      </c>
      <c r="I41" s="54">
        <f>ROUND(I40/E40,2)</f>
        <v>7.0000000000000007E-2</v>
      </c>
      <c r="J41" s="54">
        <f>ROUND(J40/E40,2)</f>
        <v>7.0000000000000007E-2</v>
      </c>
      <c r="K41" s="54">
        <f>ROUND(K40/E40,2)</f>
        <v>0.17</v>
      </c>
      <c r="L41" s="54">
        <f>ROUND(L40/E40,2)</f>
        <v>0</v>
      </c>
      <c r="M41" s="54">
        <f>ROUND(M40/E40,2)</f>
        <v>0</v>
      </c>
      <c r="N41" s="54">
        <f>ROUND(N40/E40,2)</f>
        <v>0</v>
      </c>
      <c r="O41" s="54">
        <f>SUM(F41:N41)</f>
        <v>1</v>
      </c>
    </row>
    <row r="42" spans="2:15" ht="55.9" customHeight="1" x14ac:dyDescent="0.25">
      <c r="C42" s="151" t="s">
        <v>322</v>
      </c>
      <c r="D42" s="151"/>
      <c r="E42" s="151"/>
      <c r="F42" s="7">
        <v>25</v>
      </c>
      <c r="G42" s="7">
        <v>25</v>
      </c>
      <c r="H42" s="7">
        <v>25</v>
      </c>
      <c r="I42" s="7">
        <v>5</v>
      </c>
      <c r="J42" s="7">
        <v>5</v>
      </c>
      <c r="K42" s="7">
        <v>15</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S2.1</v>
      </c>
      <c r="I46" s="59" t="str">
        <f>C15</f>
        <v>S2.2</v>
      </c>
      <c r="J46" s="59" t="str">
        <f>C16</f>
        <v>S3.1</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v>10</v>
      </c>
      <c r="G49" s="12"/>
      <c r="H49" s="12"/>
      <c r="I49" s="12"/>
      <c r="J49" s="12"/>
      <c r="K49" s="12"/>
      <c r="L49" s="12"/>
      <c r="M49" s="12"/>
      <c r="N49" s="55" t="b">
        <f t="shared" si="3"/>
        <v>1</v>
      </c>
    </row>
    <row r="50" spans="3:14" ht="55.15" customHeight="1" x14ac:dyDescent="0.25">
      <c r="C50" s="9" t="s">
        <v>607</v>
      </c>
      <c r="D50" s="10"/>
      <c r="E50" s="11"/>
      <c r="F50" s="12"/>
      <c r="G50" s="12"/>
      <c r="H50" s="12"/>
      <c r="I50" s="12"/>
      <c r="J50" s="12"/>
      <c r="K50" s="12"/>
      <c r="L50" s="12"/>
      <c r="M50" s="12"/>
      <c r="N50" s="55" t="b">
        <f t="shared" si="3"/>
        <v>1</v>
      </c>
    </row>
    <row r="51" spans="3:14" ht="55.15" customHeight="1" x14ac:dyDescent="0.25">
      <c r="C51" s="9" t="s">
        <v>809</v>
      </c>
      <c r="D51" s="10">
        <v>10</v>
      </c>
      <c r="E51" s="11"/>
      <c r="F51" s="12"/>
      <c r="G51" s="12"/>
      <c r="H51" s="12">
        <v>5</v>
      </c>
      <c r="I51" s="12">
        <v>5</v>
      </c>
      <c r="J51" s="12"/>
      <c r="K51" s="12"/>
      <c r="L51" s="12"/>
      <c r="M51" s="12"/>
      <c r="N51" s="55" t="b">
        <f t="shared" si="3"/>
        <v>1</v>
      </c>
    </row>
    <row r="52" spans="3:14" ht="55.15" customHeight="1" x14ac:dyDescent="0.25">
      <c r="C52" s="9" t="s">
        <v>504</v>
      </c>
      <c r="D52" s="10">
        <v>50</v>
      </c>
      <c r="E52" s="11">
        <v>10</v>
      </c>
      <c r="F52" s="12">
        <v>5</v>
      </c>
      <c r="G52" s="12">
        <v>20</v>
      </c>
      <c r="H52" s="12"/>
      <c r="I52" s="12"/>
      <c r="J52" s="12">
        <v>15</v>
      </c>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25</v>
      </c>
      <c r="G56" s="65">
        <f t="shared" si="5"/>
        <v>25</v>
      </c>
      <c r="H56" s="65">
        <f t="shared" si="5"/>
        <v>5</v>
      </c>
      <c r="I56" s="65">
        <f t="shared" si="5"/>
        <v>5</v>
      </c>
      <c r="J56" s="65">
        <f t="shared" si="5"/>
        <v>15</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979" priority="11">
      <formula>LEN(TRIM(D47))=0</formula>
    </cfRule>
    <cfRule type="cellIs" dxfId="978" priority="12" operator="equal">
      <formula>0</formula>
    </cfRule>
  </conditionalFormatting>
  <conditionalFormatting sqref="E50">
    <cfRule type="containsBlanks" dxfId="977" priority="21">
      <formula>LEN(TRIM(E50))=0</formula>
    </cfRule>
    <cfRule type="cellIs" dxfId="976" priority="22" operator="equal">
      <formula>0</formula>
    </cfRule>
  </conditionalFormatting>
  <conditionalFormatting sqref="E47:M51 E52">
    <cfRule type="containsBlanks" dxfId="975" priority="17">
      <formula>LEN(TRIM(E47))=0</formula>
    </cfRule>
    <cfRule type="cellIs" dxfId="974" priority="18" operator="equal">
      <formula>0</formula>
    </cfRule>
  </conditionalFormatting>
  <conditionalFormatting sqref="E53:M54">
    <cfRule type="containsBlanks" dxfId="973" priority="15">
      <formula>LEN(TRIM(E53))=0</formula>
    </cfRule>
    <cfRule type="cellIs" dxfId="972" priority="16" operator="equal">
      <formula>0</formula>
    </cfRule>
  </conditionalFormatting>
  <conditionalFormatting sqref="E55:M55">
    <cfRule type="containsText" dxfId="971" priority="5" operator="containsText" text="false">
      <formula>NOT(ISERROR(SEARCH("false",E55)))</formula>
    </cfRule>
    <cfRule type="containsText" dxfId="970" priority="6" operator="containsText" text="true">
      <formula>NOT(ISERROR(SEARCH("true",E55)))</formula>
    </cfRule>
  </conditionalFormatting>
  <conditionalFormatting sqref="E26:N39">
    <cfRule type="containsBlanks" dxfId="969" priority="3">
      <formula>LEN(TRIM(E26))=0</formula>
    </cfRule>
    <cfRule type="cellIs" dxfId="968" priority="4" operator="equal">
      <formula>0</formula>
    </cfRule>
  </conditionalFormatting>
  <conditionalFormatting sqref="F48:M48">
    <cfRule type="containsBlanks" dxfId="967" priority="23">
      <formula>LEN(TRIM(F48))=0</formula>
    </cfRule>
    <cfRule type="cellIs" dxfId="966" priority="24" operator="equal">
      <formula>0</formula>
    </cfRule>
  </conditionalFormatting>
  <conditionalFormatting sqref="F50:M52">
    <cfRule type="containsBlanks" dxfId="965" priority="19">
      <formula>LEN(TRIM(F50))=0</formula>
    </cfRule>
    <cfRule type="cellIs" dxfId="964" priority="20" operator="equal">
      <formula>0</formula>
    </cfRule>
  </conditionalFormatting>
  <conditionalFormatting sqref="N47:N54">
    <cfRule type="containsText" dxfId="963" priority="7" operator="containsText" text="false">
      <formula>NOT(ISERROR(SEARCH("false",N47)))</formula>
    </cfRule>
    <cfRule type="containsText" dxfId="962" priority="8" operator="containsText" text="true">
      <formula>NOT(ISERROR(SEARCH("true",N47)))</formula>
    </cfRule>
  </conditionalFormatting>
  <conditionalFormatting sqref="N55">
    <cfRule type="containsBlanks" dxfId="961" priority="13">
      <formula>LEN(TRIM(N55))=0</formula>
    </cfRule>
    <cfRule type="cellIs" dxfId="960" priority="14" operator="equal">
      <formula>0</formula>
    </cfRule>
  </conditionalFormatting>
  <conditionalFormatting sqref="O26:O40">
    <cfRule type="containsText" dxfId="959" priority="9" operator="containsText" text="false">
      <formula>NOT(ISERROR(SEARCH("false",O26)))</formula>
    </cfRule>
    <cfRule type="containsText" dxfId="958" priority="10" operator="containsText" text="true">
      <formula>NOT(ISERROR(SEARCH("true",O26)))</formula>
    </cfRule>
  </conditionalFormatting>
  <conditionalFormatting sqref="O42">
    <cfRule type="cellIs" dxfId="957" priority="1" operator="notEqual">
      <formula>100</formula>
    </cfRule>
    <cfRule type="cellIs" dxfId="956" priority="2" operator="equal">
      <formula>100</formula>
    </cfRule>
  </conditionalFormatting>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sheetPr>
  <dimension ref="B2:AB57"/>
  <sheetViews>
    <sheetView zoomScale="50" zoomScaleNormal="50" workbookViewId="0">
      <selection activeCell="J12" sqref="J12"/>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192</v>
      </c>
      <c r="J6" s="43" t="s">
        <v>278</v>
      </c>
      <c r="K6" s="1" t="s">
        <v>85</v>
      </c>
    </row>
    <row r="7" spans="2:26" ht="72.599999999999994" customHeight="1" thickBot="1" x14ac:dyDescent="0.3">
      <c r="B7" s="160"/>
      <c r="C7" s="161"/>
      <c r="D7" s="43" t="s">
        <v>279</v>
      </c>
      <c r="E7" s="1">
        <v>3</v>
      </c>
      <c r="F7" s="43" t="s">
        <v>280</v>
      </c>
      <c r="G7" s="1">
        <v>5</v>
      </c>
      <c r="H7" s="43" t="s">
        <v>281</v>
      </c>
      <c r="I7" s="1" t="s">
        <v>1590</v>
      </c>
      <c r="J7" s="43" t="s">
        <v>283</v>
      </c>
      <c r="K7" s="1" t="s">
        <v>810</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2" t="s">
        <v>297</v>
      </c>
      <c r="D11" s="78" t="s">
        <v>811</v>
      </c>
      <c r="E11" s="2" t="s">
        <v>7</v>
      </c>
      <c r="F11" s="3"/>
      <c r="G11" s="17"/>
      <c r="H11" s="17">
        <v>0.6</v>
      </c>
      <c r="I11" s="17">
        <v>1</v>
      </c>
      <c r="J11" s="80" t="s">
        <v>812</v>
      </c>
      <c r="K11" s="80" t="s">
        <v>813</v>
      </c>
      <c r="U11" s="3">
        <f>F11</f>
        <v>0</v>
      </c>
      <c r="V11" s="2" t="str">
        <f t="shared" ref="V11:V19" si="0">C11</f>
        <v>K1.1</v>
      </c>
      <c r="W11" s="2"/>
      <c r="X11" s="17"/>
      <c r="Y11" s="37"/>
      <c r="Z11" s="37"/>
    </row>
    <row r="12" spans="2:26" ht="141" customHeight="1" x14ac:dyDescent="0.25">
      <c r="B12" s="36"/>
      <c r="C12" s="5" t="s">
        <v>342</v>
      </c>
      <c r="D12" s="79" t="s">
        <v>1661</v>
      </c>
      <c r="E12" s="5" t="s">
        <v>22</v>
      </c>
      <c r="F12" s="6"/>
      <c r="G12" s="4"/>
      <c r="H12" s="17">
        <v>0.6</v>
      </c>
      <c r="I12" s="17">
        <v>1</v>
      </c>
      <c r="J12" s="80" t="s">
        <v>814</v>
      </c>
      <c r="K12" s="80" t="s">
        <v>1670</v>
      </c>
      <c r="U12" s="6">
        <f>F12</f>
        <v>0</v>
      </c>
      <c r="V12" s="2" t="str">
        <f t="shared" si="0"/>
        <v>S2.1</v>
      </c>
      <c r="W12" s="5"/>
      <c r="X12" s="4"/>
      <c r="Y12" s="38"/>
      <c r="Z12" s="38"/>
    </row>
    <row r="13" spans="2:26" ht="70.5" customHeight="1" x14ac:dyDescent="0.25">
      <c r="B13" s="36"/>
      <c r="C13" s="5" t="s">
        <v>752</v>
      </c>
      <c r="D13" s="79" t="s">
        <v>1736</v>
      </c>
      <c r="E13" s="5" t="s">
        <v>35</v>
      </c>
      <c r="F13" s="6"/>
      <c r="G13" s="4"/>
      <c r="H13" s="17">
        <v>0.6</v>
      </c>
      <c r="I13" s="17">
        <v>1</v>
      </c>
      <c r="J13" s="81" t="s">
        <v>815</v>
      </c>
      <c r="K13" s="81" t="s">
        <v>1659</v>
      </c>
      <c r="U13" s="6">
        <f>F13</f>
        <v>0</v>
      </c>
      <c r="V13" s="2" t="str">
        <f t="shared" si="0"/>
        <v>S4.1</v>
      </c>
      <c r="W13" s="5"/>
      <c r="X13" s="4"/>
      <c r="Y13" s="38"/>
      <c r="Z13" s="38"/>
    </row>
    <row r="14" spans="2:26" ht="58.9" customHeight="1" x14ac:dyDescent="0.25">
      <c r="B14" s="36"/>
      <c r="C14" s="134" t="s">
        <v>445</v>
      </c>
      <c r="D14" s="135" t="s">
        <v>816</v>
      </c>
      <c r="E14" s="134" t="s">
        <v>31</v>
      </c>
      <c r="F14" s="136"/>
      <c r="G14" s="137"/>
      <c r="H14" s="132">
        <v>0.6</v>
      </c>
      <c r="I14" s="132">
        <v>1</v>
      </c>
      <c r="J14" s="138" t="s">
        <v>1591</v>
      </c>
      <c r="K14" s="138" t="s">
        <v>1659</v>
      </c>
      <c r="U14" s="6">
        <f>F14</f>
        <v>0</v>
      </c>
      <c r="V14" s="2" t="str">
        <f t="shared" si="0"/>
        <v>S7.1</v>
      </c>
      <c r="W14" s="5"/>
      <c r="X14" s="4"/>
      <c r="Y14" s="38"/>
      <c r="Z14" s="38"/>
    </row>
    <row r="15" spans="2:26" ht="58.9" customHeight="1" x14ac:dyDescent="0.25">
      <c r="B15" s="36"/>
      <c r="C15" s="5" t="s">
        <v>300</v>
      </c>
      <c r="D15" s="79" t="s">
        <v>1551</v>
      </c>
      <c r="E15" s="5" t="s">
        <v>44</v>
      </c>
      <c r="F15" s="6"/>
      <c r="G15" s="4"/>
      <c r="H15" s="17">
        <v>0.6</v>
      </c>
      <c r="I15" s="17">
        <v>1</v>
      </c>
      <c r="J15" s="81" t="s">
        <v>817</v>
      </c>
      <c r="K15" s="81" t="s">
        <v>818</v>
      </c>
      <c r="U15" s="6">
        <f>F15</f>
        <v>0</v>
      </c>
      <c r="V15" s="2" t="str">
        <f t="shared" si="0"/>
        <v>V1.1</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S2.1</v>
      </c>
      <c r="H25" s="49" t="str">
        <f>C13</f>
        <v>S4.1</v>
      </c>
      <c r="I25" s="49" t="str">
        <f>C14</f>
        <v>S7.1</v>
      </c>
      <c r="J25" s="49" t="str">
        <f>C15</f>
        <v>V1.1</v>
      </c>
      <c r="K25" s="49">
        <f>C16</f>
        <v>0</v>
      </c>
      <c r="L25" s="49">
        <f>C17</f>
        <v>0</v>
      </c>
      <c r="M25" s="49">
        <f>C18</f>
        <v>0</v>
      </c>
      <c r="N25" s="49">
        <f>C19</f>
        <v>0</v>
      </c>
      <c r="O25" s="50" t="s">
        <v>305</v>
      </c>
    </row>
    <row r="26" spans="2:26" ht="30.4" customHeight="1" thickBot="1" x14ac:dyDescent="0.3">
      <c r="C26" s="51" t="s">
        <v>306</v>
      </c>
      <c r="D26" s="83" t="s">
        <v>819</v>
      </c>
      <c r="E26" s="8">
        <v>3</v>
      </c>
      <c r="F26" s="8">
        <v>3</v>
      </c>
      <c r="G26" s="8"/>
      <c r="H26" s="8"/>
      <c r="I26" s="8"/>
      <c r="J26" s="8"/>
      <c r="K26" s="8"/>
      <c r="L26" s="8"/>
      <c r="M26" s="8"/>
      <c r="N26" s="8"/>
      <c r="O26" s="53" t="b">
        <f t="shared" ref="O26:O40" si="1">IF(SUM(F26:N26)=E26,TRUE,"false")</f>
        <v>1</v>
      </c>
    </row>
    <row r="27" spans="2:26" ht="30.4" customHeight="1" thickBot="1" x14ac:dyDescent="0.3">
      <c r="C27" s="51" t="s">
        <v>307</v>
      </c>
      <c r="D27" s="83" t="s">
        <v>820</v>
      </c>
      <c r="E27" s="8">
        <v>5</v>
      </c>
      <c r="F27" s="8">
        <v>2</v>
      </c>
      <c r="G27" s="8"/>
      <c r="H27" s="8">
        <v>1</v>
      </c>
      <c r="I27" s="8">
        <v>1</v>
      </c>
      <c r="J27" s="8">
        <v>1</v>
      </c>
      <c r="K27" s="8"/>
      <c r="L27" s="8"/>
      <c r="M27" s="8"/>
      <c r="N27" s="8"/>
      <c r="O27" s="53" t="b">
        <f t="shared" si="1"/>
        <v>1</v>
      </c>
    </row>
    <row r="28" spans="2:26" ht="30.4" customHeight="1" thickBot="1" x14ac:dyDescent="0.3">
      <c r="C28" s="51" t="s">
        <v>308</v>
      </c>
      <c r="D28" s="83" t="s">
        <v>821</v>
      </c>
      <c r="E28" s="8">
        <v>6</v>
      </c>
      <c r="F28" s="8">
        <v>3</v>
      </c>
      <c r="G28" s="8">
        <v>1</v>
      </c>
      <c r="H28" s="8"/>
      <c r="I28" s="8">
        <v>1</v>
      </c>
      <c r="J28" s="8">
        <v>1</v>
      </c>
      <c r="K28" s="8"/>
      <c r="L28" s="8"/>
      <c r="M28" s="8"/>
      <c r="N28" s="8"/>
      <c r="O28" s="53" t="b">
        <f t="shared" si="1"/>
        <v>1</v>
      </c>
    </row>
    <row r="29" spans="2:26" ht="30.4" customHeight="1" thickBot="1" x14ac:dyDescent="0.3">
      <c r="C29" s="51" t="s">
        <v>309</v>
      </c>
      <c r="D29" s="83" t="s">
        <v>822</v>
      </c>
      <c r="E29" s="8">
        <v>4</v>
      </c>
      <c r="F29" s="8">
        <v>2</v>
      </c>
      <c r="G29" s="8">
        <v>1</v>
      </c>
      <c r="H29" s="8">
        <v>1</v>
      </c>
      <c r="I29" s="8"/>
      <c r="J29" s="8"/>
      <c r="K29" s="8"/>
      <c r="L29" s="8"/>
      <c r="M29" s="8"/>
      <c r="N29" s="8"/>
      <c r="O29" s="53" t="b">
        <f t="shared" si="1"/>
        <v>1</v>
      </c>
    </row>
    <row r="30" spans="2:26" ht="30.4" customHeight="1" thickBot="1" x14ac:dyDescent="0.3">
      <c r="C30" s="51" t="s">
        <v>310</v>
      </c>
      <c r="D30" s="83" t="s">
        <v>823</v>
      </c>
      <c r="E30" s="8">
        <v>3</v>
      </c>
      <c r="F30" s="8">
        <v>1</v>
      </c>
      <c r="G30" s="8"/>
      <c r="H30" s="8"/>
      <c r="I30" s="8">
        <v>1</v>
      </c>
      <c r="J30" s="8">
        <v>1</v>
      </c>
      <c r="K30" s="8"/>
      <c r="L30" s="8"/>
      <c r="M30" s="8"/>
      <c r="N30" s="8"/>
      <c r="O30" s="53" t="b">
        <f t="shared" si="1"/>
        <v>1</v>
      </c>
    </row>
    <row r="31" spans="2:26" ht="30.4" customHeight="1" thickBot="1" x14ac:dyDescent="0.3">
      <c r="C31" s="51" t="s">
        <v>311</v>
      </c>
      <c r="D31" s="83" t="s">
        <v>824</v>
      </c>
      <c r="E31" s="8">
        <v>5</v>
      </c>
      <c r="F31" s="8">
        <v>2</v>
      </c>
      <c r="G31" s="8">
        <v>1</v>
      </c>
      <c r="H31" s="8"/>
      <c r="I31" s="8">
        <v>2</v>
      </c>
      <c r="J31" s="8"/>
      <c r="K31" s="8"/>
      <c r="L31" s="8"/>
      <c r="M31" s="8"/>
      <c r="N31" s="8"/>
      <c r="O31" s="53" t="b">
        <f t="shared" si="1"/>
        <v>1</v>
      </c>
    </row>
    <row r="32" spans="2:26" ht="30.4" customHeight="1" thickBot="1" x14ac:dyDescent="0.3">
      <c r="C32" s="51" t="s">
        <v>312</v>
      </c>
      <c r="D32" s="83" t="s">
        <v>825</v>
      </c>
      <c r="E32" s="8">
        <v>3</v>
      </c>
      <c r="F32" s="8">
        <v>2</v>
      </c>
      <c r="G32" s="8">
        <v>1</v>
      </c>
      <c r="H32" s="8"/>
      <c r="I32" s="8"/>
      <c r="J32" s="8"/>
      <c r="K32" s="8"/>
      <c r="L32" s="8"/>
      <c r="M32" s="8"/>
      <c r="N32" s="8"/>
      <c r="O32" s="53" t="b">
        <f t="shared" si="1"/>
        <v>1</v>
      </c>
    </row>
    <row r="33" spans="2:15" ht="30.4" customHeight="1" thickBot="1" x14ac:dyDescent="0.3">
      <c r="C33" s="51" t="s">
        <v>313</v>
      </c>
      <c r="D33" s="83" t="s">
        <v>826</v>
      </c>
      <c r="E33" s="8">
        <v>3</v>
      </c>
      <c r="F33" s="8">
        <v>1</v>
      </c>
      <c r="G33" s="8">
        <v>1</v>
      </c>
      <c r="H33" s="8"/>
      <c r="I33" s="8">
        <v>1</v>
      </c>
      <c r="J33" s="8"/>
      <c r="K33" s="8"/>
      <c r="L33" s="8"/>
      <c r="M33" s="8"/>
      <c r="N33" s="8"/>
      <c r="O33" s="53" t="b">
        <f t="shared" si="1"/>
        <v>1</v>
      </c>
    </row>
    <row r="34" spans="2:15" ht="30.4" customHeight="1" thickBot="1" x14ac:dyDescent="0.3">
      <c r="C34" s="51" t="s">
        <v>314</v>
      </c>
      <c r="D34" s="83" t="s">
        <v>827</v>
      </c>
      <c r="E34" s="8">
        <v>3</v>
      </c>
      <c r="F34" s="8">
        <v>2</v>
      </c>
      <c r="G34" s="8"/>
      <c r="H34" s="8">
        <v>1</v>
      </c>
      <c r="I34" s="8"/>
      <c r="J34" s="8"/>
      <c r="K34" s="8"/>
      <c r="L34" s="8"/>
      <c r="M34" s="8"/>
      <c r="N34" s="8"/>
      <c r="O34" s="53" t="b">
        <f t="shared" si="1"/>
        <v>1</v>
      </c>
    </row>
    <row r="35" spans="2:15" ht="30.4" customHeight="1" thickBot="1" x14ac:dyDescent="0.3">
      <c r="C35" s="51" t="s">
        <v>315</v>
      </c>
      <c r="D35" s="83" t="s">
        <v>828</v>
      </c>
      <c r="E35" s="8">
        <v>1</v>
      </c>
      <c r="F35" s="8">
        <v>1</v>
      </c>
      <c r="G35" s="8"/>
      <c r="H35" s="8"/>
      <c r="I35" s="8"/>
      <c r="J35" s="8"/>
      <c r="K35" s="8"/>
      <c r="L35" s="8"/>
      <c r="M35" s="8"/>
      <c r="N35" s="8"/>
      <c r="O35" s="53" t="b">
        <f t="shared" si="1"/>
        <v>1</v>
      </c>
    </row>
    <row r="36" spans="2:15" ht="30.4" customHeight="1" thickBot="1" x14ac:dyDescent="0.3">
      <c r="C36" s="51" t="s">
        <v>316</v>
      </c>
      <c r="D36" s="83" t="s">
        <v>829</v>
      </c>
      <c r="E36" s="8">
        <v>3</v>
      </c>
      <c r="F36" s="8">
        <v>2</v>
      </c>
      <c r="G36" s="8">
        <v>1</v>
      </c>
      <c r="H36" s="8"/>
      <c r="I36" s="8"/>
      <c r="J36" s="8"/>
      <c r="K36" s="8"/>
      <c r="L36" s="8"/>
      <c r="M36" s="8"/>
      <c r="N36" s="8"/>
      <c r="O36" s="53" t="b">
        <f t="shared" si="1"/>
        <v>1</v>
      </c>
    </row>
    <row r="37" spans="2:15" ht="30.4" customHeight="1" thickBot="1" x14ac:dyDescent="0.3">
      <c r="C37" s="51" t="s">
        <v>317</v>
      </c>
      <c r="D37" s="83" t="s">
        <v>830</v>
      </c>
      <c r="E37" s="8">
        <v>3</v>
      </c>
      <c r="F37" s="8">
        <v>1</v>
      </c>
      <c r="G37" s="8"/>
      <c r="H37" s="8"/>
      <c r="I37" s="8">
        <v>1</v>
      </c>
      <c r="J37" s="8">
        <v>1</v>
      </c>
      <c r="K37" s="8"/>
      <c r="L37" s="8"/>
      <c r="M37" s="8"/>
      <c r="N37" s="8"/>
      <c r="O37" s="53" t="b">
        <f t="shared" si="1"/>
        <v>1</v>
      </c>
    </row>
    <row r="38" spans="2:15" ht="30.4" customHeight="1" thickBot="1" x14ac:dyDescent="0.3">
      <c r="C38" s="51" t="s">
        <v>318</v>
      </c>
      <c r="D38" s="83" t="s">
        <v>831</v>
      </c>
      <c r="E38" s="8">
        <v>3</v>
      </c>
      <c r="F38" s="8">
        <v>1</v>
      </c>
      <c r="G38" s="8">
        <v>1</v>
      </c>
      <c r="H38" s="8">
        <v>1</v>
      </c>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45</v>
      </c>
      <c r="F40" s="52">
        <f t="shared" si="2"/>
        <v>23</v>
      </c>
      <c r="G40" s="52">
        <f t="shared" si="2"/>
        <v>7</v>
      </c>
      <c r="H40" s="52">
        <f t="shared" si="2"/>
        <v>4</v>
      </c>
      <c r="I40" s="52">
        <f t="shared" si="2"/>
        <v>7</v>
      </c>
      <c r="J40" s="52">
        <f t="shared" si="2"/>
        <v>4</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0.51</v>
      </c>
      <c r="G41" s="54">
        <f>ROUND(G40/E40,2)</f>
        <v>0.16</v>
      </c>
      <c r="H41" s="54">
        <f>ROUND(H40/E40,2)</f>
        <v>0.09</v>
      </c>
      <c r="I41" s="54">
        <f>ROUND(I40/E40,2)</f>
        <v>0.16</v>
      </c>
      <c r="J41" s="54">
        <f>ROUND(J40/E40,2)</f>
        <v>0.09</v>
      </c>
      <c r="K41" s="54">
        <f>ROUND(K40/E40,2)</f>
        <v>0</v>
      </c>
      <c r="L41" s="54">
        <f>ROUND(L40/E40,2)</f>
        <v>0</v>
      </c>
      <c r="M41" s="54">
        <f>ROUND(M40/E40,2)</f>
        <v>0</v>
      </c>
      <c r="N41" s="54">
        <f>ROUND(N40/E40,2)</f>
        <v>0</v>
      </c>
      <c r="O41" s="54">
        <f>SUM(F41:N41)</f>
        <v>1.01</v>
      </c>
    </row>
    <row r="42" spans="2:15" ht="55.9" customHeight="1" x14ac:dyDescent="0.25">
      <c r="C42" s="151" t="s">
        <v>322</v>
      </c>
      <c r="D42" s="151"/>
      <c r="E42" s="151"/>
      <c r="F42" s="7">
        <v>50</v>
      </c>
      <c r="G42" s="7">
        <v>15</v>
      </c>
      <c r="H42" s="7">
        <v>10</v>
      </c>
      <c r="I42" s="7">
        <v>15</v>
      </c>
      <c r="J42" s="7">
        <v>10</v>
      </c>
      <c r="K42" s="7">
        <v>0</v>
      </c>
      <c r="L42" s="7">
        <v>0</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S2.1</v>
      </c>
      <c r="G46" s="59" t="str">
        <f>C13</f>
        <v>S4.1</v>
      </c>
      <c r="H46" s="59" t="str">
        <f>C14</f>
        <v>S7.1</v>
      </c>
      <c r="I46" s="59" t="str">
        <f>C15</f>
        <v>V1.1</v>
      </c>
      <c r="J46" s="59">
        <f>C16</f>
        <v>0</v>
      </c>
      <c r="K46" s="59">
        <f>C17</f>
        <v>0</v>
      </c>
      <c r="L46" s="59">
        <f>C18</f>
        <v>0</v>
      </c>
      <c r="M46" s="59">
        <f>C19</f>
        <v>0</v>
      </c>
      <c r="N46" s="60" t="s">
        <v>327</v>
      </c>
    </row>
    <row r="47" spans="2:15" ht="55.15" customHeight="1" x14ac:dyDescent="0.25">
      <c r="C47" s="9" t="s">
        <v>328</v>
      </c>
      <c r="D47" s="10">
        <v>25</v>
      </c>
      <c r="E47" s="8">
        <v>20</v>
      </c>
      <c r="F47" s="8"/>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c r="E49" s="11"/>
      <c r="F49" s="12"/>
      <c r="G49" s="12"/>
      <c r="H49" s="12"/>
      <c r="I49" s="12"/>
      <c r="J49" s="12"/>
      <c r="K49" s="12"/>
      <c r="L49" s="12"/>
      <c r="M49" s="12"/>
      <c r="N49" s="55" t="b">
        <f t="shared" si="3"/>
        <v>1</v>
      </c>
    </row>
    <row r="50" spans="3:14" ht="55.15" customHeight="1" x14ac:dyDescent="0.25">
      <c r="C50" s="9" t="s">
        <v>331</v>
      </c>
      <c r="D50" s="10"/>
      <c r="E50" s="11"/>
      <c r="F50" s="12"/>
      <c r="G50" s="12"/>
      <c r="H50" s="12"/>
      <c r="I50" s="12"/>
      <c r="J50" s="12"/>
      <c r="K50" s="12"/>
      <c r="L50" s="12"/>
      <c r="M50" s="12"/>
      <c r="N50" s="55" t="b">
        <f t="shared" si="3"/>
        <v>1</v>
      </c>
    </row>
    <row r="51" spans="3:14" ht="55.15" customHeight="1" x14ac:dyDescent="0.25">
      <c r="C51" s="9" t="s">
        <v>432</v>
      </c>
      <c r="D51" s="10">
        <v>20</v>
      </c>
      <c r="E51" s="11"/>
      <c r="F51" s="12">
        <v>5</v>
      </c>
      <c r="G51" s="12">
        <v>5</v>
      </c>
      <c r="H51" s="12"/>
      <c r="I51" s="12">
        <v>10</v>
      </c>
      <c r="J51" s="12"/>
      <c r="K51" s="12"/>
      <c r="L51" s="12"/>
      <c r="M51" s="12"/>
      <c r="N51" s="55" t="b">
        <f t="shared" si="3"/>
        <v>1</v>
      </c>
    </row>
    <row r="52" spans="3:14" ht="55.15" customHeight="1" x14ac:dyDescent="0.25">
      <c r="C52" s="9" t="s">
        <v>504</v>
      </c>
      <c r="D52" s="10">
        <v>50</v>
      </c>
      <c r="E52" s="11">
        <v>25</v>
      </c>
      <c r="F52" s="12">
        <v>10</v>
      </c>
      <c r="G52" s="12"/>
      <c r="H52" s="12">
        <v>15</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50</v>
      </c>
      <c r="F56" s="65">
        <f t="shared" si="5"/>
        <v>15</v>
      </c>
      <c r="G56" s="65">
        <f t="shared" si="5"/>
        <v>10</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955" priority="11">
      <formula>LEN(TRIM(D47))=0</formula>
    </cfRule>
    <cfRule type="cellIs" dxfId="954" priority="12" operator="equal">
      <formula>0</formula>
    </cfRule>
  </conditionalFormatting>
  <conditionalFormatting sqref="E50">
    <cfRule type="containsBlanks" dxfId="953" priority="21">
      <formula>LEN(TRIM(E50))=0</formula>
    </cfRule>
    <cfRule type="cellIs" dxfId="952" priority="22" operator="equal">
      <formula>0</formula>
    </cfRule>
  </conditionalFormatting>
  <conditionalFormatting sqref="E47:M51 E52">
    <cfRule type="containsBlanks" dxfId="951" priority="17">
      <formula>LEN(TRIM(E47))=0</formula>
    </cfRule>
    <cfRule type="cellIs" dxfId="950" priority="18" operator="equal">
      <formula>0</formula>
    </cfRule>
  </conditionalFormatting>
  <conditionalFormatting sqref="E53:M54">
    <cfRule type="containsBlanks" dxfId="949" priority="15">
      <formula>LEN(TRIM(E53))=0</formula>
    </cfRule>
    <cfRule type="cellIs" dxfId="948" priority="16" operator="equal">
      <formula>0</formula>
    </cfRule>
  </conditionalFormatting>
  <conditionalFormatting sqref="E55:M55">
    <cfRule type="containsText" dxfId="947" priority="5" operator="containsText" text="false">
      <formula>NOT(ISERROR(SEARCH("false",E55)))</formula>
    </cfRule>
    <cfRule type="containsText" dxfId="946" priority="6" operator="containsText" text="true">
      <formula>NOT(ISERROR(SEARCH("true",E55)))</formula>
    </cfRule>
  </conditionalFormatting>
  <conditionalFormatting sqref="E26:N39">
    <cfRule type="containsBlanks" dxfId="945" priority="3">
      <formula>LEN(TRIM(E26))=0</formula>
    </cfRule>
    <cfRule type="cellIs" dxfId="944" priority="4" operator="equal">
      <formula>0</formula>
    </cfRule>
  </conditionalFormatting>
  <conditionalFormatting sqref="F48:M48">
    <cfRule type="containsBlanks" dxfId="943" priority="23">
      <formula>LEN(TRIM(F48))=0</formula>
    </cfRule>
    <cfRule type="cellIs" dxfId="942" priority="24" operator="equal">
      <formula>0</formula>
    </cfRule>
  </conditionalFormatting>
  <conditionalFormatting sqref="F50:M52">
    <cfRule type="containsBlanks" dxfId="941" priority="19">
      <formula>LEN(TRIM(F50))=0</formula>
    </cfRule>
    <cfRule type="cellIs" dxfId="940" priority="20" operator="equal">
      <formula>0</formula>
    </cfRule>
  </conditionalFormatting>
  <conditionalFormatting sqref="N47:N54">
    <cfRule type="containsText" dxfId="939" priority="7" operator="containsText" text="false">
      <formula>NOT(ISERROR(SEARCH("false",N47)))</formula>
    </cfRule>
    <cfRule type="containsText" dxfId="938" priority="8" operator="containsText" text="true">
      <formula>NOT(ISERROR(SEARCH("true",N47)))</formula>
    </cfRule>
  </conditionalFormatting>
  <conditionalFormatting sqref="N55">
    <cfRule type="containsBlanks" dxfId="937" priority="13">
      <formula>LEN(TRIM(N55))=0</formula>
    </cfRule>
    <cfRule type="cellIs" dxfId="936" priority="14" operator="equal">
      <formula>0</formula>
    </cfRule>
  </conditionalFormatting>
  <conditionalFormatting sqref="O26:O40">
    <cfRule type="containsText" dxfId="935" priority="9" operator="containsText" text="false">
      <formula>NOT(ISERROR(SEARCH("false",O26)))</formula>
    </cfRule>
    <cfRule type="containsText" dxfId="934" priority="10" operator="containsText" text="true">
      <formula>NOT(ISERROR(SEARCH("true",O26)))</formula>
    </cfRule>
  </conditionalFormatting>
  <conditionalFormatting sqref="O42">
    <cfRule type="cellIs" dxfId="933" priority="1" operator="notEqual">
      <formula>100</formula>
    </cfRule>
    <cfRule type="cellIs" dxfId="932" priority="2" operator="equal">
      <formula>100</formula>
    </cfRule>
  </conditionalFormatting>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sheetPr>
  <dimension ref="B2:AB57"/>
  <sheetViews>
    <sheetView topLeftCell="A7" zoomScale="50" zoomScaleNormal="50" workbookViewId="0">
      <selection activeCell="J18" sqref="J18"/>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196</v>
      </c>
      <c r="J6" s="43" t="s">
        <v>278</v>
      </c>
      <c r="K6" s="1" t="s">
        <v>86</v>
      </c>
    </row>
    <row r="7" spans="2:26" ht="72.599999999999994" customHeight="1" thickBot="1" x14ac:dyDescent="0.3">
      <c r="B7" s="160"/>
      <c r="C7" s="161"/>
      <c r="D7" s="43" t="s">
        <v>279</v>
      </c>
      <c r="E7" s="1">
        <v>3</v>
      </c>
      <c r="F7" s="43" t="s">
        <v>280</v>
      </c>
      <c r="G7" s="1">
        <v>6</v>
      </c>
      <c r="H7" s="43" t="s">
        <v>281</v>
      </c>
      <c r="I7" s="1" t="s">
        <v>1590</v>
      </c>
      <c r="J7" s="43" t="s">
        <v>283</v>
      </c>
      <c r="K7" s="1" t="s">
        <v>832</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129" t="s">
        <v>297</v>
      </c>
      <c r="D11" s="130" t="s">
        <v>833</v>
      </c>
      <c r="E11" s="129" t="s">
        <v>7</v>
      </c>
      <c r="F11" s="131"/>
      <c r="G11" s="132"/>
      <c r="H11" s="132">
        <v>0.6</v>
      </c>
      <c r="I11" s="132">
        <v>1</v>
      </c>
      <c r="J11" s="133" t="s">
        <v>788</v>
      </c>
      <c r="K11" s="133" t="s">
        <v>611</v>
      </c>
      <c r="U11" s="3">
        <f>F11</f>
        <v>0</v>
      </c>
      <c r="V11" s="2" t="str">
        <f t="shared" ref="V11:V19" si="0">C11</f>
        <v>K1.1</v>
      </c>
      <c r="W11" s="2"/>
      <c r="X11" s="17"/>
      <c r="Y11" s="37"/>
      <c r="Z11" s="37"/>
    </row>
    <row r="12" spans="2:26" ht="172.5" customHeight="1" x14ac:dyDescent="0.25">
      <c r="B12" s="36"/>
      <c r="C12" s="134" t="s">
        <v>298</v>
      </c>
      <c r="D12" s="135" t="s">
        <v>834</v>
      </c>
      <c r="E12" s="134" t="s">
        <v>7</v>
      </c>
      <c r="F12" s="136"/>
      <c r="G12" s="137"/>
      <c r="H12" s="132">
        <v>0.6</v>
      </c>
      <c r="I12" s="132">
        <v>1</v>
      </c>
      <c r="J12" s="133" t="s">
        <v>790</v>
      </c>
      <c r="K12" s="133" t="s">
        <v>611</v>
      </c>
      <c r="U12" s="6">
        <f>F12</f>
        <v>0</v>
      </c>
      <c r="V12" s="2" t="str">
        <f t="shared" si="0"/>
        <v>K1.2</v>
      </c>
      <c r="W12" s="5"/>
      <c r="X12" s="4"/>
      <c r="Y12" s="38"/>
      <c r="Z12" s="38"/>
    </row>
    <row r="13" spans="2:26" ht="69" customHeight="1" x14ac:dyDescent="0.25">
      <c r="B13" s="36"/>
      <c r="C13" s="134" t="s">
        <v>644</v>
      </c>
      <c r="D13" s="135" t="s">
        <v>1724</v>
      </c>
      <c r="E13" s="134" t="s">
        <v>18</v>
      </c>
      <c r="F13" s="136"/>
      <c r="G13" s="137"/>
      <c r="H13" s="132">
        <v>0.6</v>
      </c>
      <c r="I13" s="132">
        <v>1</v>
      </c>
      <c r="J13" s="138" t="s">
        <v>1753</v>
      </c>
      <c r="K13" s="138" t="s">
        <v>1586</v>
      </c>
      <c r="U13" s="6">
        <f>F13</f>
        <v>0</v>
      </c>
      <c r="V13" s="2" t="str">
        <f t="shared" si="0"/>
        <v>S1.1</v>
      </c>
      <c r="W13" s="5"/>
      <c r="X13" s="4"/>
      <c r="Y13" s="38"/>
      <c r="Z13" s="38"/>
    </row>
    <row r="14" spans="2:26" ht="58.9" customHeight="1" x14ac:dyDescent="0.25">
      <c r="B14" s="36"/>
      <c r="C14" s="134" t="s">
        <v>752</v>
      </c>
      <c r="D14" s="135" t="s">
        <v>1752</v>
      </c>
      <c r="E14" s="134" t="s">
        <v>35</v>
      </c>
      <c r="F14" s="136"/>
      <c r="G14" s="137"/>
      <c r="H14" s="132">
        <v>0.6</v>
      </c>
      <c r="I14" s="132">
        <v>1</v>
      </c>
      <c r="J14" s="138" t="s">
        <v>1587</v>
      </c>
      <c r="K14" s="138" t="s">
        <v>835</v>
      </c>
      <c r="U14" s="6">
        <f>F14</f>
        <v>0</v>
      </c>
      <c r="V14" s="2" t="str">
        <f t="shared" si="0"/>
        <v>S4.1</v>
      </c>
      <c r="W14" s="5"/>
      <c r="X14" s="4"/>
      <c r="Y14" s="38"/>
      <c r="Z14" s="38"/>
    </row>
    <row r="15" spans="2:26" ht="58.9" customHeight="1" x14ac:dyDescent="0.25">
      <c r="B15" s="36"/>
      <c r="C15" s="134" t="s">
        <v>586</v>
      </c>
      <c r="D15" s="135" t="s">
        <v>836</v>
      </c>
      <c r="E15" s="134" t="s">
        <v>27</v>
      </c>
      <c r="F15" s="136"/>
      <c r="G15" s="137"/>
      <c r="H15" s="132">
        <v>0.6</v>
      </c>
      <c r="I15" s="132">
        <v>1</v>
      </c>
      <c r="J15" s="138" t="s">
        <v>1588</v>
      </c>
      <c r="K15" s="138" t="s">
        <v>818</v>
      </c>
      <c r="U15" s="6">
        <f>F15</f>
        <v>0</v>
      </c>
      <c r="V15" s="2" t="str">
        <f t="shared" si="0"/>
        <v>S5.1</v>
      </c>
      <c r="W15" s="5"/>
      <c r="X15" s="4"/>
      <c r="Y15" s="38"/>
      <c r="Z15" s="38"/>
    </row>
    <row r="16" spans="2:26" ht="58.9" customHeight="1" x14ac:dyDescent="0.25">
      <c r="B16" s="36"/>
      <c r="C16" s="134" t="s">
        <v>300</v>
      </c>
      <c r="D16" s="135" t="s">
        <v>837</v>
      </c>
      <c r="E16" s="134" t="s">
        <v>44</v>
      </c>
      <c r="F16" s="136"/>
      <c r="G16" s="137"/>
      <c r="H16" s="137">
        <v>0.6</v>
      </c>
      <c r="I16" s="137">
        <v>1</v>
      </c>
      <c r="J16" s="138" t="s">
        <v>838</v>
      </c>
      <c r="K16" s="138" t="s">
        <v>1589</v>
      </c>
      <c r="U16" s="6"/>
      <c r="V16" s="2" t="str">
        <f t="shared" si="0"/>
        <v>V1.1</v>
      </c>
      <c r="W16" s="5"/>
      <c r="X16" s="4"/>
      <c r="Y16" s="38"/>
      <c r="Z16" s="38"/>
    </row>
    <row r="17" spans="2:26" ht="58.9" customHeight="1" x14ac:dyDescent="0.25">
      <c r="B17" s="36"/>
      <c r="C17" s="134" t="s">
        <v>567</v>
      </c>
      <c r="D17" s="135" t="s">
        <v>839</v>
      </c>
      <c r="E17" s="134" t="s">
        <v>48</v>
      </c>
      <c r="F17" s="136"/>
      <c r="G17" s="137"/>
      <c r="H17" s="137">
        <v>0.6</v>
      </c>
      <c r="I17" s="137">
        <v>1</v>
      </c>
      <c r="J17" s="138" t="s">
        <v>840</v>
      </c>
      <c r="K17" s="140" t="s">
        <v>1664</v>
      </c>
      <c r="U17" s="6">
        <f>F17</f>
        <v>0</v>
      </c>
      <c r="V17" s="2" t="str">
        <f t="shared" si="0"/>
        <v>V2.1</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S4.1</v>
      </c>
      <c r="J25" s="49" t="str">
        <f>C15</f>
        <v>S5.1</v>
      </c>
      <c r="K25" s="49" t="str">
        <f>C16</f>
        <v>V1.1</v>
      </c>
      <c r="L25" s="49" t="str">
        <f>C17</f>
        <v>V2.1</v>
      </c>
      <c r="M25" s="49">
        <f>C18</f>
        <v>0</v>
      </c>
      <c r="N25" s="49">
        <f>C19</f>
        <v>0</v>
      </c>
      <c r="O25" s="50" t="s">
        <v>305</v>
      </c>
    </row>
    <row r="26" spans="2:26" ht="30.4" customHeight="1" thickBot="1" x14ac:dyDescent="0.3">
      <c r="C26" s="51" t="s">
        <v>306</v>
      </c>
      <c r="D26" s="83" t="s">
        <v>841</v>
      </c>
      <c r="E26" s="8">
        <v>3</v>
      </c>
      <c r="F26" s="8">
        <v>1</v>
      </c>
      <c r="G26" s="8">
        <v>2</v>
      </c>
      <c r="H26" s="8"/>
      <c r="I26" s="8"/>
      <c r="J26" s="8"/>
      <c r="K26" s="8"/>
      <c r="L26" s="8"/>
      <c r="M26" s="8"/>
      <c r="N26" s="8"/>
      <c r="O26" s="53" t="b">
        <f t="shared" ref="O26:O40" si="1">IF(SUM(F26:N26)=E26,TRUE,"false")</f>
        <v>1</v>
      </c>
    </row>
    <row r="27" spans="2:26" ht="30.4" customHeight="1" thickBot="1" x14ac:dyDescent="0.3">
      <c r="C27" s="51" t="s">
        <v>307</v>
      </c>
      <c r="D27" s="83" t="s">
        <v>842</v>
      </c>
      <c r="E27" s="8">
        <v>3</v>
      </c>
      <c r="F27" s="8">
        <v>1</v>
      </c>
      <c r="G27" s="8"/>
      <c r="H27" s="8"/>
      <c r="I27" s="8">
        <v>1</v>
      </c>
      <c r="J27" s="8"/>
      <c r="K27" s="8">
        <v>1</v>
      </c>
      <c r="L27" s="8"/>
      <c r="M27" s="8"/>
      <c r="N27" s="8"/>
      <c r="O27" s="53" t="b">
        <f t="shared" si="1"/>
        <v>1</v>
      </c>
    </row>
    <row r="28" spans="2:26" ht="30.4" customHeight="1" thickBot="1" x14ac:dyDescent="0.3">
      <c r="C28" s="51" t="s">
        <v>308</v>
      </c>
      <c r="D28" s="83" t="s">
        <v>843</v>
      </c>
      <c r="E28" s="8">
        <v>3</v>
      </c>
      <c r="F28" s="8">
        <v>1</v>
      </c>
      <c r="G28" s="8">
        <v>1</v>
      </c>
      <c r="H28" s="8">
        <v>1</v>
      </c>
      <c r="I28" s="8"/>
      <c r="J28" s="8"/>
      <c r="K28" s="8"/>
      <c r="L28" s="8"/>
      <c r="M28" s="8"/>
      <c r="N28" s="8"/>
      <c r="O28" s="53" t="b">
        <f t="shared" si="1"/>
        <v>1</v>
      </c>
    </row>
    <row r="29" spans="2:26" ht="30.4" customHeight="1" thickBot="1" x14ac:dyDescent="0.3">
      <c r="C29" s="51" t="s">
        <v>309</v>
      </c>
      <c r="D29" s="83" t="s">
        <v>844</v>
      </c>
      <c r="E29" s="8">
        <v>3</v>
      </c>
      <c r="F29" s="8">
        <v>1</v>
      </c>
      <c r="G29" s="8">
        <v>1</v>
      </c>
      <c r="H29" s="8"/>
      <c r="I29" s="8">
        <v>1</v>
      </c>
      <c r="J29" s="8"/>
      <c r="K29" s="8"/>
      <c r="L29" s="8"/>
      <c r="M29" s="8"/>
      <c r="N29" s="8"/>
      <c r="O29" s="53" t="b">
        <f t="shared" si="1"/>
        <v>1</v>
      </c>
    </row>
    <row r="30" spans="2:26" ht="30.4" customHeight="1" thickBot="1" x14ac:dyDescent="0.3">
      <c r="C30" s="51" t="s">
        <v>310</v>
      </c>
      <c r="D30" s="83" t="s">
        <v>845</v>
      </c>
      <c r="E30" s="8">
        <v>3</v>
      </c>
      <c r="F30" s="8">
        <v>1</v>
      </c>
      <c r="G30" s="8">
        <v>1</v>
      </c>
      <c r="H30" s="8">
        <v>1</v>
      </c>
      <c r="I30" s="8"/>
      <c r="J30" s="8"/>
      <c r="K30" s="8"/>
      <c r="L30" s="8"/>
      <c r="M30" s="8"/>
      <c r="N30" s="8"/>
      <c r="O30" s="53" t="b">
        <f t="shared" si="1"/>
        <v>1</v>
      </c>
    </row>
    <row r="31" spans="2:26" ht="30.4" customHeight="1" thickBot="1" x14ac:dyDescent="0.3">
      <c r="C31" s="51" t="s">
        <v>311</v>
      </c>
      <c r="D31" s="83" t="s">
        <v>846</v>
      </c>
      <c r="E31" s="8">
        <v>3</v>
      </c>
      <c r="F31" s="8"/>
      <c r="G31" s="8">
        <v>1</v>
      </c>
      <c r="H31" s="8">
        <v>2</v>
      </c>
      <c r="I31" s="8"/>
      <c r="J31" s="8"/>
      <c r="K31" s="8"/>
      <c r="L31" s="8"/>
      <c r="M31" s="8"/>
      <c r="N31" s="8"/>
      <c r="O31" s="53" t="b">
        <f t="shared" si="1"/>
        <v>1</v>
      </c>
    </row>
    <row r="32" spans="2:26" ht="30.4" customHeight="1" thickBot="1" x14ac:dyDescent="0.3">
      <c r="C32" s="51" t="s">
        <v>312</v>
      </c>
      <c r="D32" s="83" t="s">
        <v>847</v>
      </c>
      <c r="E32" s="8">
        <v>3</v>
      </c>
      <c r="F32" s="8"/>
      <c r="G32" s="8">
        <v>1</v>
      </c>
      <c r="H32" s="8">
        <v>1</v>
      </c>
      <c r="I32" s="8"/>
      <c r="J32" s="8"/>
      <c r="K32" s="8"/>
      <c r="L32" s="8">
        <v>1</v>
      </c>
      <c r="M32" s="8"/>
      <c r="N32" s="8"/>
      <c r="O32" s="53" t="b">
        <f t="shared" si="1"/>
        <v>1</v>
      </c>
    </row>
    <row r="33" spans="2:15" ht="30.4" customHeight="1" thickBot="1" x14ac:dyDescent="0.3">
      <c r="C33" s="51" t="s">
        <v>313</v>
      </c>
      <c r="D33" s="83" t="s">
        <v>848</v>
      </c>
      <c r="E33" s="8">
        <v>3</v>
      </c>
      <c r="F33" s="8">
        <v>1</v>
      </c>
      <c r="G33" s="8"/>
      <c r="H33" s="8">
        <v>1</v>
      </c>
      <c r="I33" s="8">
        <v>1</v>
      </c>
      <c r="J33" s="8"/>
      <c r="K33" s="8"/>
      <c r="L33" s="8"/>
      <c r="M33" s="8"/>
      <c r="N33" s="8"/>
      <c r="O33" s="53" t="b">
        <f t="shared" si="1"/>
        <v>1</v>
      </c>
    </row>
    <row r="34" spans="2:15" ht="30.4" customHeight="1" thickBot="1" x14ac:dyDescent="0.3">
      <c r="C34" s="51" t="s">
        <v>314</v>
      </c>
      <c r="D34" s="83" t="s">
        <v>849</v>
      </c>
      <c r="E34" s="8">
        <v>3</v>
      </c>
      <c r="F34" s="8">
        <v>1</v>
      </c>
      <c r="G34" s="8">
        <v>1</v>
      </c>
      <c r="H34" s="8"/>
      <c r="I34" s="8"/>
      <c r="J34" s="8"/>
      <c r="K34" s="8"/>
      <c r="L34" s="8">
        <v>1</v>
      </c>
      <c r="M34" s="8"/>
      <c r="N34" s="8"/>
      <c r="O34" s="53" t="b">
        <f t="shared" si="1"/>
        <v>1</v>
      </c>
    </row>
    <row r="35" spans="2:15" ht="30.4" customHeight="1" thickBot="1" x14ac:dyDescent="0.3">
      <c r="C35" s="51" t="s">
        <v>315</v>
      </c>
      <c r="D35" s="83" t="s">
        <v>850</v>
      </c>
      <c r="E35" s="8">
        <v>3</v>
      </c>
      <c r="F35" s="8"/>
      <c r="G35" s="8">
        <v>1</v>
      </c>
      <c r="H35" s="8">
        <v>1</v>
      </c>
      <c r="I35" s="8"/>
      <c r="J35" s="8">
        <v>1</v>
      </c>
      <c r="K35" s="8"/>
      <c r="L35" s="8"/>
      <c r="M35" s="8"/>
      <c r="N35" s="8"/>
      <c r="O35" s="53" t="b">
        <f t="shared" si="1"/>
        <v>1</v>
      </c>
    </row>
    <row r="36" spans="2:15" ht="30.4" customHeight="1" thickBot="1" x14ac:dyDescent="0.3">
      <c r="C36" s="51" t="s">
        <v>316</v>
      </c>
      <c r="D36" s="83" t="s">
        <v>851</v>
      </c>
      <c r="E36" s="8">
        <v>3</v>
      </c>
      <c r="F36" s="8">
        <v>1</v>
      </c>
      <c r="G36" s="8">
        <v>1</v>
      </c>
      <c r="H36" s="8">
        <v>1</v>
      </c>
      <c r="I36" s="8"/>
      <c r="J36" s="8"/>
      <c r="K36" s="8"/>
      <c r="L36" s="8"/>
      <c r="M36" s="8"/>
      <c r="N36" s="8"/>
      <c r="O36" s="53" t="b">
        <f t="shared" si="1"/>
        <v>1</v>
      </c>
    </row>
    <row r="37" spans="2:15" ht="30.4" customHeight="1" thickBot="1" x14ac:dyDescent="0.3">
      <c r="C37" s="51" t="s">
        <v>317</v>
      </c>
      <c r="D37" s="83" t="s">
        <v>852</v>
      </c>
      <c r="E37" s="8">
        <v>6</v>
      </c>
      <c r="F37" s="8">
        <v>1</v>
      </c>
      <c r="G37" s="8"/>
      <c r="H37" s="8">
        <v>2</v>
      </c>
      <c r="I37" s="8"/>
      <c r="J37" s="8">
        <v>1</v>
      </c>
      <c r="K37" s="8">
        <v>1</v>
      </c>
      <c r="L37" s="8">
        <v>1</v>
      </c>
      <c r="M37" s="8"/>
      <c r="N37" s="8"/>
      <c r="O37" s="53" t="b">
        <f t="shared" si="1"/>
        <v>1</v>
      </c>
    </row>
    <row r="38" spans="2:15" ht="30.4" customHeight="1" thickBot="1" x14ac:dyDescent="0.3">
      <c r="C38" s="51" t="s">
        <v>318</v>
      </c>
      <c r="D38" s="83" t="s">
        <v>853</v>
      </c>
      <c r="E38" s="8">
        <v>3</v>
      </c>
      <c r="F38" s="8">
        <v>1</v>
      </c>
      <c r="G38" s="8">
        <v>1</v>
      </c>
      <c r="H38" s="8">
        <v>1</v>
      </c>
      <c r="I38" s="8"/>
      <c r="J38" s="8"/>
      <c r="K38" s="8"/>
      <c r="L38" s="8"/>
      <c r="M38" s="8"/>
      <c r="N38" s="8"/>
      <c r="O38" s="53" t="b">
        <f t="shared" si="1"/>
        <v>1</v>
      </c>
    </row>
    <row r="39" spans="2:15" ht="30.4" customHeight="1" x14ac:dyDescent="0.25">
      <c r="C39" s="51" t="s">
        <v>319</v>
      </c>
      <c r="D39" s="26" t="s">
        <v>854</v>
      </c>
      <c r="E39" s="8">
        <v>3</v>
      </c>
      <c r="F39" s="8">
        <v>1</v>
      </c>
      <c r="G39" s="8"/>
      <c r="H39" s="8"/>
      <c r="I39" s="8">
        <v>1</v>
      </c>
      <c r="J39" s="8"/>
      <c r="K39" s="8">
        <v>1</v>
      </c>
      <c r="L39" s="8"/>
      <c r="M39" s="8"/>
      <c r="N39" s="8"/>
      <c r="O39" s="53" t="b">
        <f t="shared" si="1"/>
        <v>1</v>
      </c>
    </row>
    <row r="40" spans="2:15" s="20" customFormat="1" ht="78" customHeight="1" x14ac:dyDescent="0.25">
      <c r="C40" s="170" t="s">
        <v>320</v>
      </c>
      <c r="D40" s="170"/>
      <c r="E40" s="52">
        <f t="shared" ref="E40:N40" si="2">SUM(E26:E39)</f>
        <v>45</v>
      </c>
      <c r="F40" s="52">
        <f t="shared" si="2"/>
        <v>11</v>
      </c>
      <c r="G40" s="52">
        <f t="shared" si="2"/>
        <v>11</v>
      </c>
      <c r="H40" s="52">
        <f t="shared" si="2"/>
        <v>11</v>
      </c>
      <c r="I40" s="52">
        <f t="shared" si="2"/>
        <v>4</v>
      </c>
      <c r="J40" s="52">
        <f t="shared" si="2"/>
        <v>2</v>
      </c>
      <c r="K40" s="52">
        <f t="shared" si="2"/>
        <v>3</v>
      </c>
      <c r="L40" s="52">
        <f t="shared" si="2"/>
        <v>3</v>
      </c>
      <c r="M40" s="52">
        <f t="shared" si="2"/>
        <v>0</v>
      </c>
      <c r="N40" s="52">
        <f t="shared" si="2"/>
        <v>0</v>
      </c>
      <c r="O40" s="53" t="b">
        <f t="shared" si="1"/>
        <v>1</v>
      </c>
    </row>
    <row r="41" spans="2:15" s="20" customFormat="1" ht="71.650000000000006" customHeight="1" x14ac:dyDescent="0.25">
      <c r="C41" s="150" t="s">
        <v>321</v>
      </c>
      <c r="D41" s="150"/>
      <c r="E41" s="150"/>
      <c r="F41" s="54">
        <f>ROUND(F40/E40,2)</f>
        <v>0.24</v>
      </c>
      <c r="G41" s="54">
        <f>ROUND(G40/E40,2)</f>
        <v>0.24</v>
      </c>
      <c r="H41" s="54">
        <f>ROUND(H40/E40,2)</f>
        <v>0.24</v>
      </c>
      <c r="I41" s="54">
        <f>ROUND(I40/E40,2)</f>
        <v>0.09</v>
      </c>
      <c r="J41" s="54">
        <f>ROUND(J40/E40,2)</f>
        <v>0.04</v>
      </c>
      <c r="K41" s="54">
        <f>ROUND(K40/E40,2)</f>
        <v>7.0000000000000007E-2</v>
      </c>
      <c r="L41" s="54">
        <f>ROUND(L40/E40,2)</f>
        <v>7.0000000000000007E-2</v>
      </c>
      <c r="M41" s="54">
        <f>ROUND(M40/E40,2)</f>
        <v>0</v>
      </c>
      <c r="N41" s="54">
        <f>ROUND(N40/E40,2)</f>
        <v>0</v>
      </c>
      <c r="O41" s="54">
        <f>SUM(F41:N41)</f>
        <v>0.99</v>
      </c>
    </row>
    <row r="42" spans="2:15" ht="55.9" customHeight="1" x14ac:dyDescent="0.25">
      <c r="C42" s="151" t="s">
        <v>322</v>
      </c>
      <c r="D42" s="151"/>
      <c r="E42" s="151"/>
      <c r="F42" s="7">
        <v>25</v>
      </c>
      <c r="G42" s="7">
        <v>25</v>
      </c>
      <c r="H42" s="7">
        <v>25</v>
      </c>
      <c r="I42" s="7">
        <v>10</v>
      </c>
      <c r="J42" s="7">
        <v>5</v>
      </c>
      <c r="K42" s="7">
        <v>5</v>
      </c>
      <c r="L42" s="7">
        <v>5</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S4.1</v>
      </c>
      <c r="I46" s="59" t="str">
        <f>C15</f>
        <v>S5.1</v>
      </c>
      <c r="J46" s="59" t="str">
        <f>C16</f>
        <v>V1.1</v>
      </c>
      <c r="K46" s="59" t="str">
        <f>C17</f>
        <v>V2.1</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c r="E48" s="11"/>
      <c r="F48" s="12"/>
      <c r="G48" s="12"/>
      <c r="H48" s="12"/>
      <c r="I48" s="12"/>
      <c r="J48" s="12"/>
      <c r="K48" s="12"/>
      <c r="L48" s="12"/>
      <c r="M48" s="12"/>
      <c r="N48" s="55" t="b">
        <f t="shared" si="3"/>
        <v>1</v>
      </c>
    </row>
    <row r="49" spans="3:14" ht="55.15" customHeight="1" x14ac:dyDescent="0.25">
      <c r="C49" s="9" t="s">
        <v>607</v>
      </c>
      <c r="D49" s="10">
        <v>5</v>
      </c>
      <c r="E49" s="11"/>
      <c r="F49" s="12"/>
      <c r="G49" s="12"/>
      <c r="H49" s="12"/>
      <c r="I49" s="12"/>
      <c r="J49" s="12"/>
      <c r="K49" s="12">
        <v>5</v>
      </c>
      <c r="L49" s="12"/>
      <c r="M49" s="12"/>
      <c r="N49" s="55" t="b">
        <f t="shared" si="3"/>
        <v>1</v>
      </c>
    </row>
    <row r="50" spans="3:14" ht="55.15" customHeight="1" x14ac:dyDescent="0.25">
      <c r="C50" s="9" t="s">
        <v>809</v>
      </c>
      <c r="D50" s="10"/>
      <c r="E50" s="11"/>
      <c r="F50" s="12"/>
      <c r="G50" s="12"/>
      <c r="H50" s="12"/>
      <c r="I50" s="12"/>
      <c r="J50" s="12"/>
      <c r="K50" s="12"/>
      <c r="L50" s="12"/>
      <c r="M50" s="12"/>
      <c r="N50" s="55" t="b">
        <f t="shared" si="3"/>
        <v>1</v>
      </c>
    </row>
    <row r="51" spans="3:14" ht="55.15" customHeight="1" x14ac:dyDescent="0.25">
      <c r="C51" s="9" t="s">
        <v>855</v>
      </c>
      <c r="D51" s="10">
        <v>20</v>
      </c>
      <c r="E51" s="11"/>
      <c r="F51" s="12"/>
      <c r="G51" s="12"/>
      <c r="H51" s="12">
        <v>10</v>
      </c>
      <c r="I51" s="12">
        <v>5</v>
      </c>
      <c r="J51" s="12">
        <v>5</v>
      </c>
      <c r="K51" s="12"/>
      <c r="L51" s="12"/>
      <c r="M51" s="12"/>
      <c r="N51" s="55" t="b">
        <f t="shared" si="3"/>
        <v>1</v>
      </c>
    </row>
    <row r="52" spans="3:14" ht="55.15" customHeight="1" x14ac:dyDescent="0.25">
      <c r="C52" s="9" t="s">
        <v>504</v>
      </c>
      <c r="D52" s="10">
        <v>50</v>
      </c>
      <c r="E52" s="11">
        <v>15</v>
      </c>
      <c r="F52" s="12">
        <v>15</v>
      </c>
      <c r="G52" s="12">
        <v>20</v>
      </c>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25</v>
      </c>
      <c r="G56" s="65">
        <f t="shared" si="5"/>
        <v>25</v>
      </c>
      <c r="H56" s="65">
        <f t="shared" si="5"/>
        <v>10</v>
      </c>
      <c r="I56" s="65">
        <f t="shared" si="5"/>
        <v>5</v>
      </c>
      <c r="J56" s="65">
        <f t="shared" si="5"/>
        <v>5</v>
      </c>
      <c r="K56" s="65">
        <f t="shared" si="5"/>
        <v>5</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931" priority="11">
      <formula>LEN(TRIM(D47))=0</formula>
    </cfRule>
    <cfRule type="cellIs" dxfId="930" priority="12" operator="equal">
      <formula>0</formula>
    </cfRule>
  </conditionalFormatting>
  <conditionalFormatting sqref="E50">
    <cfRule type="containsBlanks" dxfId="929" priority="21">
      <formula>LEN(TRIM(E50))=0</formula>
    </cfRule>
    <cfRule type="cellIs" dxfId="928" priority="22" operator="equal">
      <formula>0</formula>
    </cfRule>
  </conditionalFormatting>
  <conditionalFormatting sqref="E47:M51 E52">
    <cfRule type="containsBlanks" dxfId="927" priority="17">
      <formula>LEN(TRIM(E47))=0</formula>
    </cfRule>
    <cfRule type="cellIs" dxfId="926" priority="18" operator="equal">
      <formula>0</formula>
    </cfRule>
  </conditionalFormatting>
  <conditionalFormatting sqref="E53:M54">
    <cfRule type="containsBlanks" dxfId="925" priority="15">
      <formula>LEN(TRIM(E53))=0</formula>
    </cfRule>
    <cfRule type="cellIs" dxfId="924" priority="16" operator="equal">
      <formula>0</formula>
    </cfRule>
  </conditionalFormatting>
  <conditionalFormatting sqref="E55:M55">
    <cfRule type="containsText" dxfId="923" priority="5" operator="containsText" text="false">
      <formula>NOT(ISERROR(SEARCH("false",E55)))</formula>
    </cfRule>
    <cfRule type="containsText" dxfId="922" priority="6" operator="containsText" text="true">
      <formula>NOT(ISERROR(SEARCH("true",E55)))</formula>
    </cfRule>
  </conditionalFormatting>
  <conditionalFormatting sqref="E26:N39">
    <cfRule type="containsBlanks" dxfId="921" priority="3">
      <formula>LEN(TRIM(E26))=0</formula>
    </cfRule>
    <cfRule type="cellIs" dxfId="920" priority="4" operator="equal">
      <formula>0</formula>
    </cfRule>
  </conditionalFormatting>
  <conditionalFormatting sqref="F48:M48">
    <cfRule type="containsBlanks" dxfId="919" priority="23">
      <formula>LEN(TRIM(F48))=0</formula>
    </cfRule>
    <cfRule type="cellIs" dxfId="918" priority="24" operator="equal">
      <formula>0</formula>
    </cfRule>
  </conditionalFormatting>
  <conditionalFormatting sqref="F50:M52">
    <cfRule type="containsBlanks" dxfId="917" priority="19">
      <formula>LEN(TRIM(F50))=0</formula>
    </cfRule>
    <cfRule type="cellIs" dxfId="916" priority="20" operator="equal">
      <formula>0</formula>
    </cfRule>
  </conditionalFormatting>
  <conditionalFormatting sqref="N47:N54">
    <cfRule type="containsText" dxfId="915" priority="7" operator="containsText" text="false">
      <formula>NOT(ISERROR(SEARCH("false",N47)))</formula>
    </cfRule>
    <cfRule type="containsText" dxfId="914" priority="8" operator="containsText" text="true">
      <formula>NOT(ISERROR(SEARCH("true",N47)))</formula>
    </cfRule>
  </conditionalFormatting>
  <conditionalFormatting sqref="N55">
    <cfRule type="containsBlanks" dxfId="913" priority="13">
      <formula>LEN(TRIM(N55))=0</formula>
    </cfRule>
    <cfRule type="cellIs" dxfId="912" priority="14" operator="equal">
      <formula>0</formula>
    </cfRule>
  </conditionalFormatting>
  <conditionalFormatting sqref="O26:O40">
    <cfRule type="containsText" dxfId="911" priority="9" operator="containsText" text="false">
      <formula>NOT(ISERROR(SEARCH("false",O26)))</formula>
    </cfRule>
    <cfRule type="containsText" dxfId="910" priority="10" operator="containsText" text="true">
      <formula>NOT(ISERROR(SEARCH("true",O26)))</formula>
    </cfRule>
  </conditionalFormatting>
  <conditionalFormatting sqref="O42">
    <cfRule type="cellIs" dxfId="909" priority="1" operator="notEqual">
      <formula>100</formula>
    </cfRule>
    <cfRule type="cellIs" dxfId="908" priority="2" operator="equal">
      <formula>100</formula>
    </cfRule>
  </conditionalFormatting>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2:AB57"/>
  <sheetViews>
    <sheetView topLeftCell="A4" zoomScale="50" zoomScaleNormal="50" workbookViewId="0">
      <selection activeCell="K18" sqref="K1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198</v>
      </c>
      <c r="J6" s="43" t="s">
        <v>278</v>
      </c>
      <c r="K6" s="1" t="s">
        <v>197</v>
      </c>
    </row>
    <row r="7" spans="2:26" ht="72.599999999999994" customHeight="1" thickBot="1" x14ac:dyDescent="0.3">
      <c r="B7" s="160"/>
      <c r="C7" s="161"/>
      <c r="D7" s="43" t="s">
        <v>279</v>
      </c>
      <c r="E7" s="1">
        <v>3</v>
      </c>
      <c r="F7" s="43" t="s">
        <v>280</v>
      </c>
      <c r="G7" s="1">
        <v>6</v>
      </c>
      <c r="H7" s="43" t="s">
        <v>281</v>
      </c>
      <c r="I7" s="1">
        <v>2</v>
      </c>
      <c r="J7" s="43" t="s">
        <v>283</v>
      </c>
      <c r="K7" s="1" t="s">
        <v>365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27.5" customHeight="1" x14ac:dyDescent="0.25">
      <c r="B11" s="36"/>
      <c r="C11" s="5" t="s">
        <v>297</v>
      </c>
      <c r="D11" s="81" t="s">
        <v>748</v>
      </c>
      <c r="E11" s="2" t="s">
        <v>7</v>
      </c>
      <c r="F11" s="3"/>
      <c r="G11" s="17"/>
      <c r="H11" s="17">
        <v>0.6</v>
      </c>
      <c r="I11" s="17">
        <v>1</v>
      </c>
      <c r="J11" s="80" t="s">
        <v>856</v>
      </c>
      <c r="K11" s="80" t="s">
        <v>611</v>
      </c>
      <c r="U11" s="3">
        <f>F11</f>
        <v>0</v>
      </c>
      <c r="V11" s="2" t="str">
        <f>C11</f>
        <v>K1.1</v>
      </c>
      <c r="W11" s="2"/>
      <c r="X11" s="17"/>
      <c r="Y11" s="37"/>
      <c r="Z11" s="37"/>
    </row>
    <row r="12" spans="2:26" ht="58.9" customHeight="1" x14ac:dyDescent="0.25">
      <c r="B12" s="36"/>
      <c r="C12" s="5" t="s">
        <v>298</v>
      </c>
      <c r="D12" s="81" t="s">
        <v>857</v>
      </c>
      <c r="E12" s="5" t="s">
        <v>7</v>
      </c>
      <c r="F12" s="6"/>
      <c r="G12" s="4"/>
      <c r="H12" s="17">
        <v>0.6</v>
      </c>
      <c r="I12" s="17">
        <v>1</v>
      </c>
      <c r="J12" s="80" t="s">
        <v>856</v>
      </c>
      <c r="K12" s="80" t="s">
        <v>611</v>
      </c>
      <c r="U12" s="6">
        <f t="shared" ref="U12:U19" si="0">F12</f>
        <v>0</v>
      </c>
      <c r="V12" s="2" t="str">
        <f>C12</f>
        <v>K1.2</v>
      </c>
      <c r="W12" s="5"/>
      <c r="X12" s="4"/>
      <c r="Y12" s="38"/>
      <c r="Z12" s="38"/>
    </row>
    <row r="13" spans="2:26" ht="58.9" customHeight="1" x14ac:dyDescent="0.25">
      <c r="B13" s="36"/>
      <c r="C13" s="5" t="s">
        <v>342</v>
      </c>
      <c r="D13" s="81" t="s">
        <v>858</v>
      </c>
      <c r="E13" s="5" t="s">
        <v>22</v>
      </c>
      <c r="F13" s="6"/>
      <c r="G13" s="4"/>
      <c r="H13" s="17">
        <v>0.6</v>
      </c>
      <c r="I13" s="17">
        <v>1</v>
      </c>
      <c r="J13" s="81" t="s">
        <v>859</v>
      </c>
      <c r="K13" s="80" t="s">
        <v>860</v>
      </c>
      <c r="U13" s="6">
        <f t="shared" si="0"/>
        <v>0</v>
      </c>
      <c r="V13" s="2" t="str">
        <f>C13</f>
        <v>S2.1</v>
      </c>
      <c r="W13" s="5"/>
      <c r="X13" s="4"/>
      <c r="Y13" s="38"/>
      <c r="Z13" s="38"/>
    </row>
    <row r="14" spans="2:26" ht="76.5" customHeight="1" x14ac:dyDescent="0.25">
      <c r="B14" s="36"/>
      <c r="C14" s="5" t="s">
        <v>395</v>
      </c>
      <c r="D14" s="81" t="s">
        <v>861</v>
      </c>
      <c r="E14" s="5" t="s">
        <v>24</v>
      </c>
      <c r="F14" s="6"/>
      <c r="G14" s="4"/>
      <c r="H14" s="17">
        <v>0.6</v>
      </c>
      <c r="I14" s="17">
        <v>1</v>
      </c>
      <c r="J14" s="81" t="s">
        <v>862</v>
      </c>
      <c r="K14" s="81" t="s">
        <v>1748</v>
      </c>
      <c r="U14" s="6">
        <f t="shared" si="0"/>
        <v>0</v>
      </c>
      <c r="V14" s="2" t="str">
        <f>C14</f>
        <v>S3.1</v>
      </c>
      <c r="W14" s="5"/>
      <c r="X14" s="4"/>
      <c r="Y14" s="38"/>
      <c r="Z14" s="38"/>
    </row>
    <row r="15" spans="2:26" ht="58.9" customHeight="1" x14ac:dyDescent="0.25">
      <c r="B15" s="36"/>
      <c r="C15" s="5" t="s">
        <v>752</v>
      </c>
      <c r="D15" s="81" t="s">
        <v>753</v>
      </c>
      <c r="E15" s="5" t="s">
        <v>35</v>
      </c>
      <c r="F15" s="6"/>
      <c r="G15" s="4"/>
      <c r="H15" s="17">
        <v>0.6</v>
      </c>
      <c r="I15" s="17">
        <v>1</v>
      </c>
      <c r="J15" s="81" t="s">
        <v>864</v>
      </c>
      <c r="K15" s="81" t="s">
        <v>1749</v>
      </c>
      <c r="U15" s="6">
        <f t="shared" si="0"/>
        <v>0</v>
      </c>
      <c r="V15" s="2" t="str">
        <f>C15</f>
        <v>S4.1</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S2.1</v>
      </c>
      <c r="I25" s="49" t="str">
        <f>C14</f>
        <v>S3.1</v>
      </c>
      <c r="J25" s="49" t="str">
        <f>C15</f>
        <v>S4.1</v>
      </c>
      <c r="K25" s="49">
        <f>C16</f>
        <v>0</v>
      </c>
      <c r="L25" s="49">
        <f>C17</f>
        <v>0</v>
      </c>
      <c r="M25" s="49">
        <f>C18</f>
        <v>0</v>
      </c>
      <c r="N25" s="49">
        <f>C19</f>
        <v>0</v>
      </c>
      <c r="O25" s="50" t="s">
        <v>305</v>
      </c>
    </row>
    <row r="26" spans="2:26" ht="30.4" customHeight="1" thickBot="1" x14ac:dyDescent="0.3">
      <c r="C26" s="51" t="s">
        <v>306</v>
      </c>
      <c r="D26" s="81" t="s">
        <v>866</v>
      </c>
      <c r="E26" s="8">
        <v>4</v>
      </c>
      <c r="F26" s="8">
        <v>2</v>
      </c>
      <c r="G26" s="8">
        <v>2</v>
      </c>
      <c r="H26" s="8"/>
      <c r="I26" s="8"/>
      <c r="J26" s="8"/>
      <c r="K26" s="8"/>
      <c r="L26" s="8"/>
      <c r="M26" s="8"/>
      <c r="N26" s="8"/>
      <c r="O26" s="53" t="b">
        <f>IF(SUM(F26:N26)=E26,TRUE,"false")</f>
        <v>1</v>
      </c>
    </row>
    <row r="27" spans="2:26" ht="30.4" customHeight="1" thickBot="1" x14ac:dyDescent="0.3">
      <c r="C27" s="51" t="s">
        <v>307</v>
      </c>
      <c r="D27" s="81" t="s">
        <v>867</v>
      </c>
      <c r="E27" s="8">
        <v>4</v>
      </c>
      <c r="F27" s="8"/>
      <c r="G27" s="8"/>
      <c r="H27" s="8">
        <v>2</v>
      </c>
      <c r="I27" s="8">
        <v>2</v>
      </c>
      <c r="J27" s="8"/>
      <c r="K27" s="8"/>
      <c r="L27" s="8"/>
      <c r="M27" s="8"/>
      <c r="N27" s="8"/>
      <c r="O27" s="53" t="b">
        <f t="shared" ref="O27:O40" si="1">IF(SUM(F27:N27)=E27,TRUE,"false")</f>
        <v>1</v>
      </c>
    </row>
    <row r="28" spans="2:26" ht="30.4" customHeight="1" thickBot="1" x14ac:dyDescent="0.3">
      <c r="C28" s="51" t="s">
        <v>308</v>
      </c>
      <c r="D28" s="81" t="s">
        <v>868</v>
      </c>
      <c r="E28" s="8">
        <v>4</v>
      </c>
      <c r="F28" s="8">
        <v>1</v>
      </c>
      <c r="G28" s="8"/>
      <c r="H28" s="8"/>
      <c r="I28" s="8">
        <v>2</v>
      </c>
      <c r="J28" s="8">
        <v>1</v>
      </c>
      <c r="K28" s="8"/>
      <c r="L28" s="8"/>
      <c r="M28" s="8"/>
      <c r="N28" s="8"/>
      <c r="O28" s="53" t="b">
        <f t="shared" si="1"/>
        <v>1</v>
      </c>
    </row>
    <row r="29" spans="2:26" ht="30.4" customHeight="1" thickBot="1" x14ac:dyDescent="0.3">
      <c r="C29" s="51" t="s">
        <v>309</v>
      </c>
      <c r="D29" s="81" t="s">
        <v>869</v>
      </c>
      <c r="E29" s="8">
        <v>4</v>
      </c>
      <c r="F29" s="8">
        <v>2</v>
      </c>
      <c r="G29" s="8"/>
      <c r="H29" s="8">
        <v>2</v>
      </c>
      <c r="I29" s="8"/>
      <c r="J29" s="8"/>
      <c r="K29" s="8"/>
      <c r="L29" s="8"/>
      <c r="M29" s="8"/>
      <c r="N29" s="8"/>
      <c r="O29" s="53" t="b">
        <f t="shared" si="1"/>
        <v>1</v>
      </c>
    </row>
    <row r="30" spans="2:26" ht="30.4" customHeight="1" thickBot="1" x14ac:dyDescent="0.3">
      <c r="C30" s="51" t="s">
        <v>310</v>
      </c>
      <c r="D30" s="81" t="s">
        <v>870</v>
      </c>
      <c r="E30" s="8">
        <v>2</v>
      </c>
      <c r="F30" s="8"/>
      <c r="G30" s="8">
        <v>2</v>
      </c>
      <c r="H30" s="8"/>
      <c r="I30" s="8"/>
      <c r="J30" s="8"/>
      <c r="K30" s="8"/>
      <c r="L30" s="8"/>
      <c r="M30" s="8"/>
      <c r="N30" s="8"/>
      <c r="O30" s="53" t="b">
        <f t="shared" si="1"/>
        <v>1</v>
      </c>
    </row>
    <row r="31" spans="2:26" ht="30.4" customHeight="1" thickBot="1" x14ac:dyDescent="0.3">
      <c r="C31" s="51" t="s">
        <v>311</v>
      </c>
      <c r="D31" s="81" t="s">
        <v>871</v>
      </c>
      <c r="E31" s="8">
        <v>2</v>
      </c>
      <c r="F31" s="8"/>
      <c r="G31" s="8"/>
      <c r="H31" s="8">
        <v>2</v>
      </c>
      <c r="I31" s="8"/>
      <c r="J31" s="8"/>
      <c r="K31" s="8"/>
      <c r="L31" s="8"/>
      <c r="M31" s="8"/>
      <c r="N31" s="8"/>
      <c r="O31" s="53" t="b">
        <f t="shared" si="1"/>
        <v>1</v>
      </c>
    </row>
    <row r="32" spans="2:26" ht="30.4" customHeight="1" thickBot="1" x14ac:dyDescent="0.3">
      <c r="C32" s="51" t="s">
        <v>312</v>
      </c>
      <c r="D32" s="81" t="s">
        <v>872</v>
      </c>
      <c r="E32" s="8">
        <v>2</v>
      </c>
      <c r="F32" s="8">
        <v>2</v>
      </c>
      <c r="G32" s="8"/>
      <c r="H32" s="8"/>
      <c r="I32" s="8"/>
      <c r="J32" s="8"/>
      <c r="K32" s="8"/>
      <c r="L32" s="8"/>
      <c r="M32" s="8"/>
      <c r="N32" s="8"/>
      <c r="O32" s="53" t="b">
        <f t="shared" si="1"/>
        <v>1</v>
      </c>
    </row>
    <row r="33" spans="2:15" ht="30.4" customHeight="1" thickBot="1" x14ac:dyDescent="0.3">
      <c r="C33" s="51" t="s">
        <v>313</v>
      </c>
      <c r="D33" s="81" t="s">
        <v>873</v>
      </c>
      <c r="E33" s="8">
        <v>4</v>
      </c>
      <c r="F33" s="8">
        <v>1</v>
      </c>
      <c r="G33" s="8">
        <v>1</v>
      </c>
      <c r="H33" s="8">
        <v>1</v>
      </c>
      <c r="I33" s="8"/>
      <c r="J33" s="8">
        <v>1</v>
      </c>
      <c r="K33" s="8"/>
      <c r="L33" s="8"/>
      <c r="M33" s="8"/>
      <c r="N33" s="8"/>
      <c r="O33" s="53" t="b">
        <f t="shared" si="1"/>
        <v>1</v>
      </c>
    </row>
    <row r="34" spans="2:15" ht="30.4" customHeight="1" thickBot="1" x14ac:dyDescent="0.3">
      <c r="C34" s="51" t="s">
        <v>314</v>
      </c>
      <c r="D34" s="81" t="s">
        <v>874</v>
      </c>
      <c r="E34" s="8">
        <v>2</v>
      </c>
      <c r="F34" s="8"/>
      <c r="G34" s="8"/>
      <c r="H34" s="8"/>
      <c r="I34" s="8">
        <v>2</v>
      </c>
      <c r="J34" s="8"/>
      <c r="K34" s="8"/>
      <c r="L34" s="8"/>
      <c r="M34" s="8"/>
      <c r="N34" s="8"/>
      <c r="O34" s="53" t="b">
        <f t="shared" si="1"/>
        <v>1</v>
      </c>
    </row>
    <row r="35" spans="2:15" ht="30.4" customHeight="1" thickBot="1" x14ac:dyDescent="0.3">
      <c r="C35" s="51" t="s">
        <v>315</v>
      </c>
      <c r="D35" s="81" t="s">
        <v>875</v>
      </c>
      <c r="E35" s="8">
        <v>2</v>
      </c>
      <c r="F35" s="8"/>
      <c r="G35" s="8">
        <v>2</v>
      </c>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8</v>
      </c>
      <c r="G40" s="52">
        <f t="shared" si="2"/>
        <v>7</v>
      </c>
      <c r="H40" s="52">
        <f t="shared" si="2"/>
        <v>7</v>
      </c>
      <c r="I40" s="52">
        <f t="shared" si="2"/>
        <v>6</v>
      </c>
      <c r="J40" s="52">
        <f t="shared" si="2"/>
        <v>2</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0.27</v>
      </c>
      <c r="G41" s="54">
        <f>ROUND(G40/E40,2)</f>
        <v>0.23</v>
      </c>
      <c r="H41" s="54">
        <f>ROUND(H40/E40,2)</f>
        <v>0.23</v>
      </c>
      <c r="I41" s="54">
        <f>ROUND(I40/E40,2)</f>
        <v>0.2</v>
      </c>
      <c r="J41" s="54">
        <f>ROUND(J40/E40,2)</f>
        <v>7.0000000000000007E-2</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25</v>
      </c>
      <c r="H42" s="7">
        <v>25</v>
      </c>
      <c r="I42" s="7">
        <v>20</v>
      </c>
      <c r="J42" s="7">
        <v>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S2.1</v>
      </c>
      <c r="H46" s="59" t="str">
        <f>C14</f>
        <v>S3.1</v>
      </c>
      <c r="I46" s="59" t="str">
        <f>C15</f>
        <v>S4.1</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10</v>
      </c>
      <c r="E48" s="11">
        <v>5</v>
      </c>
      <c r="F48" s="12"/>
      <c r="G48" s="12"/>
      <c r="H48" s="12">
        <v>5</v>
      </c>
      <c r="I48" s="12"/>
      <c r="J48" s="12"/>
      <c r="K48" s="12"/>
      <c r="L48" s="12"/>
      <c r="M48" s="12"/>
      <c r="N48" s="55" t="b">
        <f t="shared" si="3"/>
        <v>1</v>
      </c>
    </row>
    <row r="49" spans="3:14" ht="55.15" customHeight="1" x14ac:dyDescent="0.25">
      <c r="C49" s="9" t="s">
        <v>330</v>
      </c>
      <c r="D49" s="10">
        <v>5</v>
      </c>
      <c r="E49" s="11"/>
      <c r="F49" s="12"/>
      <c r="G49" s="12">
        <v>5</v>
      </c>
      <c r="H49" s="12"/>
      <c r="I49" s="12"/>
      <c r="J49" s="12"/>
      <c r="K49" s="12"/>
      <c r="L49" s="12"/>
      <c r="M49" s="12"/>
      <c r="N49" s="55" t="b">
        <f t="shared" si="3"/>
        <v>1</v>
      </c>
    </row>
    <row r="50" spans="3:14" ht="55.15" customHeight="1" x14ac:dyDescent="0.25">
      <c r="C50" s="9" t="s">
        <v>331</v>
      </c>
      <c r="D50" s="10">
        <v>5</v>
      </c>
      <c r="E50" s="11"/>
      <c r="F50" s="12"/>
      <c r="G50" s="12"/>
      <c r="H50" s="12">
        <v>3</v>
      </c>
      <c r="I50" s="12">
        <v>2</v>
      </c>
      <c r="J50" s="12"/>
      <c r="K50" s="12"/>
      <c r="L50" s="12"/>
      <c r="M50" s="12"/>
      <c r="N50" s="55" t="b">
        <f t="shared" si="3"/>
        <v>1</v>
      </c>
    </row>
    <row r="51" spans="3:14" ht="55.15" customHeight="1" x14ac:dyDescent="0.25">
      <c r="C51" s="9" t="s">
        <v>332</v>
      </c>
      <c r="D51" s="10">
        <v>5</v>
      </c>
      <c r="E51" s="11"/>
      <c r="F51" s="12"/>
      <c r="G51" s="12"/>
      <c r="H51" s="12">
        <v>2</v>
      </c>
      <c r="I51" s="12">
        <v>3</v>
      </c>
      <c r="J51" s="12"/>
      <c r="K51" s="12"/>
      <c r="L51" s="12"/>
      <c r="M51" s="12"/>
      <c r="N51" s="55" t="b">
        <f t="shared" si="3"/>
        <v>1</v>
      </c>
    </row>
    <row r="52" spans="3:14" ht="55.15" customHeight="1" x14ac:dyDescent="0.25">
      <c r="C52" s="9" t="s">
        <v>504</v>
      </c>
      <c r="D52" s="10">
        <v>50</v>
      </c>
      <c r="E52" s="11">
        <v>10</v>
      </c>
      <c r="F52" s="12">
        <v>15</v>
      </c>
      <c r="G52" s="12">
        <v>15</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25</v>
      </c>
      <c r="G56" s="65">
        <f t="shared" si="5"/>
        <v>25</v>
      </c>
      <c r="H56" s="65">
        <f t="shared" si="5"/>
        <v>20</v>
      </c>
      <c r="I56" s="65">
        <f t="shared" si="5"/>
        <v>5</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907" priority="11">
      <formula>LEN(TRIM(D47))=0</formula>
    </cfRule>
    <cfRule type="cellIs" dxfId="906" priority="12" operator="equal">
      <formula>0</formula>
    </cfRule>
  </conditionalFormatting>
  <conditionalFormatting sqref="E50">
    <cfRule type="containsBlanks" dxfId="905" priority="21">
      <formula>LEN(TRIM(E50))=0</formula>
    </cfRule>
    <cfRule type="cellIs" dxfId="904" priority="22" operator="equal">
      <formula>0</formula>
    </cfRule>
  </conditionalFormatting>
  <conditionalFormatting sqref="E47:M51 E52">
    <cfRule type="containsBlanks" dxfId="903" priority="17">
      <formula>LEN(TRIM(E47))=0</formula>
    </cfRule>
    <cfRule type="cellIs" dxfId="902" priority="18" operator="equal">
      <formula>0</formula>
    </cfRule>
  </conditionalFormatting>
  <conditionalFormatting sqref="E53:M54">
    <cfRule type="containsBlanks" dxfId="901" priority="15">
      <formula>LEN(TRIM(E53))=0</formula>
    </cfRule>
    <cfRule type="cellIs" dxfId="900" priority="16" operator="equal">
      <formula>0</formula>
    </cfRule>
  </conditionalFormatting>
  <conditionalFormatting sqref="E55:M55">
    <cfRule type="containsText" dxfId="899" priority="5" operator="containsText" text="false">
      <formula>NOT(ISERROR(SEARCH("false",E55)))</formula>
    </cfRule>
    <cfRule type="containsText" dxfId="898" priority="6" operator="containsText" text="true">
      <formula>NOT(ISERROR(SEARCH("true",E55)))</formula>
    </cfRule>
  </conditionalFormatting>
  <conditionalFormatting sqref="E26:N39">
    <cfRule type="containsBlanks" dxfId="897" priority="3">
      <formula>LEN(TRIM(E26))=0</formula>
    </cfRule>
    <cfRule type="cellIs" dxfId="896" priority="4" operator="equal">
      <formula>0</formula>
    </cfRule>
  </conditionalFormatting>
  <conditionalFormatting sqref="F48:M48">
    <cfRule type="containsBlanks" dxfId="895" priority="23">
      <formula>LEN(TRIM(F48))=0</formula>
    </cfRule>
    <cfRule type="cellIs" dxfId="894" priority="24" operator="equal">
      <formula>0</formula>
    </cfRule>
  </conditionalFormatting>
  <conditionalFormatting sqref="F50:M52">
    <cfRule type="containsBlanks" dxfId="893" priority="19">
      <formula>LEN(TRIM(F50))=0</formula>
    </cfRule>
    <cfRule type="cellIs" dxfId="892" priority="20" operator="equal">
      <formula>0</formula>
    </cfRule>
  </conditionalFormatting>
  <conditionalFormatting sqref="N47:N54">
    <cfRule type="containsText" dxfId="891" priority="7" operator="containsText" text="false">
      <formula>NOT(ISERROR(SEARCH("false",N47)))</formula>
    </cfRule>
    <cfRule type="containsText" dxfId="890" priority="8" operator="containsText" text="true">
      <formula>NOT(ISERROR(SEARCH("true",N47)))</formula>
    </cfRule>
  </conditionalFormatting>
  <conditionalFormatting sqref="N55">
    <cfRule type="containsBlanks" dxfId="889" priority="13">
      <formula>LEN(TRIM(N55))=0</formula>
    </cfRule>
    <cfRule type="cellIs" dxfId="888" priority="14" operator="equal">
      <formula>0</formula>
    </cfRule>
  </conditionalFormatting>
  <conditionalFormatting sqref="O26:O40">
    <cfRule type="containsText" dxfId="887" priority="9" operator="containsText" text="false">
      <formula>NOT(ISERROR(SEARCH("false",O26)))</formula>
    </cfRule>
    <cfRule type="containsText" dxfId="886" priority="10" operator="containsText" text="true">
      <formula>NOT(ISERROR(SEARCH("true",O26)))</formula>
    </cfRule>
  </conditionalFormatting>
  <conditionalFormatting sqref="O42">
    <cfRule type="cellIs" dxfId="885" priority="1" operator="notEqual">
      <formula>100</formula>
    </cfRule>
    <cfRule type="cellIs" dxfId="884" priority="2"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'Name and Course code'!$B$2:$B$76</xm:f>
          </x14:formula1>
          <xm:sqref>I6</xm:sqref>
        </x14:dataValidation>
        <x14:dataValidation type="list" allowBlank="1" showInputMessage="1" showErrorMessage="1" xr:uid="{00000000-0002-0000-0900-000001000000}">
          <x14:formula1>
            <xm:f>'Name and Course code'!$A$2:$A$76</xm:f>
          </x14:formula1>
          <xm:sqref>K6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FF00"/>
  </sheetPr>
  <dimension ref="B2:AB57"/>
  <sheetViews>
    <sheetView zoomScale="49" zoomScaleNormal="25"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200</v>
      </c>
      <c r="J6" s="43" t="s">
        <v>278</v>
      </c>
      <c r="K6" s="1" t="s">
        <v>88</v>
      </c>
    </row>
    <row r="7" spans="2:26" ht="72.599999999999994" customHeight="1" thickBot="1" x14ac:dyDescent="0.3">
      <c r="B7" s="160"/>
      <c r="C7" s="161"/>
      <c r="D7" s="43" t="s">
        <v>279</v>
      </c>
      <c r="E7" s="1">
        <v>3</v>
      </c>
      <c r="F7" s="43" t="s">
        <v>280</v>
      </c>
      <c r="G7" s="1">
        <v>6</v>
      </c>
      <c r="H7" s="43" t="s">
        <v>281</v>
      </c>
      <c r="I7" s="1" t="s">
        <v>282</v>
      </c>
      <c r="J7" s="43" t="s">
        <v>283</v>
      </c>
      <c r="K7" s="1" t="s">
        <v>434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68" x14ac:dyDescent="0.25">
      <c r="B11" s="36"/>
      <c r="C11" s="89" t="s">
        <v>415</v>
      </c>
      <c r="D11" s="78" t="s">
        <v>876</v>
      </c>
      <c r="E11" s="89" t="s">
        <v>533</v>
      </c>
      <c r="F11" s="3"/>
      <c r="G11" s="17"/>
      <c r="H11" s="17">
        <v>0.6</v>
      </c>
      <c r="I11" s="17">
        <v>1</v>
      </c>
      <c r="J11" s="89" t="s">
        <v>767</v>
      </c>
      <c r="K11" s="89" t="s">
        <v>877</v>
      </c>
      <c r="U11" s="3">
        <f>F11</f>
        <v>0</v>
      </c>
      <c r="V11" s="2" t="str">
        <f>C11</f>
        <v>K2.1</v>
      </c>
      <c r="W11" s="2"/>
      <c r="X11" s="17"/>
      <c r="Y11" s="37"/>
      <c r="Z11" s="37"/>
    </row>
    <row r="12" spans="2:26" ht="167.25" customHeight="1" x14ac:dyDescent="0.25">
      <c r="B12" s="36"/>
      <c r="C12" s="84" t="s">
        <v>507</v>
      </c>
      <c r="D12" s="79" t="s">
        <v>878</v>
      </c>
      <c r="E12" s="84" t="s">
        <v>10</v>
      </c>
      <c r="F12" s="6"/>
      <c r="G12" s="4"/>
      <c r="H12" s="17">
        <v>0.6</v>
      </c>
      <c r="I12" s="17">
        <v>1</v>
      </c>
      <c r="J12" s="84" t="s">
        <v>770</v>
      </c>
      <c r="K12" s="84" t="s">
        <v>879</v>
      </c>
      <c r="U12" s="6">
        <f>F12</f>
        <v>0</v>
      </c>
      <c r="V12" s="2" t="str">
        <f>C12</f>
        <v>K2.2</v>
      </c>
      <c r="W12" s="5"/>
      <c r="X12" s="4"/>
      <c r="Y12" s="38"/>
      <c r="Z12" s="38"/>
    </row>
    <row r="13" spans="2:26" ht="63" x14ac:dyDescent="0.25">
      <c r="B13" s="36"/>
      <c r="C13" s="84" t="s">
        <v>395</v>
      </c>
      <c r="D13" s="79" t="s">
        <v>773</v>
      </c>
      <c r="E13" s="84" t="s">
        <v>24</v>
      </c>
      <c r="F13" s="6"/>
      <c r="G13" s="4"/>
      <c r="H13" s="17">
        <v>0.6</v>
      </c>
      <c r="I13" s="17">
        <v>1</v>
      </c>
      <c r="J13" s="84" t="s">
        <v>774</v>
      </c>
      <c r="K13" s="84" t="s">
        <v>880</v>
      </c>
      <c r="U13" s="6">
        <f>F13</f>
        <v>0</v>
      </c>
      <c r="V13" s="2" t="e">
        <f>#REF!</f>
        <v>#REF!</v>
      </c>
      <c r="W13" s="5"/>
      <c r="X13" s="4"/>
      <c r="Y13" s="38"/>
      <c r="Z13" s="38"/>
    </row>
    <row r="14" spans="2:26" ht="84" x14ac:dyDescent="0.25">
      <c r="B14" s="36"/>
      <c r="C14" s="84" t="s">
        <v>437</v>
      </c>
      <c r="D14" s="79" t="s">
        <v>881</v>
      </c>
      <c r="E14" s="84" t="s">
        <v>24</v>
      </c>
      <c r="F14" s="6"/>
      <c r="G14" s="4"/>
      <c r="H14" s="17">
        <v>0.6</v>
      </c>
      <c r="I14" s="17">
        <v>1</v>
      </c>
      <c r="J14" s="84" t="s">
        <v>882</v>
      </c>
      <c r="K14" s="5" t="s">
        <v>883</v>
      </c>
      <c r="U14" s="6">
        <f>F14</f>
        <v>0</v>
      </c>
      <c r="V14" s="2" t="e">
        <f>#REF!</f>
        <v>#REF!</v>
      </c>
      <c r="W14" s="5"/>
      <c r="X14" s="4"/>
      <c r="Y14" s="38"/>
      <c r="Z14" s="38"/>
    </row>
    <row r="15" spans="2:26" ht="58.9" customHeight="1" x14ac:dyDescent="0.25">
      <c r="B15" s="36"/>
      <c r="D15" s="79"/>
      <c r="F15" s="6"/>
      <c r="G15" s="4"/>
      <c r="H15" s="4"/>
      <c r="I15" s="4"/>
      <c r="J15" s="5"/>
      <c r="K15" s="5"/>
      <c r="U15" s="6">
        <f>F15</f>
        <v>0</v>
      </c>
      <c r="V15" s="2" t="str">
        <f>C13</f>
        <v>S3.1</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S3.1</v>
      </c>
      <c r="I25" s="49" t="str">
        <f>C14</f>
        <v>S3.2</v>
      </c>
      <c r="J25" s="49">
        <f>C15</f>
        <v>0</v>
      </c>
      <c r="K25" s="49">
        <f>C16</f>
        <v>0</v>
      </c>
      <c r="L25" s="49">
        <f>C17</f>
        <v>0</v>
      </c>
      <c r="M25" s="49">
        <f>C18</f>
        <v>0</v>
      </c>
      <c r="N25" s="49">
        <f>C19</f>
        <v>0</v>
      </c>
      <c r="O25" s="50" t="s">
        <v>305</v>
      </c>
    </row>
    <row r="26" spans="2:26" ht="30.75" thickBot="1" x14ac:dyDescent="0.3">
      <c r="C26" s="51" t="s">
        <v>306</v>
      </c>
      <c r="D26" s="92" t="s">
        <v>884</v>
      </c>
      <c r="E26" s="8">
        <v>10</v>
      </c>
      <c r="F26" s="8">
        <v>2</v>
      </c>
      <c r="G26" s="8">
        <v>2</v>
      </c>
      <c r="H26" s="8">
        <v>2</v>
      </c>
      <c r="I26" s="8">
        <v>4</v>
      </c>
      <c r="J26" s="8"/>
      <c r="K26" s="8"/>
      <c r="L26" s="8"/>
      <c r="M26" s="8"/>
      <c r="N26" s="8"/>
      <c r="O26" s="53" t="b">
        <f t="shared" ref="O26:O40" si="0">IF(SUM(F26:N26)=E26,TRUE,"false")</f>
        <v>1</v>
      </c>
    </row>
    <row r="27" spans="2:26" ht="30.4" customHeight="1" thickBot="1" x14ac:dyDescent="0.3">
      <c r="C27" s="51" t="s">
        <v>307</v>
      </c>
      <c r="D27" s="25" t="s">
        <v>885</v>
      </c>
      <c r="E27" s="8">
        <v>4</v>
      </c>
      <c r="F27" s="8">
        <v>1</v>
      </c>
      <c r="G27" s="8">
        <v>2</v>
      </c>
      <c r="H27" s="8">
        <v>1</v>
      </c>
      <c r="I27" s="8"/>
      <c r="J27" s="8"/>
      <c r="K27" s="8"/>
      <c r="L27" s="8"/>
      <c r="M27" s="8"/>
      <c r="N27" s="8"/>
      <c r="O27" s="53" t="b">
        <f t="shared" si="0"/>
        <v>1</v>
      </c>
    </row>
    <row r="28" spans="2:26" ht="30.4" customHeight="1" thickBot="1" x14ac:dyDescent="0.3">
      <c r="C28" s="51" t="s">
        <v>308</v>
      </c>
      <c r="D28" s="25"/>
      <c r="E28" s="8"/>
      <c r="F28" s="8"/>
      <c r="G28" s="8"/>
      <c r="H28" s="8"/>
      <c r="I28" s="8"/>
      <c r="J28" s="8"/>
      <c r="K28" s="8"/>
      <c r="L28" s="8"/>
      <c r="M28" s="8"/>
      <c r="N28" s="8"/>
      <c r="O28" s="53" t="b">
        <f t="shared" si="0"/>
        <v>1</v>
      </c>
    </row>
    <row r="29" spans="2:26" ht="30.4" customHeight="1" thickBot="1" x14ac:dyDescent="0.3">
      <c r="C29" s="51" t="s">
        <v>309</v>
      </c>
      <c r="D29" s="25" t="s">
        <v>886</v>
      </c>
      <c r="E29" s="8">
        <v>4</v>
      </c>
      <c r="F29" s="8">
        <v>1</v>
      </c>
      <c r="G29" s="8">
        <v>2</v>
      </c>
      <c r="H29" s="8">
        <v>1</v>
      </c>
      <c r="I29" s="8"/>
      <c r="J29" s="8"/>
      <c r="K29" s="8"/>
      <c r="L29" s="8"/>
      <c r="M29" s="8"/>
      <c r="N29" s="8"/>
      <c r="O29" s="53" t="b">
        <f t="shared" si="0"/>
        <v>1</v>
      </c>
    </row>
    <row r="30" spans="2:26" ht="30.4" customHeight="1" thickBot="1" x14ac:dyDescent="0.3">
      <c r="C30" s="51" t="s">
        <v>310</v>
      </c>
      <c r="D30" s="25" t="s">
        <v>887</v>
      </c>
      <c r="E30" s="8">
        <v>2</v>
      </c>
      <c r="F30" s="8">
        <v>2</v>
      </c>
      <c r="G30" s="8"/>
      <c r="H30" s="8"/>
      <c r="I30" s="8"/>
      <c r="J30" s="8"/>
      <c r="K30" s="8"/>
      <c r="L30" s="8"/>
      <c r="M30" s="8"/>
      <c r="N30" s="8"/>
      <c r="O30" s="53" t="b">
        <f t="shared" si="0"/>
        <v>1</v>
      </c>
    </row>
    <row r="31" spans="2:26" ht="30.4" customHeight="1" thickBot="1" x14ac:dyDescent="0.3">
      <c r="C31" s="51" t="s">
        <v>311</v>
      </c>
      <c r="D31" s="25" t="s">
        <v>888</v>
      </c>
      <c r="E31" s="8">
        <v>4</v>
      </c>
      <c r="F31" s="8"/>
      <c r="G31" s="8">
        <v>2</v>
      </c>
      <c r="H31" s="8">
        <v>2</v>
      </c>
      <c r="I31" s="8"/>
      <c r="J31" s="8"/>
      <c r="K31" s="8"/>
      <c r="L31" s="8"/>
      <c r="M31" s="8"/>
      <c r="N31" s="8"/>
      <c r="O31" s="53" t="b">
        <f t="shared" si="0"/>
        <v>1</v>
      </c>
    </row>
    <row r="32" spans="2:26" ht="30.75" thickBot="1" x14ac:dyDescent="0.3">
      <c r="C32" s="51" t="s">
        <v>312</v>
      </c>
      <c r="D32" s="92" t="s">
        <v>889</v>
      </c>
      <c r="E32" s="8">
        <v>8</v>
      </c>
      <c r="F32" s="8">
        <v>2</v>
      </c>
      <c r="G32" s="8">
        <v>2</v>
      </c>
      <c r="H32" s="8">
        <v>2</v>
      </c>
      <c r="I32" s="8">
        <v>2</v>
      </c>
      <c r="J32" s="8"/>
      <c r="K32" s="8"/>
      <c r="L32" s="8"/>
      <c r="M32" s="8"/>
      <c r="N32" s="8"/>
      <c r="O32" s="53" t="b">
        <f t="shared" si="0"/>
        <v>1</v>
      </c>
    </row>
    <row r="33" spans="2:15" ht="30.4" customHeight="1" thickBot="1" x14ac:dyDescent="0.3">
      <c r="C33" s="51" t="s">
        <v>313</v>
      </c>
      <c r="D33" s="92" t="s">
        <v>890</v>
      </c>
      <c r="E33" s="8">
        <v>8</v>
      </c>
      <c r="F33" s="8">
        <v>2</v>
      </c>
      <c r="G33" s="8">
        <v>2</v>
      </c>
      <c r="H33" s="8"/>
      <c r="I33" s="8">
        <v>4</v>
      </c>
      <c r="J33" s="8"/>
      <c r="K33" s="8"/>
      <c r="L33" s="8"/>
      <c r="M33" s="8"/>
      <c r="N33" s="8"/>
      <c r="O33" s="53" t="b">
        <f t="shared" si="0"/>
        <v>1</v>
      </c>
    </row>
    <row r="34" spans="2:15" ht="30.75" thickBot="1" x14ac:dyDescent="0.3">
      <c r="C34" s="51" t="s">
        <v>314</v>
      </c>
      <c r="D34" s="92" t="s">
        <v>891</v>
      </c>
      <c r="E34" s="8">
        <v>2</v>
      </c>
      <c r="F34" s="8">
        <v>1</v>
      </c>
      <c r="G34" s="8">
        <v>1</v>
      </c>
      <c r="H34" s="8"/>
      <c r="I34" s="8"/>
      <c r="J34" s="8"/>
      <c r="K34" s="8"/>
      <c r="L34" s="8"/>
      <c r="M34" s="8"/>
      <c r="N34" s="8"/>
      <c r="O34" s="53" t="b">
        <f t="shared" si="0"/>
        <v>1</v>
      </c>
    </row>
    <row r="35" spans="2:15" ht="30.75" thickBot="1" x14ac:dyDescent="0.3">
      <c r="C35" s="51" t="s">
        <v>315</v>
      </c>
      <c r="D35" s="92" t="s">
        <v>892</v>
      </c>
      <c r="E35" s="8">
        <v>8</v>
      </c>
      <c r="F35" s="8">
        <v>2</v>
      </c>
      <c r="G35" s="8">
        <v>2</v>
      </c>
      <c r="H35" s="8">
        <v>2</v>
      </c>
      <c r="I35" s="8"/>
      <c r="J35" s="8"/>
      <c r="K35" s="8"/>
      <c r="L35" s="8"/>
      <c r="M35" s="8"/>
      <c r="N35" s="8"/>
      <c r="O35" s="53" t="str">
        <f t="shared" si="0"/>
        <v>false</v>
      </c>
    </row>
    <row r="36" spans="2:15" ht="60.75" thickBot="1" x14ac:dyDescent="0.3">
      <c r="C36" s="51" t="s">
        <v>316</v>
      </c>
      <c r="D36" s="92" t="s">
        <v>893</v>
      </c>
      <c r="E36" s="8">
        <v>8</v>
      </c>
      <c r="F36" s="8">
        <v>2</v>
      </c>
      <c r="G36" s="8">
        <v>2</v>
      </c>
      <c r="H36" s="8">
        <v>1</v>
      </c>
      <c r="I36" s="8">
        <v>2</v>
      </c>
      <c r="J36" s="8"/>
      <c r="K36" s="8"/>
      <c r="L36" s="8"/>
      <c r="M36" s="8"/>
      <c r="N36" s="8"/>
      <c r="O36" s="53" t="str">
        <f t="shared" si="0"/>
        <v>false</v>
      </c>
    </row>
    <row r="37" spans="2:15" ht="30.4" customHeight="1" thickBot="1" x14ac:dyDescent="0.3">
      <c r="C37" s="51" t="s">
        <v>317</v>
      </c>
      <c r="D37" s="92" t="s">
        <v>894</v>
      </c>
      <c r="E37" s="8">
        <v>2</v>
      </c>
      <c r="F37" s="8">
        <v>1</v>
      </c>
      <c r="G37" s="8">
        <v>1</v>
      </c>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16</v>
      </c>
      <c r="G40" s="52">
        <f t="shared" si="1"/>
        <v>18</v>
      </c>
      <c r="H40" s="52">
        <f t="shared" si="1"/>
        <v>11</v>
      </c>
      <c r="I40" s="52">
        <f t="shared" si="1"/>
        <v>12</v>
      </c>
      <c r="J40" s="52">
        <f t="shared" si="1"/>
        <v>0</v>
      </c>
      <c r="K40" s="52">
        <f t="shared" si="1"/>
        <v>0</v>
      </c>
      <c r="L40" s="52">
        <f t="shared" si="1"/>
        <v>0</v>
      </c>
      <c r="M40" s="52">
        <f t="shared" si="1"/>
        <v>0</v>
      </c>
      <c r="N40" s="52">
        <f t="shared" si="1"/>
        <v>0</v>
      </c>
      <c r="O40" s="53" t="str">
        <f t="shared" si="0"/>
        <v>false</v>
      </c>
    </row>
    <row r="41" spans="2:15" s="20" customFormat="1" ht="71.650000000000006" customHeight="1" x14ac:dyDescent="0.25">
      <c r="C41" s="150" t="s">
        <v>321</v>
      </c>
      <c r="D41" s="150"/>
      <c r="E41" s="150"/>
      <c r="F41" s="54">
        <f>ROUND(F40/E40,2)</f>
        <v>0.27</v>
      </c>
      <c r="G41" s="54">
        <f>ROUND(G40/E40,2)</f>
        <v>0.3</v>
      </c>
      <c r="H41" s="54">
        <f>ROUND(H40/E40,2)</f>
        <v>0.18</v>
      </c>
      <c r="I41" s="54">
        <f>ROUND(I40/E40,2)</f>
        <v>0.2</v>
      </c>
      <c r="J41" s="54">
        <f>ROUND(J40/E40,2)</f>
        <v>0</v>
      </c>
      <c r="K41" s="54">
        <f>ROUND(K40/E40,2)</f>
        <v>0</v>
      </c>
      <c r="L41" s="54">
        <f>ROUND(L40/E40,2)</f>
        <v>0</v>
      </c>
      <c r="M41" s="54">
        <f>ROUND(M40/E40,2)</f>
        <v>0</v>
      </c>
      <c r="N41" s="54">
        <f>ROUND(N40/E40,2)</f>
        <v>0</v>
      </c>
      <c r="O41" s="54">
        <f>SUM(F41:N41)</f>
        <v>0.95</v>
      </c>
    </row>
    <row r="42" spans="2:15" ht="55.9" customHeight="1" x14ac:dyDescent="0.25">
      <c r="C42" s="151" t="s">
        <v>322</v>
      </c>
      <c r="D42" s="151"/>
      <c r="E42" s="151"/>
      <c r="F42" s="7">
        <v>30</v>
      </c>
      <c r="G42" s="7">
        <v>30</v>
      </c>
      <c r="H42" s="7">
        <v>20</v>
      </c>
      <c r="I42" s="7">
        <v>20</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S3.1</v>
      </c>
      <c r="H46" s="59" t="str">
        <f>C14</f>
        <v>S3.2</v>
      </c>
      <c r="I46" s="59">
        <f>C15</f>
        <v>0</v>
      </c>
      <c r="J46" s="59">
        <f>C16</f>
        <v>0</v>
      </c>
      <c r="K46" s="59">
        <f>C17</f>
        <v>0</v>
      </c>
      <c r="L46" s="59">
        <f>C18</f>
        <v>0</v>
      </c>
      <c r="M46" s="59">
        <f>C19</f>
        <v>0</v>
      </c>
      <c r="N46" s="60" t="s">
        <v>327</v>
      </c>
    </row>
    <row r="47" spans="2:15" ht="55.15" customHeight="1" x14ac:dyDescent="0.25">
      <c r="C47" s="9" t="s">
        <v>331</v>
      </c>
      <c r="D47" s="10">
        <v>5</v>
      </c>
      <c r="E47" s="8"/>
      <c r="F47" s="8"/>
      <c r="G47" s="8">
        <v>5</v>
      </c>
      <c r="H47" s="8"/>
      <c r="I47" s="8"/>
      <c r="J47" s="8"/>
      <c r="K47" s="8"/>
      <c r="L47" s="8"/>
      <c r="M47" s="8"/>
      <c r="N47" s="55" t="b">
        <f t="shared" ref="N47:N54" si="2">IF(SUM(E47:M47)=D47,TRUE,"false")</f>
        <v>1</v>
      </c>
    </row>
    <row r="48" spans="2:15" ht="55.15" customHeight="1" x14ac:dyDescent="0.25">
      <c r="C48" s="9" t="s">
        <v>328</v>
      </c>
      <c r="D48" s="10">
        <v>25</v>
      </c>
      <c r="E48" s="11">
        <v>10</v>
      </c>
      <c r="F48" s="12">
        <v>10</v>
      </c>
      <c r="G48" s="12">
        <v>5</v>
      </c>
      <c r="H48" s="12"/>
      <c r="I48" s="12"/>
      <c r="J48" s="12"/>
      <c r="K48" s="12"/>
      <c r="L48" s="12"/>
      <c r="M48" s="12"/>
      <c r="N48" s="55" t="b">
        <f t="shared" si="2"/>
        <v>1</v>
      </c>
    </row>
    <row r="49" spans="3:14" ht="55.15" customHeight="1" x14ac:dyDescent="0.25">
      <c r="C49" s="9" t="s">
        <v>459</v>
      </c>
      <c r="D49" s="10">
        <v>20</v>
      </c>
      <c r="E49" s="11"/>
      <c r="F49" s="12"/>
      <c r="G49" s="12"/>
      <c r="H49" s="12">
        <v>20</v>
      </c>
      <c r="I49" s="12"/>
      <c r="J49" s="12"/>
      <c r="K49" s="12"/>
      <c r="L49" s="12"/>
      <c r="M49" s="12"/>
      <c r="N49" s="55" t="b">
        <f t="shared" si="2"/>
        <v>1</v>
      </c>
    </row>
    <row r="50" spans="3:14" ht="55.15" customHeight="1" x14ac:dyDescent="0.25">
      <c r="C50" s="9" t="s">
        <v>460</v>
      </c>
      <c r="D50" s="10">
        <v>50</v>
      </c>
      <c r="E50" s="11">
        <v>20</v>
      </c>
      <c r="F50" s="12">
        <v>20</v>
      </c>
      <c r="G50" s="12">
        <v>10</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30</v>
      </c>
      <c r="F56" s="65">
        <f t="shared" si="4"/>
        <v>30</v>
      </c>
      <c r="G56" s="65">
        <f t="shared" si="4"/>
        <v>20</v>
      </c>
      <c r="H56" s="65">
        <f t="shared" si="4"/>
        <v>20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bLgCNr9DrryN+oqAcBEu2acb7pooU3Y1tY6IPlfzAgdsNPZ3ni3OfKGqlPPS0ULqWZJdWpEbNkFkuvm0Tzs+Gg==" saltValue="ZBswjNvzjbY3nA0D6E0M+A=="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883" priority="11">
      <formula>LEN(TRIM(D47))=0</formula>
    </cfRule>
    <cfRule type="cellIs" dxfId="882" priority="12" operator="equal">
      <formula>0</formula>
    </cfRule>
  </conditionalFormatting>
  <conditionalFormatting sqref="E50">
    <cfRule type="containsBlanks" dxfId="881" priority="21">
      <formula>LEN(TRIM(E50))=0</formula>
    </cfRule>
    <cfRule type="cellIs" dxfId="880" priority="22" operator="equal">
      <formula>0</formula>
    </cfRule>
  </conditionalFormatting>
  <conditionalFormatting sqref="E47:M51 E52">
    <cfRule type="containsBlanks" dxfId="879" priority="17">
      <formula>LEN(TRIM(E47))=0</formula>
    </cfRule>
    <cfRule type="cellIs" dxfId="878" priority="18" operator="equal">
      <formula>0</formula>
    </cfRule>
  </conditionalFormatting>
  <conditionalFormatting sqref="E53:M54">
    <cfRule type="containsBlanks" dxfId="877" priority="15">
      <formula>LEN(TRIM(E53))=0</formula>
    </cfRule>
    <cfRule type="cellIs" dxfId="876" priority="16" operator="equal">
      <formula>0</formula>
    </cfRule>
  </conditionalFormatting>
  <conditionalFormatting sqref="E55:M55">
    <cfRule type="containsText" dxfId="875" priority="5" operator="containsText" text="false">
      <formula>NOT(ISERROR(SEARCH("false",E55)))</formula>
    </cfRule>
    <cfRule type="containsText" dxfId="874" priority="6" operator="containsText" text="true">
      <formula>NOT(ISERROR(SEARCH("true",E55)))</formula>
    </cfRule>
  </conditionalFormatting>
  <conditionalFormatting sqref="E26:N39">
    <cfRule type="containsBlanks" dxfId="873" priority="3">
      <formula>LEN(TRIM(E26))=0</formula>
    </cfRule>
    <cfRule type="cellIs" dxfId="872" priority="4" operator="equal">
      <formula>0</formula>
    </cfRule>
  </conditionalFormatting>
  <conditionalFormatting sqref="F48:M48">
    <cfRule type="containsBlanks" dxfId="871" priority="23">
      <formula>LEN(TRIM(F48))=0</formula>
    </cfRule>
    <cfRule type="cellIs" dxfId="870" priority="24" operator="equal">
      <formula>0</formula>
    </cfRule>
  </conditionalFormatting>
  <conditionalFormatting sqref="F50:M52">
    <cfRule type="containsBlanks" dxfId="869" priority="19">
      <formula>LEN(TRIM(F50))=0</formula>
    </cfRule>
    <cfRule type="cellIs" dxfId="868" priority="20" operator="equal">
      <formula>0</formula>
    </cfRule>
  </conditionalFormatting>
  <conditionalFormatting sqref="N47:N54">
    <cfRule type="containsText" dxfId="867" priority="7" operator="containsText" text="false">
      <formula>NOT(ISERROR(SEARCH("false",N47)))</formula>
    </cfRule>
    <cfRule type="containsText" dxfId="866" priority="8" operator="containsText" text="true">
      <formula>NOT(ISERROR(SEARCH("true",N47)))</formula>
    </cfRule>
  </conditionalFormatting>
  <conditionalFormatting sqref="N55">
    <cfRule type="containsBlanks" dxfId="865" priority="13">
      <formula>LEN(TRIM(N55))=0</formula>
    </cfRule>
    <cfRule type="cellIs" dxfId="864" priority="14" operator="equal">
      <formula>0</formula>
    </cfRule>
  </conditionalFormatting>
  <conditionalFormatting sqref="O26:O40">
    <cfRule type="containsText" dxfId="863" priority="9" operator="containsText" text="false">
      <formula>NOT(ISERROR(SEARCH("false",O26)))</formula>
    </cfRule>
    <cfRule type="containsText" dxfId="862" priority="10" operator="containsText" text="true">
      <formula>NOT(ISERROR(SEARCH("true",O26)))</formula>
    </cfRule>
  </conditionalFormatting>
  <conditionalFormatting sqref="O42">
    <cfRule type="cellIs" dxfId="861" priority="1" operator="notEqual">
      <formula>100</formula>
    </cfRule>
    <cfRule type="cellIs" dxfId="860" priority="2" operator="equal">
      <formula>100</formula>
    </cfRule>
  </conditionalFormatting>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1" style="19" customWidth="1"/>
    <col min="8" max="8" width="20.7109375" style="19" bestFit="1" customWidth="1"/>
    <col min="9" max="9" width="30.2851562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202</v>
      </c>
      <c r="J6" s="43" t="s">
        <v>278</v>
      </c>
      <c r="K6" s="1" t="s">
        <v>89</v>
      </c>
    </row>
    <row r="7" spans="2:26" ht="72.599999999999994" customHeight="1" thickBot="1" x14ac:dyDescent="0.3">
      <c r="B7" s="160"/>
      <c r="C7" s="161"/>
      <c r="D7" s="43" t="s">
        <v>279</v>
      </c>
      <c r="E7" s="1">
        <v>3</v>
      </c>
      <c r="F7" s="43" t="s">
        <v>280</v>
      </c>
      <c r="G7" s="1">
        <v>6</v>
      </c>
      <c r="H7" s="43" t="s">
        <v>281</v>
      </c>
      <c r="I7" s="1">
        <v>2</v>
      </c>
      <c r="J7" s="43" t="s">
        <v>283</v>
      </c>
      <c r="K7" s="1" t="s">
        <v>895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84" customHeight="1" x14ac:dyDescent="0.25">
      <c r="B11" s="36"/>
      <c r="C11" s="2" t="s">
        <v>297</v>
      </c>
      <c r="D11" s="78" t="s">
        <v>896</v>
      </c>
      <c r="E11" s="2" t="s">
        <v>7</v>
      </c>
      <c r="F11" s="3"/>
      <c r="G11" s="17"/>
      <c r="H11" s="17">
        <v>0.6</v>
      </c>
      <c r="I11" s="17">
        <v>1</v>
      </c>
      <c r="J11" s="80" t="s">
        <v>790</v>
      </c>
      <c r="K11" s="80" t="s">
        <v>643</v>
      </c>
      <c r="U11" s="3">
        <f>F11</f>
        <v>0</v>
      </c>
      <c r="V11" s="2" t="str">
        <f t="shared" ref="V11:V19" si="0">C11</f>
        <v>K1.1</v>
      </c>
      <c r="W11" s="2"/>
      <c r="X11" s="17"/>
      <c r="Y11" s="37"/>
      <c r="Z11" s="37"/>
    </row>
    <row r="12" spans="2:26" ht="121.5" customHeight="1" x14ac:dyDescent="0.25">
      <c r="B12" s="36"/>
      <c r="C12" s="5" t="s">
        <v>298</v>
      </c>
      <c r="D12" s="79" t="s">
        <v>897</v>
      </c>
      <c r="E12" s="5" t="s">
        <v>7</v>
      </c>
      <c r="F12" s="6"/>
      <c r="G12" s="4"/>
      <c r="H12" s="17">
        <v>0.6</v>
      </c>
      <c r="I12" s="17">
        <v>1</v>
      </c>
      <c r="J12" s="80" t="s">
        <v>790</v>
      </c>
      <c r="K12" s="80" t="s">
        <v>747</v>
      </c>
      <c r="U12" s="6">
        <f>F12</f>
        <v>0</v>
      </c>
      <c r="V12" s="2" t="str">
        <f t="shared" si="0"/>
        <v>K1.2</v>
      </c>
      <c r="W12" s="5"/>
      <c r="X12" s="4"/>
      <c r="Y12" s="38"/>
      <c r="Z12" s="38"/>
    </row>
    <row r="13" spans="2:26" ht="100.5" customHeight="1" x14ac:dyDescent="0.25">
      <c r="B13" s="36"/>
      <c r="C13" s="5" t="s">
        <v>644</v>
      </c>
      <c r="D13" s="79" t="s">
        <v>898</v>
      </c>
      <c r="E13" s="5" t="s">
        <v>18</v>
      </c>
      <c r="F13" s="6"/>
      <c r="G13" s="4"/>
      <c r="H13" s="17">
        <v>0.6</v>
      </c>
      <c r="I13" s="17">
        <v>1</v>
      </c>
      <c r="J13" s="81" t="s">
        <v>1653</v>
      </c>
      <c r="K13" s="81" t="s">
        <v>1405</v>
      </c>
      <c r="U13" s="6">
        <f>F13</f>
        <v>0</v>
      </c>
      <c r="V13" s="2" t="str">
        <f t="shared" si="0"/>
        <v>S1.1</v>
      </c>
      <c r="W13" s="5"/>
      <c r="X13" s="4"/>
      <c r="Y13" s="38"/>
      <c r="Z13" s="38"/>
    </row>
    <row r="14" spans="2:26" ht="58.9" customHeight="1" x14ac:dyDescent="0.25">
      <c r="B14" s="36"/>
      <c r="C14" s="5" t="s">
        <v>342</v>
      </c>
      <c r="D14" s="79" t="s">
        <v>1732</v>
      </c>
      <c r="E14" s="5" t="s">
        <v>22</v>
      </c>
      <c r="F14" s="6"/>
      <c r="G14" s="4"/>
      <c r="H14" s="17">
        <v>0.6</v>
      </c>
      <c r="I14" s="17">
        <v>1</v>
      </c>
      <c r="J14" s="81" t="s">
        <v>902</v>
      </c>
      <c r="K14" s="81" t="s">
        <v>793</v>
      </c>
      <c r="U14" s="6">
        <f>F14</f>
        <v>0</v>
      </c>
      <c r="V14" s="2" t="str">
        <f t="shared" si="0"/>
        <v>S2.1</v>
      </c>
      <c r="W14" s="5"/>
      <c r="X14" s="4"/>
      <c r="Y14" s="38"/>
      <c r="Z14" s="38"/>
    </row>
    <row r="15" spans="2:26" ht="69" customHeight="1" x14ac:dyDescent="0.25">
      <c r="B15" s="36"/>
      <c r="C15" s="5" t="s">
        <v>395</v>
      </c>
      <c r="D15" s="79" t="s">
        <v>1730</v>
      </c>
      <c r="E15" s="5" t="s">
        <v>24</v>
      </c>
      <c r="F15" s="6"/>
      <c r="G15" s="4"/>
      <c r="H15" s="17">
        <v>0.6</v>
      </c>
      <c r="I15" s="17">
        <v>1</v>
      </c>
      <c r="J15" s="81" t="s">
        <v>794</v>
      </c>
      <c r="K15" s="81" t="s">
        <v>900</v>
      </c>
      <c r="U15" s="6">
        <f>F15</f>
        <v>0</v>
      </c>
      <c r="V15" s="2" t="str">
        <f t="shared" si="0"/>
        <v>S3.1</v>
      </c>
      <c r="W15" s="5"/>
      <c r="X15" s="4"/>
      <c r="Y15" s="38"/>
      <c r="Z15" s="38"/>
    </row>
    <row r="16" spans="2:26" ht="58.9" customHeight="1" x14ac:dyDescent="0.25">
      <c r="B16" s="36"/>
      <c r="C16" s="5"/>
      <c r="D16" s="24"/>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S2.1</v>
      </c>
      <c r="J25" s="49" t="str">
        <f>C15</f>
        <v>S3.1</v>
      </c>
      <c r="K25" s="49">
        <f>C16</f>
        <v>0</v>
      </c>
      <c r="L25" s="49">
        <f>C17</f>
        <v>0</v>
      </c>
      <c r="M25" s="49">
        <f>C18</f>
        <v>0</v>
      </c>
      <c r="N25" s="49">
        <f>C19</f>
        <v>0</v>
      </c>
      <c r="O25" s="50" t="s">
        <v>305</v>
      </c>
    </row>
    <row r="26" spans="2:26" ht="30.4" customHeight="1" thickBot="1" x14ac:dyDescent="0.3">
      <c r="C26" s="51" t="s">
        <v>306</v>
      </c>
      <c r="D26" s="83" t="s">
        <v>903</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904</v>
      </c>
      <c r="E27" s="8">
        <v>4</v>
      </c>
      <c r="F27" s="8">
        <v>1</v>
      </c>
      <c r="G27" s="8">
        <v>1</v>
      </c>
      <c r="H27" s="8">
        <v>1</v>
      </c>
      <c r="I27" s="8">
        <v>1</v>
      </c>
      <c r="J27" s="8"/>
      <c r="K27" s="8"/>
      <c r="L27" s="8"/>
      <c r="M27" s="8"/>
      <c r="N27" s="8"/>
      <c r="O27" s="53" t="b">
        <f t="shared" si="1"/>
        <v>1</v>
      </c>
    </row>
    <row r="28" spans="2:26" ht="30.4" customHeight="1" thickBot="1" x14ac:dyDescent="0.3">
      <c r="C28" s="51" t="s">
        <v>308</v>
      </c>
      <c r="D28" s="83" t="s">
        <v>905</v>
      </c>
      <c r="E28" s="8">
        <v>4</v>
      </c>
      <c r="F28" s="8">
        <v>1</v>
      </c>
      <c r="G28" s="8">
        <v>1</v>
      </c>
      <c r="H28" s="8">
        <v>1</v>
      </c>
      <c r="I28" s="8">
        <v>1</v>
      </c>
      <c r="J28" s="8"/>
      <c r="K28" s="8"/>
      <c r="L28" s="8"/>
      <c r="M28" s="8"/>
      <c r="N28" s="8"/>
      <c r="O28" s="53" t="b">
        <f t="shared" si="1"/>
        <v>1</v>
      </c>
    </row>
    <row r="29" spans="2:26" ht="30.4" customHeight="1" thickBot="1" x14ac:dyDescent="0.3">
      <c r="C29" s="51" t="s">
        <v>309</v>
      </c>
      <c r="D29" s="83" t="s">
        <v>906</v>
      </c>
      <c r="E29" s="8">
        <v>2</v>
      </c>
      <c r="F29" s="8">
        <v>1</v>
      </c>
      <c r="G29" s="8"/>
      <c r="H29" s="8"/>
      <c r="I29" s="8"/>
      <c r="J29" s="8">
        <v>1</v>
      </c>
      <c r="K29" s="8"/>
      <c r="L29" s="8"/>
      <c r="M29" s="8"/>
      <c r="N29" s="8"/>
      <c r="O29" s="53" t="b">
        <f t="shared" si="1"/>
        <v>1</v>
      </c>
    </row>
    <row r="30" spans="2:26" ht="30.4" customHeight="1" thickBot="1" x14ac:dyDescent="0.3">
      <c r="C30" s="51" t="s">
        <v>310</v>
      </c>
      <c r="D30" s="83" t="s">
        <v>907</v>
      </c>
      <c r="E30" s="8">
        <v>4</v>
      </c>
      <c r="F30" s="8"/>
      <c r="G30" s="8"/>
      <c r="H30" s="8">
        <v>1</v>
      </c>
      <c r="I30" s="8"/>
      <c r="J30" s="8">
        <v>3</v>
      </c>
      <c r="K30" s="8"/>
      <c r="L30" s="8"/>
      <c r="M30" s="8"/>
      <c r="N30" s="8"/>
      <c r="O30" s="53" t="b">
        <f t="shared" si="1"/>
        <v>1</v>
      </c>
    </row>
    <row r="31" spans="2:26" ht="30.4" customHeight="1" thickBot="1" x14ac:dyDescent="0.3">
      <c r="C31" s="51" t="s">
        <v>311</v>
      </c>
      <c r="D31" s="83" t="s">
        <v>908</v>
      </c>
      <c r="E31" s="8">
        <v>4</v>
      </c>
      <c r="F31" s="8">
        <v>1</v>
      </c>
      <c r="G31" s="8"/>
      <c r="H31" s="8">
        <v>1</v>
      </c>
      <c r="I31" s="8"/>
      <c r="J31" s="8">
        <v>2</v>
      </c>
      <c r="K31" s="8"/>
      <c r="L31" s="8"/>
      <c r="M31" s="8"/>
      <c r="N31" s="8"/>
      <c r="O31" s="53" t="b">
        <f t="shared" si="1"/>
        <v>1</v>
      </c>
    </row>
    <row r="32" spans="2:26" ht="30.4" customHeight="1" thickBot="1" x14ac:dyDescent="0.3">
      <c r="C32" s="51" t="s">
        <v>312</v>
      </c>
      <c r="D32" s="83" t="s">
        <v>909</v>
      </c>
      <c r="E32" s="8">
        <v>4</v>
      </c>
      <c r="F32" s="8">
        <v>1</v>
      </c>
      <c r="G32" s="8">
        <v>1</v>
      </c>
      <c r="H32" s="8">
        <v>1</v>
      </c>
      <c r="I32" s="8">
        <v>1</v>
      </c>
      <c r="J32" s="8"/>
      <c r="K32" s="8"/>
      <c r="L32" s="8"/>
      <c r="M32" s="8"/>
      <c r="N32" s="8"/>
      <c r="O32" s="53" t="b">
        <f t="shared" si="1"/>
        <v>1</v>
      </c>
    </row>
    <row r="33" spans="2:15" ht="30.4" customHeight="1" thickBot="1" x14ac:dyDescent="0.3">
      <c r="C33" s="51" t="s">
        <v>313</v>
      </c>
      <c r="D33" s="83" t="s">
        <v>910</v>
      </c>
      <c r="E33" s="8">
        <v>4</v>
      </c>
      <c r="F33" s="8">
        <v>2</v>
      </c>
      <c r="G33" s="8">
        <v>1</v>
      </c>
      <c r="H33" s="8">
        <v>1</v>
      </c>
      <c r="I33" s="8"/>
      <c r="J33" s="8"/>
      <c r="K33" s="8"/>
      <c r="L33" s="8"/>
      <c r="M33" s="8"/>
      <c r="N33" s="8"/>
      <c r="O33" s="53" t="b">
        <f t="shared" si="1"/>
        <v>1</v>
      </c>
    </row>
    <row r="34" spans="2:15" ht="30.4" customHeight="1" thickBot="1" x14ac:dyDescent="0.3">
      <c r="C34" s="51" t="s">
        <v>314</v>
      </c>
      <c r="D34" s="83" t="s">
        <v>911</v>
      </c>
      <c r="E34" s="8">
        <v>2</v>
      </c>
      <c r="F34" s="8"/>
      <c r="G34" s="8">
        <v>1</v>
      </c>
      <c r="H34" s="8">
        <v>1</v>
      </c>
      <c r="I34" s="8"/>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8</v>
      </c>
      <c r="G40" s="52">
        <f t="shared" si="2"/>
        <v>6</v>
      </c>
      <c r="H40" s="52">
        <f t="shared" si="2"/>
        <v>7</v>
      </c>
      <c r="I40" s="52">
        <f t="shared" si="2"/>
        <v>3</v>
      </c>
      <c r="J40" s="52">
        <f t="shared" si="2"/>
        <v>6</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0.27</v>
      </c>
      <c r="G41" s="54">
        <f>ROUND(G40/E40,2)</f>
        <v>0.2</v>
      </c>
      <c r="H41" s="54">
        <f>ROUND(H40/E40,2)</f>
        <v>0.23</v>
      </c>
      <c r="I41" s="54">
        <f>ROUND(I40/E40,2)</f>
        <v>0.1</v>
      </c>
      <c r="J41" s="54">
        <f>ROUND(J40/E40,2)</f>
        <v>0.2</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25</v>
      </c>
      <c r="I42" s="7">
        <v>10</v>
      </c>
      <c r="J42" s="7">
        <v>20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S2.1</v>
      </c>
      <c r="I46" s="59" t="str">
        <f>C15</f>
        <v>S3.1</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v>10</v>
      </c>
      <c r="G49" s="12"/>
      <c r="H49" s="12"/>
      <c r="I49" s="12"/>
      <c r="J49" s="12"/>
      <c r="K49" s="12"/>
      <c r="L49" s="12"/>
      <c r="M49" s="12"/>
      <c r="N49" s="55" t="b">
        <f t="shared" si="3"/>
        <v>1</v>
      </c>
    </row>
    <row r="50" spans="3:14" ht="55.15" customHeight="1" x14ac:dyDescent="0.25">
      <c r="C50" s="9" t="s">
        <v>331</v>
      </c>
      <c r="D50" s="10">
        <v>10</v>
      </c>
      <c r="E50" s="11"/>
      <c r="F50" s="12"/>
      <c r="G50" s="12"/>
      <c r="H50" s="12">
        <v>10</v>
      </c>
      <c r="I50" s="12"/>
      <c r="J50" s="12"/>
      <c r="K50" s="12"/>
      <c r="L50" s="12"/>
      <c r="M50" s="12"/>
      <c r="N50" s="55" t="b">
        <f t="shared" si="3"/>
        <v>1</v>
      </c>
    </row>
    <row r="51" spans="3:14" ht="55.15" customHeight="1" x14ac:dyDescent="0.25">
      <c r="C51" s="9" t="s">
        <v>332</v>
      </c>
      <c r="D51" s="10"/>
      <c r="E51" s="11"/>
      <c r="F51" s="12"/>
      <c r="G51" s="12"/>
      <c r="H51" s="12"/>
      <c r="I51" s="12"/>
      <c r="J51" s="12"/>
      <c r="K51" s="12"/>
      <c r="L51" s="12"/>
      <c r="M51" s="12"/>
      <c r="N51" s="55" t="b">
        <f t="shared" si="3"/>
        <v>1</v>
      </c>
    </row>
    <row r="52" spans="3:14" ht="55.15" customHeight="1" x14ac:dyDescent="0.25">
      <c r="C52" s="9" t="s">
        <v>504</v>
      </c>
      <c r="D52" s="10">
        <v>50</v>
      </c>
      <c r="E52" s="11">
        <v>10</v>
      </c>
      <c r="F52" s="12"/>
      <c r="G52" s="12">
        <v>20</v>
      </c>
      <c r="H52" s="12"/>
      <c r="I52" s="12">
        <v>20</v>
      </c>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25</v>
      </c>
      <c r="H56" s="65">
        <f t="shared" si="5"/>
        <v>10</v>
      </c>
      <c r="I56" s="65">
        <f t="shared" si="5"/>
        <v>20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2:E42"/>
    <mergeCell ref="E44:M44"/>
    <mergeCell ref="E45:M45"/>
    <mergeCell ref="F24:N24"/>
    <mergeCell ref="H9:J9"/>
    <mergeCell ref="D2:J5"/>
    <mergeCell ref="B6:C7"/>
    <mergeCell ref="C10:D10"/>
    <mergeCell ref="C40:D40"/>
    <mergeCell ref="C41:E41"/>
  </mergeCells>
  <conditionalFormatting sqref="D47:D54">
    <cfRule type="containsBlanks" dxfId="859" priority="11">
      <formula>LEN(TRIM(D47))=0</formula>
    </cfRule>
    <cfRule type="cellIs" dxfId="858" priority="12" operator="equal">
      <formula>0</formula>
    </cfRule>
  </conditionalFormatting>
  <conditionalFormatting sqref="E50">
    <cfRule type="containsBlanks" dxfId="857" priority="21">
      <formula>LEN(TRIM(E50))=0</formula>
    </cfRule>
    <cfRule type="cellIs" dxfId="856" priority="22" operator="equal">
      <formula>0</formula>
    </cfRule>
  </conditionalFormatting>
  <conditionalFormatting sqref="E47:M51 E52">
    <cfRule type="containsBlanks" dxfId="855" priority="17">
      <formula>LEN(TRIM(E47))=0</formula>
    </cfRule>
    <cfRule type="cellIs" dxfId="854" priority="18" operator="equal">
      <formula>0</formula>
    </cfRule>
  </conditionalFormatting>
  <conditionalFormatting sqref="E53:M54">
    <cfRule type="containsBlanks" dxfId="853" priority="15">
      <formula>LEN(TRIM(E53))=0</formula>
    </cfRule>
    <cfRule type="cellIs" dxfId="852" priority="16" operator="equal">
      <formula>0</formula>
    </cfRule>
  </conditionalFormatting>
  <conditionalFormatting sqref="E55:M55">
    <cfRule type="containsText" dxfId="851" priority="5" operator="containsText" text="false">
      <formula>NOT(ISERROR(SEARCH("false",E55)))</formula>
    </cfRule>
    <cfRule type="containsText" dxfId="850" priority="6" operator="containsText" text="true">
      <formula>NOT(ISERROR(SEARCH("true",E55)))</formula>
    </cfRule>
  </conditionalFormatting>
  <conditionalFormatting sqref="E26:N39">
    <cfRule type="containsBlanks" dxfId="849" priority="3">
      <formula>LEN(TRIM(E26))=0</formula>
    </cfRule>
    <cfRule type="cellIs" dxfId="848" priority="4" operator="equal">
      <formula>0</formula>
    </cfRule>
  </conditionalFormatting>
  <conditionalFormatting sqref="F48:M48">
    <cfRule type="containsBlanks" dxfId="847" priority="23">
      <formula>LEN(TRIM(F48))=0</formula>
    </cfRule>
    <cfRule type="cellIs" dxfId="846" priority="24" operator="equal">
      <formula>0</formula>
    </cfRule>
  </conditionalFormatting>
  <conditionalFormatting sqref="F50:M52">
    <cfRule type="containsBlanks" dxfId="845" priority="19">
      <formula>LEN(TRIM(F50))=0</formula>
    </cfRule>
    <cfRule type="cellIs" dxfId="844" priority="20" operator="equal">
      <formula>0</formula>
    </cfRule>
  </conditionalFormatting>
  <conditionalFormatting sqref="N47:N54">
    <cfRule type="containsText" dxfId="843" priority="7" operator="containsText" text="false">
      <formula>NOT(ISERROR(SEARCH("false",N47)))</formula>
    </cfRule>
    <cfRule type="containsText" dxfId="842" priority="8" operator="containsText" text="true">
      <formula>NOT(ISERROR(SEARCH("true",N47)))</formula>
    </cfRule>
  </conditionalFormatting>
  <conditionalFormatting sqref="N55">
    <cfRule type="containsBlanks" dxfId="841" priority="13">
      <formula>LEN(TRIM(N55))=0</formula>
    </cfRule>
    <cfRule type="cellIs" dxfId="840" priority="14" operator="equal">
      <formula>0</formula>
    </cfRule>
  </conditionalFormatting>
  <conditionalFormatting sqref="O26:O40">
    <cfRule type="containsText" dxfId="839" priority="9" operator="containsText" text="false">
      <formula>NOT(ISERROR(SEARCH("false",O26)))</formula>
    </cfRule>
    <cfRule type="containsText" dxfId="838" priority="10" operator="containsText" text="true">
      <formula>NOT(ISERROR(SEARCH("true",O26)))</formula>
    </cfRule>
  </conditionalFormatting>
  <conditionalFormatting sqref="O42">
    <cfRule type="cellIs" dxfId="837" priority="1" operator="notEqual">
      <formula>100</formula>
    </cfRule>
    <cfRule type="cellIs" dxfId="836" priority="2" operator="equal">
      <formula>100</formula>
    </cfRule>
  </conditionalFormatting>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2:AB57"/>
  <sheetViews>
    <sheetView zoomScale="50" zoomScaleNormal="50" workbookViewId="0">
      <selection activeCell="C15" sqref="C15"/>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204</v>
      </c>
      <c r="J6" s="43" t="s">
        <v>278</v>
      </c>
      <c r="K6" s="1" t="s">
        <v>90</v>
      </c>
    </row>
    <row r="7" spans="2:26" ht="72.599999999999994" customHeight="1" thickBot="1" x14ac:dyDescent="0.3">
      <c r="B7" s="160"/>
      <c r="C7" s="161"/>
      <c r="D7" s="43" t="s">
        <v>279</v>
      </c>
      <c r="E7" s="1">
        <v>3</v>
      </c>
      <c r="F7" s="43" t="s">
        <v>280</v>
      </c>
      <c r="G7" s="1">
        <v>6</v>
      </c>
      <c r="H7" s="43" t="s">
        <v>281</v>
      </c>
      <c r="I7" s="1">
        <v>2</v>
      </c>
      <c r="J7" s="43" t="s">
        <v>283</v>
      </c>
      <c r="K7" s="1" t="s">
        <v>1666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79.5" customHeight="1" x14ac:dyDescent="0.25">
      <c r="B11" s="36"/>
      <c r="C11" s="129" t="s">
        <v>560</v>
      </c>
      <c r="D11" s="130" t="s">
        <v>913</v>
      </c>
      <c r="E11" s="129" t="s">
        <v>13</v>
      </c>
      <c r="F11" s="131"/>
      <c r="G11" s="132"/>
      <c r="H11" s="132">
        <v>0.6</v>
      </c>
      <c r="I11" s="132">
        <v>1</v>
      </c>
      <c r="J11" s="133" t="s">
        <v>1592</v>
      </c>
      <c r="K11" s="133" t="s">
        <v>516</v>
      </c>
      <c r="U11" s="3">
        <f>F11</f>
        <v>0</v>
      </c>
      <c r="V11" s="2" t="str">
        <f t="shared" ref="V11:V19" si="0">C11</f>
        <v>K3.1</v>
      </c>
      <c r="W11" s="2"/>
      <c r="X11" s="17"/>
      <c r="Y11" s="37"/>
      <c r="Z11" s="37"/>
    </row>
    <row r="12" spans="2:26" ht="102" customHeight="1" x14ac:dyDescent="0.25">
      <c r="B12" s="36"/>
      <c r="C12" s="5" t="s">
        <v>342</v>
      </c>
      <c r="D12" s="79" t="s">
        <v>914</v>
      </c>
      <c r="E12" s="5" t="s">
        <v>22</v>
      </c>
      <c r="F12" s="6"/>
      <c r="G12" s="4"/>
      <c r="H12" s="17">
        <v>0.6</v>
      </c>
      <c r="I12" s="17">
        <v>1</v>
      </c>
      <c r="J12" s="80" t="s">
        <v>915</v>
      </c>
      <c r="K12" s="80" t="s">
        <v>818</v>
      </c>
      <c r="U12" s="6">
        <f>F12</f>
        <v>0</v>
      </c>
      <c r="V12" s="2" t="str">
        <f t="shared" si="0"/>
        <v>S2.1</v>
      </c>
      <c r="W12" s="5"/>
      <c r="X12" s="4"/>
      <c r="Y12" s="38"/>
      <c r="Z12" s="38"/>
    </row>
    <row r="13" spans="2:26" ht="58.9" customHeight="1" x14ac:dyDescent="0.25">
      <c r="B13" s="36"/>
      <c r="C13" s="134" t="s">
        <v>752</v>
      </c>
      <c r="D13" s="135" t="s">
        <v>1668</v>
      </c>
      <c r="E13" s="134" t="s">
        <v>35</v>
      </c>
      <c r="F13" s="136"/>
      <c r="G13" s="137"/>
      <c r="H13" s="132">
        <v>0.6</v>
      </c>
      <c r="I13" s="132">
        <v>1</v>
      </c>
      <c r="J13" s="138" t="s">
        <v>1593</v>
      </c>
      <c r="K13" s="138" t="s">
        <v>818</v>
      </c>
      <c r="U13" s="6">
        <f>F13</f>
        <v>0</v>
      </c>
      <c r="V13" s="2" t="str">
        <f t="shared" si="0"/>
        <v>S4.1</v>
      </c>
      <c r="W13" s="5"/>
      <c r="X13" s="4"/>
      <c r="Y13" s="38"/>
      <c r="Z13" s="38"/>
    </row>
    <row r="14" spans="2:26" ht="58.9" customHeight="1" x14ac:dyDescent="0.25">
      <c r="B14" s="36"/>
      <c r="C14" s="134" t="s">
        <v>445</v>
      </c>
      <c r="D14" s="135" t="s">
        <v>916</v>
      </c>
      <c r="E14" s="134" t="s">
        <v>31</v>
      </c>
      <c r="F14" s="136"/>
      <c r="G14" s="137"/>
      <c r="H14" s="132">
        <v>0.6</v>
      </c>
      <c r="I14" s="132">
        <v>1</v>
      </c>
      <c r="J14" s="138" t="s">
        <v>1594</v>
      </c>
      <c r="K14" s="138" t="s">
        <v>818</v>
      </c>
      <c r="U14" s="6">
        <f>F14</f>
        <v>0</v>
      </c>
      <c r="V14" s="2" t="str">
        <f t="shared" si="0"/>
        <v>S7.1</v>
      </c>
      <c r="W14" s="5"/>
      <c r="X14" s="4"/>
      <c r="Y14" s="38"/>
      <c r="Z14" s="38"/>
    </row>
    <row r="15" spans="2:26" ht="58.9" customHeight="1" x14ac:dyDescent="0.25">
      <c r="B15" s="36"/>
      <c r="C15" s="134" t="s">
        <v>567</v>
      </c>
      <c r="D15" s="135" t="s">
        <v>917</v>
      </c>
      <c r="E15" s="134" t="s">
        <v>48</v>
      </c>
      <c r="F15" s="136"/>
      <c r="G15" s="137"/>
      <c r="H15" s="132">
        <v>0.6</v>
      </c>
      <c r="I15" s="132">
        <v>1</v>
      </c>
      <c r="J15" s="138" t="s">
        <v>1595</v>
      </c>
      <c r="K15" s="138" t="s">
        <v>1665</v>
      </c>
      <c r="U15" s="6">
        <f>F15</f>
        <v>0</v>
      </c>
      <c r="V15" s="2" t="str">
        <f t="shared" si="0"/>
        <v>V2.1</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K3.1</v>
      </c>
      <c r="G25" s="49" t="str">
        <f>C12</f>
        <v>S2.1</v>
      </c>
      <c r="H25" s="49" t="str">
        <f>C13</f>
        <v>S4.1</v>
      </c>
      <c r="I25" s="49" t="str">
        <f>C14</f>
        <v>S7.1</v>
      </c>
      <c r="J25" s="49" t="str">
        <f>C15</f>
        <v>V2.1</v>
      </c>
      <c r="K25" s="49">
        <f>C16</f>
        <v>0</v>
      </c>
      <c r="L25" s="49">
        <f>C17</f>
        <v>0</v>
      </c>
      <c r="M25" s="49">
        <f>C18</f>
        <v>0</v>
      </c>
      <c r="N25" s="49">
        <f>C19</f>
        <v>0</v>
      </c>
      <c r="O25" s="50" t="s">
        <v>305</v>
      </c>
    </row>
    <row r="26" spans="2:26" ht="30.4" customHeight="1" thickBot="1" x14ac:dyDescent="0.3">
      <c r="C26" s="51" t="s">
        <v>306</v>
      </c>
      <c r="D26" s="83" t="s">
        <v>918</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919</v>
      </c>
      <c r="E27" s="8">
        <v>2</v>
      </c>
      <c r="F27" s="8">
        <v>1</v>
      </c>
      <c r="G27" s="8">
        <v>1</v>
      </c>
      <c r="H27" s="8"/>
      <c r="I27" s="8"/>
      <c r="J27" s="8"/>
      <c r="K27" s="8"/>
      <c r="L27" s="8"/>
      <c r="M27" s="8"/>
      <c r="N27" s="8"/>
      <c r="O27" s="53" t="b">
        <f t="shared" si="1"/>
        <v>1</v>
      </c>
    </row>
    <row r="28" spans="2:26" ht="30.4" customHeight="1" thickBot="1" x14ac:dyDescent="0.3">
      <c r="C28" s="51" t="s">
        <v>308</v>
      </c>
      <c r="D28" s="83" t="s">
        <v>920</v>
      </c>
      <c r="E28" s="8">
        <v>4</v>
      </c>
      <c r="F28" s="8">
        <v>2</v>
      </c>
      <c r="G28" s="8">
        <v>1</v>
      </c>
      <c r="H28" s="8"/>
      <c r="I28" s="8">
        <v>1</v>
      </c>
      <c r="J28" s="8"/>
      <c r="K28" s="8"/>
      <c r="L28" s="8"/>
      <c r="M28" s="8"/>
      <c r="N28" s="8"/>
      <c r="O28" s="53" t="b">
        <f t="shared" si="1"/>
        <v>1</v>
      </c>
    </row>
    <row r="29" spans="2:26" ht="30.4" customHeight="1" thickBot="1" x14ac:dyDescent="0.3">
      <c r="C29" s="51" t="s">
        <v>309</v>
      </c>
      <c r="D29" s="83" t="s">
        <v>921</v>
      </c>
      <c r="E29" s="8">
        <v>2</v>
      </c>
      <c r="F29" s="8"/>
      <c r="G29" s="8">
        <v>1</v>
      </c>
      <c r="H29" s="8"/>
      <c r="I29" s="8">
        <v>1</v>
      </c>
      <c r="J29" s="8"/>
      <c r="K29" s="8"/>
      <c r="L29" s="8"/>
      <c r="M29" s="8"/>
      <c r="N29" s="8"/>
      <c r="O29" s="53" t="b">
        <f t="shared" si="1"/>
        <v>1</v>
      </c>
    </row>
    <row r="30" spans="2:26" ht="30.4" customHeight="1" thickBot="1" x14ac:dyDescent="0.3">
      <c r="C30" s="51" t="s">
        <v>310</v>
      </c>
      <c r="D30" s="83" t="s">
        <v>922</v>
      </c>
      <c r="E30" s="8">
        <v>2</v>
      </c>
      <c r="F30" s="8">
        <v>1</v>
      </c>
      <c r="G30" s="8"/>
      <c r="H30" s="8">
        <v>1</v>
      </c>
      <c r="I30" s="8"/>
      <c r="J30" s="8"/>
      <c r="K30" s="8"/>
      <c r="L30" s="8"/>
      <c r="M30" s="8"/>
      <c r="N30" s="8"/>
      <c r="O30" s="53" t="b">
        <f t="shared" si="1"/>
        <v>1</v>
      </c>
    </row>
    <row r="31" spans="2:26" ht="30.4" customHeight="1" thickBot="1" x14ac:dyDescent="0.3">
      <c r="C31" s="51" t="s">
        <v>311</v>
      </c>
      <c r="D31" s="83" t="s">
        <v>923</v>
      </c>
      <c r="E31" s="8">
        <v>4</v>
      </c>
      <c r="F31" s="8">
        <v>1</v>
      </c>
      <c r="G31" s="8">
        <v>1</v>
      </c>
      <c r="H31" s="8">
        <v>1</v>
      </c>
      <c r="I31" s="8">
        <v>1</v>
      </c>
      <c r="J31" s="8"/>
      <c r="K31" s="8"/>
      <c r="L31" s="8"/>
      <c r="M31" s="8"/>
      <c r="N31" s="8"/>
      <c r="O31" s="53" t="b">
        <f t="shared" si="1"/>
        <v>1</v>
      </c>
    </row>
    <row r="32" spans="2:26" ht="30.4" customHeight="1" thickBot="1" x14ac:dyDescent="0.3">
      <c r="C32" s="51" t="s">
        <v>312</v>
      </c>
      <c r="D32" s="83" t="s">
        <v>924</v>
      </c>
      <c r="E32" s="8">
        <v>2</v>
      </c>
      <c r="F32" s="8"/>
      <c r="G32" s="8">
        <v>1</v>
      </c>
      <c r="H32" s="8">
        <v>1</v>
      </c>
      <c r="I32" s="8"/>
      <c r="J32" s="8"/>
      <c r="K32" s="8"/>
      <c r="L32" s="8"/>
      <c r="M32" s="8"/>
      <c r="N32" s="8"/>
      <c r="O32" s="53" t="b">
        <f t="shared" si="1"/>
        <v>1</v>
      </c>
    </row>
    <row r="33" spans="2:15" ht="30.4" customHeight="1" thickBot="1" x14ac:dyDescent="0.3">
      <c r="C33" s="51" t="s">
        <v>313</v>
      </c>
      <c r="D33" s="83" t="s">
        <v>925</v>
      </c>
      <c r="E33" s="8">
        <v>2</v>
      </c>
      <c r="F33" s="8"/>
      <c r="G33" s="8"/>
      <c r="H33" s="8">
        <v>1</v>
      </c>
      <c r="I33" s="8">
        <v>1</v>
      </c>
      <c r="J33" s="8"/>
      <c r="K33" s="8"/>
      <c r="L33" s="8"/>
      <c r="M33" s="8"/>
      <c r="N33" s="8"/>
      <c r="O33" s="53" t="b">
        <f t="shared" si="1"/>
        <v>1</v>
      </c>
    </row>
    <row r="34" spans="2:15" ht="30.4" customHeight="1" thickBot="1" x14ac:dyDescent="0.3">
      <c r="C34" s="51" t="s">
        <v>314</v>
      </c>
      <c r="D34" s="83" t="s">
        <v>926</v>
      </c>
      <c r="E34" s="8">
        <v>2</v>
      </c>
      <c r="F34" s="8"/>
      <c r="G34" s="8"/>
      <c r="H34" s="8">
        <v>1</v>
      </c>
      <c r="I34" s="8">
        <v>1</v>
      </c>
      <c r="J34" s="8"/>
      <c r="K34" s="8"/>
      <c r="L34" s="8"/>
      <c r="M34" s="8"/>
      <c r="N34" s="8"/>
      <c r="O34" s="53" t="b">
        <f t="shared" si="1"/>
        <v>1</v>
      </c>
    </row>
    <row r="35" spans="2:15" ht="30.4" customHeight="1" thickBot="1" x14ac:dyDescent="0.3">
      <c r="C35" s="51" t="s">
        <v>315</v>
      </c>
      <c r="D35" s="83" t="s">
        <v>927</v>
      </c>
      <c r="E35" s="8">
        <v>2</v>
      </c>
      <c r="F35" s="8"/>
      <c r="G35" s="8"/>
      <c r="H35" s="8">
        <v>1</v>
      </c>
      <c r="I35" s="8">
        <v>1</v>
      </c>
      <c r="J35" s="8"/>
      <c r="K35" s="8"/>
      <c r="L35" s="8"/>
      <c r="M35" s="8"/>
      <c r="N35" s="8"/>
      <c r="O35" s="53" t="b">
        <f t="shared" si="1"/>
        <v>1</v>
      </c>
    </row>
    <row r="36" spans="2:15" ht="30.4" customHeight="1" thickBot="1" x14ac:dyDescent="0.3">
      <c r="C36" s="51" t="s">
        <v>316</v>
      </c>
      <c r="D36" s="83" t="s">
        <v>928</v>
      </c>
      <c r="E36" s="8">
        <v>2</v>
      </c>
      <c r="F36" s="8"/>
      <c r="G36" s="8"/>
      <c r="H36" s="8"/>
      <c r="I36" s="8"/>
      <c r="J36" s="8">
        <v>2</v>
      </c>
      <c r="K36" s="8"/>
      <c r="L36" s="8"/>
      <c r="M36" s="8"/>
      <c r="N36" s="8"/>
      <c r="O36" s="53" t="b">
        <f t="shared" si="1"/>
        <v>1</v>
      </c>
    </row>
    <row r="37" spans="2:15" ht="30.4" customHeight="1" thickBot="1" x14ac:dyDescent="0.3">
      <c r="C37" s="51" t="s">
        <v>317</v>
      </c>
      <c r="D37" s="83" t="s">
        <v>929</v>
      </c>
      <c r="E37" s="8">
        <v>2</v>
      </c>
      <c r="F37" s="8"/>
      <c r="G37" s="8"/>
      <c r="H37" s="8">
        <v>1</v>
      </c>
      <c r="I37" s="8"/>
      <c r="J37" s="8">
        <v>1</v>
      </c>
      <c r="K37" s="8"/>
      <c r="L37" s="8"/>
      <c r="M37" s="8"/>
      <c r="N37" s="8"/>
      <c r="O37" s="53" t="b">
        <f t="shared" si="1"/>
        <v>1</v>
      </c>
    </row>
    <row r="38" spans="2:15" ht="30.4" customHeight="1" thickBot="1" x14ac:dyDescent="0.3">
      <c r="C38" s="51" t="s">
        <v>318</v>
      </c>
      <c r="D38" s="83" t="s">
        <v>930</v>
      </c>
      <c r="E38" s="8">
        <v>2</v>
      </c>
      <c r="F38" s="8"/>
      <c r="G38" s="8"/>
      <c r="H38" s="8">
        <v>1</v>
      </c>
      <c r="I38" s="8">
        <v>1</v>
      </c>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6</v>
      </c>
      <c r="G40" s="52">
        <f t="shared" si="2"/>
        <v>6</v>
      </c>
      <c r="H40" s="52">
        <f t="shared" si="2"/>
        <v>8</v>
      </c>
      <c r="I40" s="52">
        <f t="shared" si="2"/>
        <v>7</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v>
      </c>
      <c r="G41" s="54">
        <f>ROUND(G40/E40,2)</f>
        <v>0.2</v>
      </c>
      <c r="H41" s="54">
        <f>ROUND(H40/E40,2)</f>
        <v>0.27</v>
      </c>
      <c r="I41" s="54">
        <f>ROUND(I40/E40,2)</f>
        <v>0.23</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7">
        <v>20</v>
      </c>
      <c r="G42" s="7">
        <v>20</v>
      </c>
      <c r="H42" s="7">
        <v>25</v>
      </c>
      <c r="I42" s="7">
        <v>25</v>
      </c>
      <c r="J42" s="7">
        <v>10</v>
      </c>
      <c r="K42" s="7">
        <v>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K3.1</v>
      </c>
      <c r="F46" s="59" t="str">
        <f>C12</f>
        <v>S2.1</v>
      </c>
      <c r="G46" s="59" t="str">
        <f>C13</f>
        <v>S4.1</v>
      </c>
      <c r="H46" s="59" t="str">
        <f>C14</f>
        <v>S7.1</v>
      </c>
      <c r="I46" s="59" t="str">
        <f>C15</f>
        <v>V2.1</v>
      </c>
      <c r="J46" s="59">
        <f>C16</f>
        <v>0</v>
      </c>
      <c r="K46" s="59">
        <f>C17</f>
        <v>0</v>
      </c>
      <c r="L46" s="59">
        <f>C18</f>
        <v>0</v>
      </c>
      <c r="M46" s="59">
        <f>C19</f>
        <v>0</v>
      </c>
      <c r="N46" s="60" t="s">
        <v>327</v>
      </c>
    </row>
    <row r="47" spans="2:15" ht="55.15" customHeight="1" x14ac:dyDescent="0.25">
      <c r="C47" s="9" t="s">
        <v>328</v>
      </c>
      <c r="D47" s="10"/>
      <c r="E47" s="8"/>
      <c r="F47" s="8"/>
      <c r="G47" s="8"/>
      <c r="H47" s="8"/>
      <c r="I47" s="8"/>
      <c r="J47" s="8"/>
      <c r="K47" s="8"/>
      <c r="L47" s="8"/>
      <c r="M47" s="8"/>
      <c r="N47" s="55" t="b">
        <f t="shared" ref="N47:N54" si="3">IF(SUM(E47:M47)=D47,TRUE,"false")</f>
        <v>1</v>
      </c>
    </row>
    <row r="48" spans="2:15" ht="55.15" customHeight="1" x14ac:dyDescent="0.25">
      <c r="C48" s="9" t="s">
        <v>329</v>
      </c>
      <c r="D48" s="10">
        <v>10</v>
      </c>
      <c r="E48" s="11">
        <v>10</v>
      </c>
      <c r="F48" s="12"/>
      <c r="G48" s="12"/>
      <c r="H48" s="12"/>
      <c r="I48" s="12"/>
      <c r="J48" s="12"/>
      <c r="K48" s="12"/>
      <c r="L48" s="12"/>
      <c r="M48" s="12"/>
      <c r="N48" s="55" t="b">
        <f t="shared" si="3"/>
        <v>1</v>
      </c>
    </row>
    <row r="49" spans="3:14" ht="55.15" customHeight="1" x14ac:dyDescent="0.25">
      <c r="C49" s="9" t="s">
        <v>330</v>
      </c>
      <c r="D49" s="10">
        <v>10</v>
      </c>
      <c r="E49" s="11">
        <v>10</v>
      </c>
      <c r="F49" s="12"/>
      <c r="G49" s="12"/>
      <c r="H49" s="12"/>
      <c r="I49" s="12"/>
      <c r="J49" s="12"/>
      <c r="K49" s="12"/>
      <c r="L49" s="12"/>
      <c r="M49" s="12"/>
      <c r="N49" s="55" t="b">
        <f t="shared" si="3"/>
        <v>1</v>
      </c>
    </row>
    <row r="50" spans="3:14" ht="55.15" customHeight="1" x14ac:dyDescent="0.25">
      <c r="C50" s="9" t="s">
        <v>1667</v>
      </c>
      <c r="D50" s="10">
        <v>20</v>
      </c>
      <c r="E50" s="11"/>
      <c r="F50" s="12"/>
      <c r="G50" s="12">
        <v>15</v>
      </c>
      <c r="H50" s="12">
        <v>5</v>
      </c>
      <c r="I50" s="12"/>
      <c r="J50" s="12"/>
      <c r="K50" s="12"/>
      <c r="L50" s="12"/>
      <c r="M50" s="12"/>
      <c r="N50" s="55" t="b">
        <f t="shared" si="3"/>
        <v>1</v>
      </c>
    </row>
    <row r="51" spans="3:14" ht="55.15" customHeight="1" x14ac:dyDescent="0.25">
      <c r="C51" s="9" t="s">
        <v>607</v>
      </c>
      <c r="D51" s="10">
        <v>10</v>
      </c>
      <c r="E51" s="11"/>
      <c r="F51" s="12"/>
      <c r="G51" s="12"/>
      <c r="H51" s="12"/>
      <c r="I51" s="12">
        <v>10</v>
      </c>
      <c r="J51" s="12"/>
      <c r="K51" s="12"/>
      <c r="L51" s="12"/>
      <c r="M51" s="12"/>
      <c r="N51" s="55" t="b">
        <f t="shared" si="3"/>
        <v>1</v>
      </c>
    </row>
    <row r="52" spans="3:14" ht="55.15" customHeight="1" x14ac:dyDescent="0.25">
      <c r="C52" s="9" t="s">
        <v>932</v>
      </c>
      <c r="D52" s="10">
        <v>50</v>
      </c>
      <c r="E52" s="11"/>
      <c r="F52" s="12">
        <v>20</v>
      </c>
      <c r="G52" s="12">
        <v>10</v>
      </c>
      <c r="H52" s="12">
        <v>20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20</v>
      </c>
      <c r="F56" s="65">
        <f t="shared" si="5"/>
        <v>20</v>
      </c>
      <c r="G56" s="65">
        <f t="shared" si="5"/>
        <v>25</v>
      </c>
      <c r="H56" s="65">
        <f t="shared" si="5"/>
        <v>25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835" priority="11">
      <formula>LEN(TRIM(D47))=0</formula>
    </cfRule>
    <cfRule type="cellIs" dxfId="834" priority="12" operator="equal">
      <formula>0</formula>
    </cfRule>
  </conditionalFormatting>
  <conditionalFormatting sqref="E50">
    <cfRule type="containsBlanks" dxfId="833" priority="21">
      <formula>LEN(TRIM(E50))=0</formula>
    </cfRule>
    <cfRule type="cellIs" dxfId="832" priority="22" operator="equal">
      <formula>0</formula>
    </cfRule>
  </conditionalFormatting>
  <conditionalFormatting sqref="E47:M51 E52">
    <cfRule type="containsBlanks" dxfId="831" priority="17">
      <formula>LEN(TRIM(E47))=0</formula>
    </cfRule>
    <cfRule type="cellIs" dxfId="830" priority="18" operator="equal">
      <formula>0</formula>
    </cfRule>
  </conditionalFormatting>
  <conditionalFormatting sqref="E53:M54">
    <cfRule type="containsBlanks" dxfId="829" priority="15">
      <formula>LEN(TRIM(E53))=0</formula>
    </cfRule>
    <cfRule type="cellIs" dxfId="828" priority="16" operator="equal">
      <formula>0</formula>
    </cfRule>
  </conditionalFormatting>
  <conditionalFormatting sqref="E55:M55">
    <cfRule type="containsText" dxfId="827" priority="5" operator="containsText" text="false">
      <formula>NOT(ISERROR(SEARCH("false",E55)))</formula>
    </cfRule>
    <cfRule type="containsText" dxfId="826" priority="6" operator="containsText" text="true">
      <formula>NOT(ISERROR(SEARCH("true",E55)))</formula>
    </cfRule>
  </conditionalFormatting>
  <conditionalFormatting sqref="E26:N39">
    <cfRule type="containsBlanks" dxfId="825" priority="3">
      <formula>LEN(TRIM(E26))=0</formula>
    </cfRule>
    <cfRule type="cellIs" dxfId="824" priority="4" operator="equal">
      <formula>0</formula>
    </cfRule>
  </conditionalFormatting>
  <conditionalFormatting sqref="F48:M48">
    <cfRule type="containsBlanks" dxfId="823" priority="23">
      <formula>LEN(TRIM(F48))=0</formula>
    </cfRule>
    <cfRule type="cellIs" dxfId="822" priority="24" operator="equal">
      <formula>0</formula>
    </cfRule>
  </conditionalFormatting>
  <conditionalFormatting sqref="F50:M52">
    <cfRule type="containsBlanks" dxfId="821" priority="19">
      <formula>LEN(TRIM(F50))=0</formula>
    </cfRule>
    <cfRule type="cellIs" dxfId="820" priority="20" operator="equal">
      <formula>0</formula>
    </cfRule>
  </conditionalFormatting>
  <conditionalFormatting sqref="N47:N54">
    <cfRule type="containsText" dxfId="819" priority="7" operator="containsText" text="false">
      <formula>NOT(ISERROR(SEARCH("false",N47)))</formula>
    </cfRule>
    <cfRule type="containsText" dxfId="818" priority="8" operator="containsText" text="true">
      <formula>NOT(ISERROR(SEARCH("true",N47)))</formula>
    </cfRule>
  </conditionalFormatting>
  <conditionalFormatting sqref="N55">
    <cfRule type="containsBlanks" dxfId="817" priority="13">
      <formula>LEN(TRIM(N55))=0</formula>
    </cfRule>
    <cfRule type="cellIs" dxfId="816" priority="14" operator="equal">
      <formula>0</formula>
    </cfRule>
  </conditionalFormatting>
  <conditionalFormatting sqref="O26:O40">
    <cfRule type="containsText" dxfId="815" priority="9" operator="containsText" text="false">
      <formula>NOT(ISERROR(SEARCH("false",O26)))</formula>
    </cfRule>
    <cfRule type="containsText" dxfId="814" priority="10" operator="containsText" text="true">
      <formula>NOT(ISERROR(SEARCH("true",O26)))</formula>
    </cfRule>
  </conditionalFormatting>
  <conditionalFormatting sqref="O42">
    <cfRule type="cellIs" dxfId="813" priority="1" operator="notEqual">
      <formula>100</formula>
    </cfRule>
    <cfRule type="cellIs" dxfId="812" priority="2" operator="equal">
      <formula>100</formula>
    </cfRule>
  </conditionalFormatting>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2:AB57"/>
  <sheetViews>
    <sheetView topLeftCell="A6" zoomScale="50" zoomScaleNormal="50" workbookViewId="0">
      <selection activeCell="D17" sqref="D1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2.28515625" style="19" customWidth="1"/>
    <col min="8" max="8" width="20.7109375" style="19" bestFit="1" customWidth="1"/>
    <col min="9" max="9" width="30.855468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206</v>
      </c>
      <c r="J6" s="43" t="s">
        <v>278</v>
      </c>
      <c r="K6" s="1" t="s">
        <v>91</v>
      </c>
    </row>
    <row r="7" spans="2:26" ht="72.599999999999994" customHeight="1" thickBot="1" x14ac:dyDescent="0.3">
      <c r="B7" s="160"/>
      <c r="C7" s="161"/>
      <c r="D7" s="43" t="s">
        <v>279</v>
      </c>
      <c r="E7" s="1">
        <v>3</v>
      </c>
      <c r="F7" s="43" t="s">
        <v>280</v>
      </c>
      <c r="G7" s="1">
        <v>6</v>
      </c>
      <c r="H7" s="43" t="s">
        <v>281</v>
      </c>
      <c r="I7" s="1">
        <v>2</v>
      </c>
      <c r="J7" s="43" t="s">
        <v>283</v>
      </c>
      <c r="K7" s="1" t="s">
        <v>895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2" t="s">
        <v>297</v>
      </c>
      <c r="D11" s="78" t="s">
        <v>896</v>
      </c>
      <c r="E11" s="2" t="s">
        <v>7</v>
      </c>
      <c r="F11" s="3"/>
      <c r="G11" s="17"/>
      <c r="H11" s="17">
        <v>0.6</v>
      </c>
      <c r="I11" s="17">
        <v>1</v>
      </c>
      <c r="J11" s="80" t="s">
        <v>790</v>
      </c>
      <c r="K11" s="80" t="s">
        <v>643</v>
      </c>
      <c r="U11" s="3">
        <f>F11</f>
        <v>0</v>
      </c>
      <c r="V11" s="2" t="str">
        <f t="shared" ref="V11:V19" si="0">C11</f>
        <v>K1.1</v>
      </c>
      <c r="W11" s="2"/>
      <c r="X11" s="17"/>
      <c r="Y11" s="37"/>
      <c r="Z11" s="37"/>
    </row>
    <row r="12" spans="2:26" ht="172.5" customHeight="1" x14ac:dyDescent="0.25">
      <c r="B12" s="36"/>
      <c r="C12" s="5" t="s">
        <v>298</v>
      </c>
      <c r="D12" s="79" t="s">
        <v>897</v>
      </c>
      <c r="E12" s="5" t="s">
        <v>7</v>
      </c>
      <c r="F12" s="6"/>
      <c r="G12" s="4"/>
      <c r="H12" s="17">
        <v>0.6</v>
      </c>
      <c r="I12" s="17">
        <v>1</v>
      </c>
      <c r="J12" s="80" t="s">
        <v>790</v>
      </c>
      <c r="K12" s="80" t="s">
        <v>747</v>
      </c>
      <c r="U12" s="6">
        <f>F12</f>
        <v>0</v>
      </c>
      <c r="V12" s="2" t="str">
        <f t="shared" si="0"/>
        <v>K1.2</v>
      </c>
      <c r="W12" s="5"/>
      <c r="X12" s="4"/>
      <c r="Y12" s="38"/>
      <c r="Z12" s="38"/>
    </row>
    <row r="13" spans="2:26" ht="87" customHeight="1" x14ac:dyDescent="0.25">
      <c r="B13" s="36"/>
      <c r="C13" s="5" t="s">
        <v>644</v>
      </c>
      <c r="D13" s="79" t="s">
        <v>898</v>
      </c>
      <c r="E13" s="5" t="s">
        <v>18</v>
      </c>
      <c r="F13" s="6"/>
      <c r="G13" s="4"/>
      <c r="H13" s="17">
        <v>0.6</v>
      </c>
      <c r="I13" s="17">
        <v>1</v>
      </c>
      <c r="J13" s="81" t="s">
        <v>899</v>
      </c>
      <c r="K13" s="81" t="s">
        <v>900</v>
      </c>
      <c r="U13" s="6">
        <f>F13</f>
        <v>0</v>
      </c>
      <c r="V13" s="2" t="str">
        <f t="shared" si="0"/>
        <v>S1.1</v>
      </c>
      <c r="W13" s="5"/>
      <c r="X13" s="4"/>
      <c r="Y13" s="38"/>
      <c r="Z13" s="38"/>
    </row>
    <row r="14" spans="2:26" ht="58.9" customHeight="1" x14ac:dyDescent="0.25">
      <c r="B14" s="36"/>
      <c r="C14" s="5" t="s">
        <v>342</v>
      </c>
      <c r="D14" s="79" t="s">
        <v>901</v>
      </c>
      <c r="E14" s="5" t="s">
        <v>22</v>
      </c>
      <c r="F14" s="6"/>
      <c r="G14" s="4"/>
      <c r="H14" s="17">
        <v>0.6</v>
      </c>
      <c r="I14" s="17">
        <v>1</v>
      </c>
      <c r="J14" s="81" t="s">
        <v>902</v>
      </c>
      <c r="K14" s="81" t="s">
        <v>793</v>
      </c>
      <c r="U14" s="6">
        <f>F14</f>
        <v>0</v>
      </c>
      <c r="V14" s="2" t="str">
        <f t="shared" si="0"/>
        <v>S2.1</v>
      </c>
      <c r="W14" s="5"/>
      <c r="X14" s="4"/>
      <c r="Y14" s="38"/>
      <c r="Z14" s="38"/>
    </row>
    <row r="15" spans="2:26" ht="87" customHeight="1" x14ac:dyDescent="0.25">
      <c r="B15" s="36"/>
      <c r="C15" s="5" t="s">
        <v>395</v>
      </c>
      <c r="D15" s="79" t="s">
        <v>1733</v>
      </c>
      <c r="E15" s="5" t="s">
        <v>24</v>
      </c>
      <c r="F15" s="6"/>
      <c r="G15" s="4"/>
      <c r="H15" s="17">
        <v>0.6</v>
      </c>
      <c r="I15" s="17">
        <v>1</v>
      </c>
      <c r="J15" s="81" t="s">
        <v>794</v>
      </c>
      <c r="K15" s="81" t="s">
        <v>900</v>
      </c>
      <c r="U15" s="6">
        <f>F15</f>
        <v>0</v>
      </c>
      <c r="V15" s="2" t="str">
        <f t="shared" si="0"/>
        <v>S3.1</v>
      </c>
      <c r="W15" s="5"/>
      <c r="X15" s="4"/>
      <c r="Y15" s="38"/>
      <c r="Z15" s="38"/>
    </row>
    <row r="16" spans="2:26" ht="58.9" customHeight="1" x14ac:dyDescent="0.25">
      <c r="B16" s="36"/>
      <c r="C16" s="5"/>
      <c r="D16" s="24"/>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S2.1</v>
      </c>
      <c r="J25" s="49" t="str">
        <f>C15</f>
        <v>S3.1</v>
      </c>
      <c r="K25" s="49">
        <f>C16</f>
        <v>0</v>
      </c>
      <c r="L25" s="49">
        <f>C17</f>
        <v>0</v>
      </c>
      <c r="M25" s="49">
        <f>C18</f>
        <v>0</v>
      </c>
      <c r="N25" s="49">
        <f>C19</f>
        <v>0</v>
      </c>
      <c r="O25" s="50" t="s">
        <v>305</v>
      </c>
    </row>
    <row r="26" spans="2:26" ht="30.4" customHeight="1" thickBot="1" x14ac:dyDescent="0.3">
      <c r="C26" s="51" t="s">
        <v>306</v>
      </c>
      <c r="D26" s="83" t="s">
        <v>933</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934</v>
      </c>
      <c r="E27" s="8">
        <v>6</v>
      </c>
      <c r="F27" s="8">
        <v>1</v>
      </c>
      <c r="G27" s="8">
        <v>1</v>
      </c>
      <c r="H27" s="8">
        <v>2</v>
      </c>
      <c r="I27" s="8">
        <v>1</v>
      </c>
      <c r="J27" s="8">
        <v>1</v>
      </c>
      <c r="K27" s="8"/>
      <c r="L27" s="8"/>
      <c r="M27" s="8"/>
      <c r="N27" s="8"/>
      <c r="O27" s="53" t="b">
        <f t="shared" si="1"/>
        <v>1</v>
      </c>
    </row>
    <row r="28" spans="2:26" ht="30.4" customHeight="1" thickBot="1" x14ac:dyDescent="0.3">
      <c r="C28" s="51" t="s">
        <v>308</v>
      </c>
      <c r="D28" s="83" t="s">
        <v>935</v>
      </c>
      <c r="E28" s="8">
        <v>6</v>
      </c>
      <c r="F28" s="8">
        <v>2</v>
      </c>
      <c r="G28" s="8">
        <v>2</v>
      </c>
      <c r="H28" s="8">
        <v>1</v>
      </c>
      <c r="I28" s="8"/>
      <c r="J28" s="8">
        <v>1</v>
      </c>
      <c r="K28" s="8"/>
      <c r="L28" s="8"/>
      <c r="M28" s="8"/>
      <c r="N28" s="8"/>
      <c r="O28" s="53" t="b">
        <f t="shared" si="1"/>
        <v>1</v>
      </c>
    </row>
    <row r="29" spans="2:26" ht="30.4" customHeight="1" thickBot="1" x14ac:dyDescent="0.3">
      <c r="C29" s="51" t="s">
        <v>309</v>
      </c>
      <c r="D29" s="83" t="s">
        <v>936</v>
      </c>
      <c r="E29" s="8">
        <v>4</v>
      </c>
      <c r="F29" s="8">
        <v>1</v>
      </c>
      <c r="G29" s="8">
        <v>1</v>
      </c>
      <c r="H29" s="8">
        <v>1</v>
      </c>
      <c r="I29" s="8">
        <v>1</v>
      </c>
      <c r="J29" s="8"/>
      <c r="K29" s="8"/>
      <c r="L29" s="8"/>
      <c r="M29" s="8"/>
      <c r="N29" s="8"/>
      <c r="O29" s="53" t="b">
        <f t="shared" si="1"/>
        <v>1</v>
      </c>
    </row>
    <row r="30" spans="2:26" ht="30.4" customHeight="1" thickBot="1" x14ac:dyDescent="0.3">
      <c r="C30" s="51" t="s">
        <v>310</v>
      </c>
      <c r="D30" s="83" t="s">
        <v>937</v>
      </c>
      <c r="E30" s="8">
        <v>4</v>
      </c>
      <c r="F30" s="8">
        <v>2</v>
      </c>
      <c r="G30" s="8"/>
      <c r="H30" s="8"/>
      <c r="I30" s="8"/>
      <c r="J30" s="8">
        <v>2</v>
      </c>
      <c r="K30" s="8"/>
      <c r="L30" s="8"/>
      <c r="M30" s="8"/>
      <c r="N30" s="8"/>
      <c r="O30" s="53" t="b">
        <f t="shared" si="1"/>
        <v>1</v>
      </c>
    </row>
    <row r="31" spans="2:26" ht="30.4" customHeight="1" thickBot="1" x14ac:dyDescent="0.3">
      <c r="C31" s="51" t="s">
        <v>311</v>
      </c>
      <c r="D31" s="83" t="s">
        <v>938</v>
      </c>
      <c r="E31" s="8">
        <v>4</v>
      </c>
      <c r="F31" s="8"/>
      <c r="G31" s="8">
        <v>1</v>
      </c>
      <c r="H31" s="8">
        <v>1</v>
      </c>
      <c r="I31" s="8">
        <v>1</v>
      </c>
      <c r="J31" s="8">
        <v>1</v>
      </c>
      <c r="K31" s="8"/>
      <c r="L31" s="8"/>
      <c r="M31" s="8"/>
      <c r="N31" s="8"/>
      <c r="O31" s="53" t="b">
        <f t="shared" si="1"/>
        <v>1</v>
      </c>
    </row>
    <row r="32" spans="2:26" ht="30.4" customHeight="1" thickBot="1" x14ac:dyDescent="0.3">
      <c r="C32" s="51" t="s">
        <v>312</v>
      </c>
      <c r="D32" s="83" t="s">
        <v>939</v>
      </c>
      <c r="E32" s="8">
        <v>4</v>
      </c>
      <c r="F32" s="8">
        <v>1</v>
      </c>
      <c r="G32" s="8"/>
      <c r="H32" s="8">
        <v>2</v>
      </c>
      <c r="I32" s="8"/>
      <c r="J32" s="8">
        <v>1</v>
      </c>
      <c r="K32" s="8"/>
      <c r="L32" s="8"/>
      <c r="M32" s="8"/>
      <c r="N32" s="8"/>
      <c r="O32" s="53" t="b">
        <f t="shared" si="1"/>
        <v>1</v>
      </c>
    </row>
    <row r="33" spans="2:15" ht="30.4" customHeight="1" thickBot="1" x14ac:dyDescent="0.3">
      <c r="C33" s="51" t="s">
        <v>313</v>
      </c>
      <c r="D33" s="83"/>
      <c r="E33" s="8"/>
      <c r="F33" s="8"/>
      <c r="G33" s="8"/>
      <c r="H33" s="8"/>
      <c r="I33" s="8"/>
      <c r="J33" s="8"/>
      <c r="K33" s="8"/>
      <c r="L33" s="8"/>
      <c r="M33" s="8"/>
      <c r="N33" s="8"/>
      <c r="O33" s="53" t="b">
        <f t="shared" si="1"/>
        <v>1</v>
      </c>
    </row>
    <row r="34" spans="2:15" ht="30.4" customHeight="1" thickBot="1" x14ac:dyDescent="0.3">
      <c r="C34" s="51" t="s">
        <v>314</v>
      </c>
      <c r="D34" s="83"/>
      <c r="E34" s="8"/>
      <c r="F34" s="8"/>
      <c r="G34" s="8"/>
      <c r="H34" s="8"/>
      <c r="I34" s="8"/>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8</v>
      </c>
      <c r="G40" s="52">
        <f t="shared" si="2"/>
        <v>6</v>
      </c>
      <c r="H40" s="52">
        <f t="shared" si="2"/>
        <v>7</v>
      </c>
      <c r="I40" s="52">
        <f t="shared" si="2"/>
        <v>3</v>
      </c>
      <c r="J40" s="52">
        <f t="shared" si="2"/>
        <v>6</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0.27</v>
      </c>
      <c r="G41" s="54">
        <f>ROUND(G40/E40,2)</f>
        <v>0.2</v>
      </c>
      <c r="H41" s="54">
        <f>ROUND(H40/E40,2)</f>
        <v>0.23</v>
      </c>
      <c r="I41" s="54">
        <f>ROUND(I40/E40,2)</f>
        <v>0.1</v>
      </c>
      <c r="J41" s="54">
        <f>ROUND(J40/E40,2)</f>
        <v>0.2</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25</v>
      </c>
      <c r="I42" s="7">
        <v>10</v>
      </c>
      <c r="J42" s="7">
        <v>20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S2.1</v>
      </c>
      <c r="I46" s="59" t="str">
        <f>C15</f>
        <v>S3.1</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v>10</v>
      </c>
      <c r="G49" s="12"/>
      <c r="H49" s="12"/>
      <c r="I49" s="12"/>
      <c r="J49" s="12"/>
      <c r="K49" s="12"/>
      <c r="L49" s="12"/>
      <c r="M49" s="12"/>
      <c r="N49" s="55" t="b">
        <f t="shared" si="3"/>
        <v>1</v>
      </c>
    </row>
    <row r="50" spans="3:14" ht="55.15" customHeight="1" x14ac:dyDescent="0.25">
      <c r="C50" s="9" t="s">
        <v>331</v>
      </c>
      <c r="D50" s="10">
        <v>10</v>
      </c>
      <c r="E50" s="11"/>
      <c r="F50" s="12"/>
      <c r="G50" s="12"/>
      <c r="H50" s="12">
        <v>10</v>
      </c>
      <c r="I50" s="12"/>
      <c r="J50" s="12"/>
      <c r="K50" s="12"/>
      <c r="L50" s="12"/>
      <c r="M50" s="12"/>
      <c r="N50" s="55" t="b">
        <f t="shared" si="3"/>
        <v>1</v>
      </c>
    </row>
    <row r="51" spans="3:14" ht="55.15" customHeight="1" x14ac:dyDescent="0.25">
      <c r="C51" s="9" t="s">
        <v>332</v>
      </c>
      <c r="D51" s="10"/>
      <c r="E51" s="11"/>
      <c r="F51" s="12"/>
      <c r="G51" s="12"/>
      <c r="H51" s="12"/>
      <c r="I51" s="12"/>
      <c r="J51" s="12"/>
      <c r="K51" s="12"/>
      <c r="L51" s="12"/>
      <c r="M51" s="12"/>
      <c r="N51" s="55" t="b">
        <f t="shared" si="3"/>
        <v>1</v>
      </c>
    </row>
    <row r="52" spans="3:14" ht="55.15" customHeight="1" x14ac:dyDescent="0.25">
      <c r="C52" s="9" t="s">
        <v>504</v>
      </c>
      <c r="D52" s="10">
        <v>50</v>
      </c>
      <c r="E52" s="11">
        <v>10</v>
      </c>
      <c r="F52" s="12"/>
      <c r="G52" s="12">
        <v>20</v>
      </c>
      <c r="H52" s="12"/>
      <c r="I52" s="12">
        <v>20</v>
      </c>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25</v>
      </c>
      <c r="H56" s="65">
        <f t="shared" si="5"/>
        <v>10</v>
      </c>
      <c r="I56" s="65">
        <f t="shared" si="5"/>
        <v>20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811" priority="11">
      <formula>LEN(TRIM(D47))=0</formula>
    </cfRule>
    <cfRule type="cellIs" dxfId="810" priority="12" operator="equal">
      <formula>0</formula>
    </cfRule>
  </conditionalFormatting>
  <conditionalFormatting sqref="E50">
    <cfRule type="containsBlanks" dxfId="809" priority="21">
      <formula>LEN(TRIM(E50))=0</formula>
    </cfRule>
    <cfRule type="cellIs" dxfId="808" priority="22" operator="equal">
      <formula>0</formula>
    </cfRule>
  </conditionalFormatting>
  <conditionalFormatting sqref="E47:M51 E52">
    <cfRule type="containsBlanks" dxfId="807" priority="17">
      <formula>LEN(TRIM(E47))=0</formula>
    </cfRule>
    <cfRule type="cellIs" dxfId="806" priority="18" operator="equal">
      <formula>0</formula>
    </cfRule>
  </conditionalFormatting>
  <conditionalFormatting sqref="E53:M54">
    <cfRule type="containsBlanks" dxfId="805" priority="15">
      <formula>LEN(TRIM(E53))=0</formula>
    </cfRule>
    <cfRule type="cellIs" dxfId="804" priority="16" operator="equal">
      <formula>0</formula>
    </cfRule>
  </conditionalFormatting>
  <conditionalFormatting sqref="E55:M55">
    <cfRule type="containsText" dxfId="803" priority="5" operator="containsText" text="false">
      <formula>NOT(ISERROR(SEARCH("false",E55)))</formula>
    </cfRule>
    <cfRule type="containsText" dxfId="802" priority="6" operator="containsText" text="true">
      <formula>NOT(ISERROR(SEARCH("true",E55)))</formula>
    </cfRule>
  </conditionalFormatting>
  <conditionalFormatting sqref="E26:N39">
    <cfRule type="containsBlanks" dxfId="801" priority="3">
      <formula>LEN(TRIM(E26))=0</formula>
    </cfRule>
    <cfRule type="cellIs" dxfId="800" priority="4" operator="equal">
      <formula>0</formula>
    </cfRule>
  </conditionalFormatting>
  <conditionalFormatting sqref="F48:M48">
    <cfRule type="containsBlanks" dxfId="799" priority="23">
      <formula>LEN(TRIM(F48))=0</formula>
    </cfRule>
    <cfRule type="cellIs" dxfId="798" priority="24" operator="equal">
      <formula>0</formula>
    </cfRule>
  </conditionalFormatting>
  <conditionalFormatting sqref="F50:M52">
    <cfRule type="containsBlanks" dxfId="797" priority="19">
      <formula>LEN(TRIM(F50))=0</formula>
    </cfRule>
    <cfRule type="cellIs" dxfId="796" priority="20" operator="equal">
      <formula>0</formula>
    </cfRule>
  </conditionalFormatting>
  <conditionalFormatting sqref="N47:N54">
    <cfRule type="containsText" dxfId="795" priority="7" operator="containsText" text="false">
      <formula>NOT(ISERROR(SEARCH("false",N47)))</formula>
    </cfRule>
    <cfRule type="containsText" dxfId="794" priority="8" operator="containsText" text="true">
      <formula>NOT(ISERROR(SEARCH("true",N47)))</formula>
    </cfRule>
  </conditionalFormatting>
  <conditionalFormatting sqref="N55">
    <cfRule type="containsBlanks" dxfId="793" priority="13">
      <formula>LEN(TRIM(N55))=0</formula>
    </cfRule>
    <cfRule type="cellIs" dxfId="792" priority="14" operator="equal">
      <formula>0</formula>
    </cfRule>
  </conditionalFormatting>
  <conditionalFormatting sqref="O26:O40">
    <cfRule type="containsText" dxfId="791" priority="9" operator="containsText" text="false">
      <formula>NOT(ISERROR(SEARCH("false",O26)))</formula>
    </cfRule>
    <cfRule type="containsText" dxfId="790" priority="10" operator="containsText" text="true">
      <formula>NOT(ISERROR(SEARCH("true",O26)))</formula>
    </cfRule>
  </conditionalFormatting>
  <conditionalFormatting sqref="O42">
    <cfRule type="cellIs" dxfId="789" priority="1" operator="notEqual">
      <formula>100</formula>
    </cfRule>
    <cfRule type="cellIs" dxfId="788" priority="2" operator="equal">
      <formula>100</formula>
    </cfRule>
  </conditionalFormatting>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B2:AB57"/>
  <sheetViews>
    <sheetView zoomScale="50" zoomScaleNormal="50" workbookViewId="0">
      <selection activeCell="G8" sqref="G8"/>
    </sheetView>
  </sheetViews>
  <sheetFormatPr defaultColWidth="9.140625" defaultRowHeight="15" x14ac:dyDescent="0.25"/>
  <cols>
    <col min="1" max="1" width="9.140625" style="19"/>
    <col min="2" max="2" width="15.5703125" style="19" customWidth="1"/>
    <col min="3" max="3" width="33" style="19" customWidth="1"/>
    <col min="4" max="4" width="67.1406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51.710937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208</v>
      </c>
      <c r="J6" s="43" t="s">
        <v>278</v>
      </c>
      <c r="K6" s="1" t="s">
        <v>92</v>
      </c>
    </row>
    <row r="7" spans="2:26" ht="72.599999999999994" customHeight="1" thickBot="1" x14ac:dyDescent="0.3">
      <c r="B7" s="160"/>
      <c r="C7" s="161"/>
      <c r="D7" s="43" t="s">
        <v>279</v>
      </c>
      <c r="E7" s="1">
        <v>3</v>
      </c>
      <c r="F7" s="43" t="s">
        <v>280</v>
      </c>
      <c r="G7" s="1">
        <v>6</v>
      </c>
      <c r="H7" s="43" t="s">
        <v>281</v>
      </c>
      <c r="I7" s="1">
        <v>3</v>
      </c>
      <c r="J7" s="43" t="s">
        <v>283</v>
      </c>
      <c r="K7" s="1" t="s">
        <v>482</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29.75" customHeight="1" x14ac:dyDescent="0.25">
      <c r="B11" s="36"/>
      <c r="C11" s="2" t="s">
        <v>415</v>
      </c>
      <c r="D11" s="78" t="s">
        <v>940</v>
      </c>
      <c r="E11" s="2" t="s">
        <v>10</v>
      </c>
      <c r="F11" s="3"/>
      <c r="G11" s="17"/>
      <c r="H11" s="17">
        <v>0.6</v>
      </c>
      <c r="I11" s="17">
        <v>1</v>
      </c>
      <c r="J11" s="80" t="s">
        <v>941</v>
      </c>
      <c r="K11" s="80" t="s">
        <v>942</v>
      </c>
      <c r="U11" s="3">
        <f>F11</f>
        <v>0</v>
      </c>
      <c r="V11" s="2" t="str">
        <f>C11</f>
        <v>K2.1</v>
      </c>
      <c r="W11" s="2"/>
      <c r="X11" s="17"/>
      <c r="Y11" s="37"/>
      <c r="Z11" s="37"/>
    </row>
    <row r="12" spans="2:26" ht="116.25" customHeight="1" x14ac:dyDescent="0.25">
      <c r="B12" s="36"/>
      <c r="C12" s="5" t="s">
        <v>507</v>
      </c>
      <c r="D12" s="78" t="s">
        <v>943</v>
      </c>
      <c r="E12" s="5" t="s">
        <v>10</v>
      </c>
      <c r="F12" s="6"/>
      <c r="G12" s="4"/>
      <c r="H12" s="17">
        <v>0.6</v>
      </c>
      <c r="I12" s="17">
        <v>1</v>
      </c>
      <c r="J12" s="80" t="s">
        <v>944</v>
      </c>
      <c r="K12" s="80" t="s">
        <v>945</v>
      </c>
      <c r="U12" s="6">
        <f>F12</f>
        <v>0</v>
      </c>
      <c r="V12" s="2" t="str">
        <f>C12</f>
        <v>K2.2</v>
      </c>
      <c r="W12" s="5"/>
      <c r="X12" s="4"/>
      <c r="Y12" s="38"/>
      <c r="Z12" s="38"/>
    </row>
    <row r="13" spans="2:26" ht="93.75" customHeight="1" x14ac:dyDescent="0.25">
      <c r="B13" s="36"/>
      <c r="C13" s="5" t="s">
        <v>441</v>
      </c>
      <c r="D13" s="78" t="s">
        <v>946</v>
      </c>
      <c r="E13" s="5" t="s">
        <v>39</v>
      </c>
      <c r="F13" s="6"/>
      <c r="G13" s="4"/>
      <c r="H13" s="17">
        <v>0.6</v>
      </c>
      <c r="I13" s="17">
        <v>1</v>
      </c>
      <c r="J13" s="80" t="s">
        <v>947</v>
      </c>
      <c r="K13" s="80" t="s">
        <v>948</v>
      </c>
      <c r="U13" s="6">
        <f>F13</f>
        <v>0</v>
      </c>
      <c r="V13" s="2" t="str">
        <f>C13</f>
        <v>S6.1</v>
      </c>
      <c r="W13" s="5"/>
      <c r="X13" s="4"/>
      <c r="Y13" s="38"/>
      <c r="Z13" s="38"/>
    </row>
    <row r="14" spans="2:26" ht="116.25" customHeight="1" x14ac:dyDescent="0.25">
      <c r="B14" s="36"/>
      <c r="C14" s="5" t="s">
        <v>445</v>
      </c>
      <c r="D14" s="79" t="s">
        <v>949</v>
      </c>
      <c r="E14" s="5" t="s">
        <v>31</v>
      </c>
      <c r="F14" s="6"/>
      <c r="G14" s="4"/>
      <c r="H14" s="17">
        <v>0.6</v>
      </c>
      <c r="I14" s="17">
        <v>1</v>
      </c>
      <c r="J14" s="80" t="s">
        <v>950</v>
      </c>
      <c r="K14" s="80" t="s">
        <v>951</v>
      </c>
      <c r="U14" s="6">
        <f>F14</f>
        <v>0</v>
      </c>
      <c r="V14" s="2" t="str">
        <f>C14</f>
        <v>S7.1</v>
      </c>
      <c r="W14" s="5"/>
      <c r="X14" s="4"/>
      <c r="Y14" s="38"/>
      <c r="Z14" s="38"/>
    </row>
    <row r="15" spans="2:26" ht="92.25" customHeight="1" x14ac:dyDescent="0.25">
      <c r="B15" s="36"/>
      <c r="C15" s="5"/>
      <c r="D15" s="24"/>
      <c r="E15" s="5"/>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S6.1</v>
      </c>
      <c r="I25" s="49" t="str">
        <f>C14</f>
        <v>S7.1</v>
      </c>
      <c r="J25" s="49">
        <f>C15</f>
        <v>0</v>
      </c>
      <c r="K25" s="49">
        <f>C16</f>
        <v>0</v>
      </c>
      <c r="L25" s="49">
        <f>C17</f>
        <v>0</v>
      </c>
      <c r="M25" s="49">
        <f>C18</f>
        <v>0</v>
      </c>
      <c r="N25" s="49">
        <f>C19</f>
        <v>0</v>
      </c>
      <c r="O25" s="50" t="s">
        <v>305</v>
      </c>
    </row>
    <row r="26" spans="2:26" ht="30.4" customHeight="1" thickBot="1" x14ac:dyDescent="0.3">
      <c r="C26" s="51" t="s">
        <v>306</v>
      </c>
      <c r="D26" s="85" t="s">
        <v>952</v>
      </c>
      <c r="E26" s="8">
        <v>4</v>
      </c>
      <c r="F26" s="8">
        <v>3</v>
      </c>
      <c r="G26" s="8">
        <v>1</v>
      </c>
      <c r="H26" s="8"/>
      <c r="I26" s="8"/>
      <c r="J26" s="8"/>
      <c r="K26" s="8"/>
      <c r="L26" s="8"/>
      <c r="M26" s="8"/>
      <c r="N26" s="8"/>
      <c r="O26" s="53" t="b">
        <f t="shared" ref="O26:O40" si="0">IF(SUM(F26:N26)=E26,TRUE,"false")</f>
        <v>1</v>
      </c>
    </row>
    <row r="27" spans="2:26" ht="33" customHeight="1" thickBot="1" x14ac:dyDescent="0.3">
      <c r="C27" s="51" t="s">
        <v>307</v>
      </c>
      <c r="D27" s="85" t="s">
        <v>953</v>
      </c>
      <c r="E27" s="8">
        <v>4</v>
      </c>
      <c r="F27" s="8">
        <v>2</v>
      </c>
      <c r="G27" s="8">
        <v>2</v>
      </c>
      <c r="H27" s="8"/>
      <c r="I27" s="8"/>
      <c r="J27" s="8"/>
      <c r="K27" s="8"/>
      <c r="L27" s="8"/>
      <c r="M27" s="8"/>
      <c r="N27" s="8"/>
      <c r="O27" s="53" t="b">
        <f t="shared" si="0"/>
        <v>1</v>
      </c>
    </row>
    <row r="28" spans="2:26" ht="35.25" customHeight="1" thickBot="1" x14ac:dyDescent="0.3">
      <c r="C28" s="51" t="s">
        <v>308</v>
      </c>
      <c r="D28" s="86" t="s">
        <v>954</v>
      </c>
      <c r="E28" s="87">
        <v>2</v>
      </c>
      <c r="F28" s="8">
        <v>1</v>
      </c>
      <c r="G28" s="8">
        <v>1</v>
      </c>
      <c r="H28" s="8"/>
      <c r="I28" s="8"/>
      <c r="J28" s="8"/>
      <c r="K28" s="8"/>
      <c r="L28" s="8"/>
      <c r="M28" s="8"/>
      <c r="N28" s="8"/>
      <c r="O28" s="53" t="b">
        <f t="shared" si="0"/>
        <v>1</v>
      </c>
    </row>
    <row r="29" spans="2:26" ht="30.4" customHeight="1" thickBot="1" x14ac:dyDescent="0.3">
      <c r="C29" s="51" t="s">
        <v>309</v>
      </c>
      <c r="D29" s="86" t="s">
        <v>955</v>
      </c>
      <c r="E29" s="8">
        <v>4</v>
      </c>
      <c r="F29" s="8">
        <v>2</v>
      </c>
      <c r="G29" s="8">
        <v>2</v>
      </c>
      <c r="H29" s="8"/>
      <c r="I29" s="8"/>
      <c r="J29" s="8"/>
      <c r="K29" s="8"/>
      <c r="L29" s="8"/>
      <c r="M29" s="8"/>
      <c r="N29" s="8"/>
      <c r="O29" s="53" t="b">
        <f t="shared" si="0"/>
        <v>1</v>
      </c>
    </row>
    <row r="30" spans="2:26" ht="30.4" customHeight="1" thickBot="1" x14ac:dyDescent="0.3">
      <c r="C30" s="51" t="s">
        <v>310</v>
      </c>
      <c r="D30" s="86" t="s">
        <v>956</v>
      </c>
      <c r="E30" s="8">
        <v>8</v>
      </c>
      <c r="F30" s="8">
        <v>3</v>
      </c>
      <c r="G30" s="8">
        <v>1</v>
      </c>
      <c r="H30" s="8">
        <v>2</v>
      </c>
      <c r="I30" s="8">
        <v>2</v>
      </c>
      <c r="J30" s="8"/>
      <c r="K30" s="8"/>
      <c r="L30" s="8"/>
      <c r="M30" s="8"/>
      <c r="N30" s="8"/>
      <c r="O30" s="53" t="b">
        <f t="shared" si="0"/>
        <v>1</v>
      </c>
    </row>
    <row r="31" spans="2:26" ht="30.4" customHeight="1" thickBot="1" x14ac:dyDescent="0.3">
      <c r="C31" s="51" t="s">
        <v>311</v>
      </c>
      <c r="D31" s="86" t="s">
        <v>957</v>
      </c>
      <c r="E31" s="8">
        <v>2</v>
      </c>
      <c r="F31" s="8">
        <v>1</v>
      </c>
      <c r="G31" s="8">
        <v>1</v>
      </c>
      <c r="H31" s="8"/>
      <c r="I31" s="8"/>
      <c r="J31" s="8"/>
      <c r="K31" s="8"/>
      <c r="L31" s="8"/>
      <c r="M31" s="8"/>
      <c r="N31" s="8"/>
      <c r="O31" s="53" t="b">
        <f t="shared" si="0"/>
        <v>1</v>
      </c>
    </row>
    <row r="32" spans="2:26" ht="30.4" customHeight="1" thickBot="1" x14ac:dyDescent="0.3">
      <c r="C32" s="51" t="s">
        <v>312</v>
      </c>
      <c r="D32" s="86" t="s">
        <v>958</v>
      </c>
      <c r="E32" s="8">
        <v>8</v>
      </c>
      <c r="F32" s="8">
        <v>1</v>
      </c>
      <c r="G32" s="8">
        <v>3</v>
      </c>
      <c r="H32" s="8">
        <v>3</v>
      </c>
      <c r="I32" s="8">
        <v>1</v>
      </c>
      <c r="J32" s="8"/>
      <c r="K32" s="8"/>
      <c r="L32" s="8"/>
      <c r="M32" s="8"/>
      <c r="N32" s="8"/>
      <c r="O32" s="53" t="b">
        <f t="shared" si="0"/>
        <v>1</v>
      </c>
    </row>
    <row r="33" spans="2:15" ht="30.4" customHeight="1" thickBot="1" x14ac:dyDescent="0.3">
      <c r="C33" s="51" t="s">
        <v>313</v>
      </c>
      <c r="D33" s="86" t="s">
        <v>959</v>
      </c>
      <c r="E33" s="8">
        <v>8</v>
      </c>
      <c r="F33" s="8">
        <v>1</v>
      </c>
      <c r="G33" s="8">
        <v>3</v>
      </c>
      <c r="H33" s="8">
        <v>3</v>
      </c>
      <c r="I33" s="8">
        <v>1</v>
      </c>
      <c r="J33" s="8"/>
      <c r="K33" s="8"/>
      <c r="L33" s="8"/>
      <c r="M33" s="8"/>
      <c r="N33" s="8"/>
      <c r="O33" s="53" t="b">
        <f t="shared" si="0"/>
        <v>1</v>
      </c>
    </row>
    <row r="34" spans="2:15" ht="30.4" customHeight="1" thickBot="1" x14ac:dyDescent="0.3">
      <c r="C34" s="51" t="s">
        <v>314</v>
      </c>
      <c r="D34" s="86" t="s">
        <v>960</v>
      </c>
      <c r="E34" s="8">
        <v>8</v>
      </c>
      <c r="F34" s="8">
        <v>1</v>
      </c>
      <c r="G34" s="8">
        <v>3</v>
      </c>
      <c r="H34" s="8">
        <v>2</v>
      </c>
      <c r="I34" s="8">
        <v>2</v>
      </c>
      <c r="J34" s="8"/>
      <c r="K34" s="8"/>
      <c r="L34" s="8"/>
      <c r="M34" s="8"/>
      <c r="N34" s="8"/>
      <c r="O34" s="53" t="b">
        <f t="shared" si="0"/>
        <v>1</v>
      </c>
    </row>
    <row r="35" spans="2:15" ht="30.4" customHeight="1" thickBot="1" x14ac:dyDescent="0.3">
      <c r="C35" s="51" t="s">
        <v>315</v>
      </c>
      <c r="D35" s="86" t="s">
        <v>961</v>
      </c>
      <c r="E35" s="8">
        <v>8</v>
      </c>
      <c r="F35" s="8">
        <v>1</v>
      </c>
      <c r="G35" s="8">
        <v>3</v>
      </c>
      <c r="H35" s="8">
        <v>1</v>
      </c>
      <c r="I35" s="8">
        <v>3</v>
      </c>
      <c r="J35" s="8"/>
      <c r="K35" s="8"/>
      <c r="L35" s="8"/>
      <c r="M35" s="8"/>
      <c r="N35" s="8"/>
      <c r="O35" s="53" t="b">
        <f t="shared" si="0"/>
        <v>1</v>
      </c>
    </row>
    <row r="36" spans="2:15" ht="30.4" customHeight="1" thickBot="1" x14ac:dyDescent="0.3">
      <c r="C36" s="51" t="s">
        <v>316</v>
      </c>
      <c r="D36" s="86" t="s">
        <v>962</v>
      </c>
      <c r="E36" s="8">
        <v>4</v>
      </c>
      <c r="F36" s="8">
        <v>1</v>
      </c>
      <c r="G36" s="8">
        <v>2</v>
      </c>
      <c r="H36" s="8">
        <v>1</v>
      </c>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17</v>
      </c>
      <c r="G40" s="52">
        <f t="shared" si="1"/>
        <v>22</v>
      </c>
      <c r="H40" s="52">
        <f t="shared" si="1"/>
        <v>12</v>
      </c>
      <c r="I40" s="52">
        <f t="shared" si="1"/>
        <v>9</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0.28000000000000003</v>
      </c>
      <c r="G41" s="54">
        <f>ROUND(G40/E40,2)</f>
        <v>0.37</v>
      </c>
      <c r="H41" s="54">
        <f>ROUND(H40/E40,2)</f>
        <v>0.2</v>
      </c>
      <c r="I41" s="54">
        <f>ROUND(I40/E40,2)</f>
        <v>0.15</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30</v>
      </c>
      <c r="G42" s="7">
        <v>35</v>
      </c>
      <c r="H42" s="7">
        <v>20</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S6.1</v>
      </c>
      <c r="H46" s="59" t="str">
        <f>C14</f>
        <v>S7.1</v>
      </c>
      <c r="I46" s="59">
        <f>C15</f>
        <v>0</v>
      </c>
      <c r="J46" s="59">
        <f>C16</f>
        <v>0</v>
      </c>
      <c r="K46" s="59">
        <f>C17</f>
        <v>0</v>
      </c>
      <c r="L46" s="59">
        <f>C18</f>
        <v>0</v>
      </c>
      <c r="M46" s="59">
        <f>C19</f>
        <v>0</v>
      </c>
      <c r="N46" s="60" t="s">
        <v>327</v>
      </c>
    </row>
    <row r="47" spans="2:15" ht="55.15" customHeight="1" x14ac:dyDescent="0.25">
      <c r="C47" s="9" t="s">
        <v>328</v>
      </c>
      <c r="D47" s="10">
        <v>25</v>
      </c>
      <c r="E47" s="8">
        <v>15</v>
      </c>
      <c r="F47" s="8">
        <v>10</v>
      </c>
      <c r="G47" s="8"/>
      <c r="H47" s="8"/>
      <c r="I47" s="8"/>
      <c r="J47" s="8"/>
      <c r="K47" s="8"/>
      <c r="L47" s="8"/>
      <c r="M47" s="8"/>
      <c r="N47" s="55" t="b">
        <f t="shared" ref="N47:N54" si="2">IF(SUM(E47:M47)=D47,TRUE,"false")</f>
        <v>1</v>
      </c>
    </row>
    <row r="48" spans="2:15" ht="55.15" customHeight="1" x14ac:dyDescent="0.25">
      <c r="C48" s="9" t="s">
        <v>331</v>
      </c>
      <c r="D48" s="10">
        <v>5</v>
      </c>
      <c r="E48" s="11"/>
      <c r="F48" s="12">
        <v>5</v>
      </c>
      <c r="G48" s="12"/>
      <c r="H48" s="12"/>
      <c r="I48" s="12"/>
      <c r="J48" s="12"/>
      <c r="K48" s="12"/>
      <c r="L48" s="12"/>
      <c r="M48" s="12"/>
      <c r="N48" s="55" t="b">
        <f t="shared" si="2"/>
        <v>1</v>
      </c>
    </row>
    <row r="49" spans="3:14" ht="55.15" customHeight="1" x14ac:dyDescent="0.25">
      <c r="C49" s="9" t="s">
        <v>432</v>
      </c>
      <c r="D49" s="10">
        <v>20</v>
      </c>
      <c r="E49" s="11"/>
      <c r="F49" s="12"/>
      <c r="G49" s="12">
        <v>5</v>
      </c>
      <c r="H49" s="12">
        <v>15</v>
      </c>
      <c r="I49" s="12"/>
      <c r="J49" s="12"/>
      <c r="K49" s="12"/>
      <c r="L49" s="12"/>
      <c r="M49" s="12"/>
      <c r="N49" s="55" t="b">
        <f t="shared" si="2"/>
        <v>1</v>
      </c>
    </row>
    <row r="50" spans="3:14" ht="55.15" customHeight="1" x14ac:dyDescent="0.25">
      <c r="C50" s="9" t="s">
        <v>504</v>
      </c>
      <c r="D50" s="10">
        <v>50</v>
      </c>
      <c r="E50" s="11">
        <v>15</v>
      </c>
      <c r="F50" s="12">
        <v>20</v>
      </c>
      <c r="G50" s="12">
        <v>15</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30</v>
      </c>
      <c r="F56" s="65">
        <f t="shared" si="4"/>
        <v>35</v>
      </c>
      <c r="G56" s="65">
        <f t="shared" si="4"/>
        <v>20</v>
      </c>
      <c r="H56" s="65">
        <f t="shared" si="4"/>
        <v>15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787" priority="11">
      <formula>LEN(TRIM(D47))=0</formula>
    </cfRule>
    <cfRule type="cellIs" dxfId="786" priority="12" operator="equal">
      <formula>0</formula>
    </cfRule>
  </conditionalFormatting>
  <conditionalFormatting sqref="E50">
    <cfRule type="containsBlanks" dxfId="785" priority="21">
      <formula>LEN(TRIM(E50))=0</formula>
    </cfRule>
    <cfRule type="cellIs" dxfId="784" priority="22" operator="equal">
      <formula>0</formula>
    </cfRule>
  </conditionalFormatting>
  <conditionalFormatting sqref="E47:M51 E52">
    <cfRule type="containsBlanks" dxfId="783" priority="17">
      <formula>LEN(TRIM(E47))=0</formula>
    </cfRule>
    <cfRule type="cellIs" dxfId="782" priority="18" operator="equal">
      <formula>0</formula>
    </cfRule>
  </conditionalFormatting>
  <conditionalFormatting sqref="E53:M54">
    <cfRule type="containsBlanks" dxfId="781" priority="15">
      <formula>LEN(TRIM(E53))=0</formula>
    </cfRule>
    <cfRule type="cellIs" dxfId="780" priority="16" operator="equal">
      <formula>0</formula>
    </cfRule>
  </conditionalFormatting>
  <conditionalFormatting sqref="E55:M55">
    <cfRule type="containsText" dxfId="779" priority="5" operator="containsText" text="false">
      <formula>NOT(ISERROR(SEARCH("false",E55)))</formula>
    </cfRule>
    <cfRule type="containsText" dxfId="778" priority="6" operator="containsText" text="true">
      <formula>NOT(ISERROR(SEARCH("true",E55)))</formula>
    </cfRule>
  </conditionalFormatting>
  <conditionalFormatting sqref="E26:N39">
    <cfRule type="containsBlanks" dxfId="777" priority="3">
      <formula>LEN(TRIM(E26))=0</formula>
    </cfRule>
    <cfRule type="cellIs" dxfId="776" priority="4" operator="equal">
      <formula>0</formula>
    </cfRule>
  </conditionalFormatting>
  <conditionalFormatting sqref="F48:M48">
    <cfRule type="containsBlanks" dxfId="775" priority="23">
      <formula>LEN(TRIM(F48))=0</formula>
    </cfRule>
    <cfRule type="cellIs" dxfId="774" priority="24" operator="equal">
      <formula>0</formula>
    </cfRule>
  </conditionalFormatting>
  <conditionalFormatting sqref="F50:M52">
    <cfRule type="containsBlanks" dxfId="773" priority="19">
      <formula>LEN(TRIM(F50))=0</formula>
    </cfRule>
    <cfRule type="cellIs" dxfId="772" priority="20" operator="equal">
      <formula>0</formula>
    </cfRule>
  </conditionalFormatting>
  <conditionalFormatting sqref="N47:N54">
    <cfRule type="containsText" dxfId="771" priority="7" operator="containsText" text="false">
      <formula>NOT(ISERROR(SEARCH("false",N47)))</formula>
    </cfRule>
    <cfRule type="containsText" dxfId="770" priority="8" operator="containsText" text="true">
      <formula>NOT(ISERROR(SEARCH("true",N47)))</formula>
    </cfRule>
  </conditionalFormatting>
  <conditionalFormatting sqref="N55">
    <cfRule type="containsBlanks" dxfId="769" priority="13">
      <formula>LEN(TRIM(N55))=0</formula>
    </cfRule>
    <cfRule type="cellIs" dxfId="768" priority="14" operator="equal">
      <formula>0</formula>
    </cfRule>
  </conditionalFormatting>
  <conditionalFormatting sqref="O26:O40">
    <cfRule type="containsText" dxfId="767" priority="9" operator="containsText" text="false">
      <formula>NOT(ISERROR(SEARCH("false",O26)))</formula>
    </cfRule>
    <cfRule type="containsText" dxfId="766" priority="10" operator="containsText" text="true">
      <formula>NOT(ISERROR(SEARCH("true",O26)))</formula>
    </cfRule>
  </conditionalFormatting>
  <conditionalFormatting sqref="O42">
    <cfRule type="cellIs" dxfId="765" priority="1" operator="notEqual">
      <formula>100</formula>
    </cfRule>
    <cfRule type="cellIs" dxfId="764" priority="2" operator="equal">
      <formula>100</formula>
    </cfRule>
  </conditionalFormatting>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B57"/>
  <sheetViews>
    <sheetView topLeftCell="A5" zoomScale="50" zoomScaleNormal="50" workbookViewId="0">
      <selection activeCell="F9" sqref="F9"/>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33.2851562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210</v>
      </c>
      <c r="J6" s="43" t="s">
        <v>278</v>
      </c>
      <c r="K6" s="1" t="s">
        <v>93</v>
      </c>
    </row>
    <row r="7" spans="2:26" ht="72.599999999999994" customHeight="1" thickBot="1" x14ac:dyDescent="0.3">
      <c r="B7" s="160"/>
      <c r="C7" s="161"/>
      <c r="D7" s="43" t="s">
        <v>279</v>
      </c>
      <c r="E7" s="1">
        <v>3</v>
      </c>
      <c r="F7" s="43" t="s">
        <v>280</v>
      </c>
      <c r="G7" s="1" t="s">
        <v>1739</v>
      </c>
      <c r="H7" s="43" t="s">
        <v>281</v>
      </c>
      <c r="I7" s="1">
        <v>2</v>
      </c>
      <c r="J7" s="43" t="s">
        <v>283</v>
      </c>
      <c r="K7" s="1" t="s">
        <v>895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129" t="s">
        <v>560</v>
      </c>
      <c r="D11" s="130" t="s">
        <v>963</v>
      </c>
      <c r="E11" s="129" t="s">
        <v>13</v>
      </c>
      <c r="F11" s="131"/>
      <c r="G11" s="132"/>
      <c r="H11" s="132">
        <v>0.6</v>
      </c>
      <c r="I11" s="132">
        <v>1</v>
      </c>
      <c r="J11" s="133" t="s">
        <v>964</v>
      </c>
      <c r="K11" s="130" t="s">
        <v>965</v>
      </c>
      <c r="U11" s="3">
        <f>F11</f>
        <v>0</v>
      </c>
      <c r="V11" s="2" t="str">
        <f t="shared" ref="V11:V19" si="0">C11</f>
        <v>K3.1</v>
      </c>
      <c r="W11" s="2"/>
      <c r="X11" s="17"/>
      <c r="Y11" s="37"/>
      <c r="Z11" s="37"/>
    </row>
    <row r="12" spans="2:26" ht="172.5" customHeight="1" x14ac:dyDescent="0.25">
      <c r="B12" s="36"/>
      <c r="C12" s="134" t="s">
        <v>644</v>
      </c>
      <c r="D12" s="135" t="s">
        <v>1727</v>
      </c>
      <c r="E12" s="134" t="s">
        <v>18</v>
      </c>
      <c r="F12" s="136"/>
      <c r="G12" s="137"/>
      <c r="H12" s="132">
        <v>0.6</v>
      </c>
      <c r="I12" s="132">
        <v>1</v>
      </c>
      <c r="J12" s="133" t="s">
        <v>1601</v>
      </c>
      <c r="K12" s="130" t="s">
        <v>1602</v>
      </c>
      <c r="U12" s="6">
        <f>F12</f>
        <v>0</v>
      </c>
      <c r="V12" s="2" t="str">
        <f t="shared" si="0"/>
        <v>S1.1</v>
      </c>
      <c r="W12" s="5"/>
      <c r="X12" s="4"/>
      <c r="Y12" s="38"/>
      <c r="Z12" s="38"/>
    </row>
    <row r="13" spans="2:26" ht="58.9" customHeight="1" x14ac:dyDescent="0.25">
      <c r="B13" s="36"/>
      <c r="C13" s="134" t="s">
        <v>752</v>
      </c>
      <c r="D13" s="135" t="s">
        <v>966</v>
      </c>
      <c r="E13" s="134" t="s">
        <v>35</v>
      </c>
      <c r="F13" s="136"/>
      <c r="G13" s="137"/>
      <c r="H13" s="132">
        <v>0.6</v>
      </c>
      <c r="I13" s="132">
        <v>1</v>
      </c>
      <c r="J13" s="138" t="s">
        <v>840</v>
      </c>
      <c r="K13" s="135" t="s">
        <v>1654</v>
      </c>
      <c r="U13" s="6">
        <f>F13</f>
        <v>0</v>
      </c>
      <c r="V13" s="2" t="str">
        <f t="shared" si="0"/>
        <v>S4.1</v>
      </c>
      <c r="W13" s="5"/>
      <c r="X13" s="4"/>
      <c r="Y13" s="38"/>
      <c r="Z13" s="38"/>
    </row>
    <row r="14" spans="2:26" ht="58.9" customHeight="1" x14ac:dyDescent="0.25">
      <c r="B14" s="36"/>
      <c r="C14" s="134" t="s">
        <v>441</v>
      </c>
      <c r="D14" s="135" t="s">
        <v>967</v>
      </c>
      <c r="E14" s="134" t="s">
        <v>39</v>
      </c>
      <c r="F14" s="136"/>
      <c r="G14" s="137"/>
      <c r="H14" s="132">
        <v>0.6</v>
      </c>
      <c r="I14" s="132">
        <v>1</v>
      </c>
      <c r="J14" s="138" t="s">
        <v>1603</v>
      </c>
      <c r="K14" s="135" t="s">
        <v>1604</v>
      </c>
      <c r="U14" s="6">
        <f>F14</f>
        <v>0</v>
      </c>
      <c r="V14" s="2" t="str">
        <f t="shared" si="0"/>
        <v>S6.1</v>
      </c>
      <c r="W14" s="5"/>
      <c r="X14" s="4"/>
      <c r="Y14" s="38"/>
      <c r="Z14" s="38"/>
    </row>
    <row r="15" spans="2:26" ht="58.9" customHeight="1" x14ac:dyDescent="0.25">
      <c r="B15" s="36"/>
      <c r="C15" s="134" t="s">
        <v>300</v>
      </c>
      <c r="D15" s="135" t="s">
        <v>969</v>
      </c>
      <c r="E15" s="134" t="s">
        <v>44</v>
      </c>
      <c r="F15" s="136"/>
      <c r="G15" s="137"/>
      <c r="H15" s="132">
        <v>0.6</v>
      </c>
      <c r="I15" s="132">
        <v>1</v>
      </c>
      <c r="J15" s="138" t="s">
        <v>1605</v>
      </c>
      <c r="K15" s="135" t="s">
        <v>1606</v>
      </c>
      <c r="U15" s="6">
        <f>F15</f>
        <v>0</v>
      </c>
      <c r="V15" s="2" t="str">
        <f t="shared" si="0"/>
        <v>V1.1</v>
      </c>
      <c r="W15" s="5"/>
      <c r="X15" s="4"/>
      <c r="Y15" s="38"/>
      <c r="Z15" s="38"/>
    </row>
    <row r="16" spans="2:26" ht="58.9" customHeight="1" x14ac:dyDescent="0.25">
      <c r="B16" s="36"/>
      <c r="C16" s="134" t="s">
        <v>567</v>
      </c>
      <c r="D16" s="135" t="s">
        <v>653</v>
      </c>
      <c r="E16" s="134" t="s">
        <v>48</v>
      </c>
      <c r="F16" s="136"/>
      <c r="G16" s="137"/>
      <c r="H16" s="137">
        <v>0.6</v>
      </c>
      <c r="I16" s="137">
        <v>1</v>
      </c>
      <c r="J16" s="138" t="s">
        <v>1605</v>
      </c>
      <c r="K16" s="135" t="s">
        <v>1606</v>
      </c>
      <c r="U16" s="6"/>
      <c r="V16" s="2" t="str">
        <f t="shared" si="0"/>
        <v>V2.1</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K3.1</v>
      </c>
      <c r="G25" s="49" t="str">
        <f>C12</f>
        <v>S1.1</v>
      </c>
      <c r="H25" s="49" t="str">
        <f>C13</f>
        <v>S4.1</v>
      </c>
      <c r="I25" s="49" t="str">
        <f>C14</f>
        <v>S6.1</v>
      </c>
      <c r="J25" s="49" t="str">
        <f>C15</f>
        <v>V1.1</v>
      </c>
      <c r="K25" s="49" t="str">
        <f>C16</f>
        <v>V2.1</v>
      </c>
      <c r="L25" s="49">
        <f>C17</f>
        <v>0</v>
      </c>
      <c r="M25" s="49">
        <f>C18</f>
        <v>0</v>
      </c>
      <c r="N25" s="49">
        <f>C19</f>
        <v>0</v>
      </c>
      <c r="O25" s="50" t="s">
        <v>305</v>
      </c>
    </row>
    <row r="26" spans="2:26" ht="30.4" customHeight="1" thickBot="1" x14ac:dyDescent="0.3">
      <c r="C26" s="51" t="s">
        <v>306</v>
      </c>
      <c r="D26" s="83" t="s">
        <v>970</v>
      </c>
      <c r="E26" s="8">
        <v>40</v>
      </c>
      <c r="F26" s="8">
        <v>10</v>
      </c>
      <c r="G26" s="8">
        <v>10</v>
      </c>
      <c r="H26" s="8">
        <v>10</v>
      </c>
      <c r="I26" s="8">
        <v>10</v>
      </c>
      <c r="J26" s="8"/>
      <c r="K26" s="8"/>
      <c r="L26" s="8"/>
      <c r="M26" s="8"/>
      <c r="N26" s="8"/>
      <c r="O26" s="53" t="b">
        <f t="shared" ref="O26:O40" si="1">IF(SUM(F26:N26)=E26,TRUE,"false")</f>
        <v>1</v>
      </c>
    </row>
    <row r="27" spans="2:26" ht="30.4" customHeight="1" thickBot="1" x14ac:dyDescent="0.3">
      <c r="C27" s="51" t="s">
        <v>307</v>
      </c>
      <c r="D27" s="83" t="s">
        <v>971</v>
      </c>
      <c r="E27" s="8">
        <v>42</v>
      </c>
      <c r="F27" s="8"/>
      <c r="G27" s="8">
        <v>20</v>
      </c>
      <c r="H27" s="8">
        <v>10</v>
      </c>
      <c r="I27" s="8"/>
      <c r="J27" s="8">
        <v>12</v>
      </c>
      <c r="K27" s="8"/>
      <c r="L27" s="8"/>
      <c r="M27" s="8"/>
      <c r="N27" s="8"/>
      <c r="O27" s="53" t="b">
        <f t="shared" si="1"/>
        <v>1</v>
      </c>
    </row>
    <row r="28" spans="2:26" ht="30.4" customHeight="1" thickBot="1" x14ac:dyDescent="0.3">
      <c r="C28" s="51" t="s">
        <v>308</v>
      </c>
      <c r="D28" s="83" t="s">
        <v>972</v>
      </c>
      <c r="E28" s="8">
        <v>42</v>
      </c>
      <c r="F28" s="8"/>
      <c r="G28" s="8"/>
      <c r="H28" s="8">
        <v>12</v>
      </c>
      <c r="I28" s="8">
        <v>10</v>
      </c>
      <c r="J28" s="8">
        <v>10</v>
      </c>
      <c r="K28" s="8">
        <v>10</v>
      </c>
      <c r="L28" s="8"/>
      <c r="M28" s="8"/>
      <c r="N28" s="8"/>
      <c r="O28" s="53" t="b">
        <f t="shared" si="1"/>
        <v>1</v>
      </c>
    </row>
    <row r="29" spans="2:26" ht="30.4" customHeight="1" thickBot="1" x14ac:dyDescent="0.3">
      <c r="C29" s="51" t="s">
        <v>309</v>
      </c>
      <c r="D29" s="83" t="s">
        <v>973</v>
      </c>
      <c r="E29" s="8">
        <v>42</v>
      </c>
      <c r="F29" s="8">
        <v>20</v>
      </c>
      <c r="G29" s="8"/>
      <c r="H29" s="8"/>
      <c r="I29" s="8"/>
      <c r="J29" s="8">
        <v>10</v>
      </c>
      <c r="K29" s="8">
        <v>12</v>
      </c>
      <c r="L29" s="8"/>
      <c r="M29" s="8"/>
      <c r="N29" s="8"/>
      <c r="O29" s="53" t="b">
        <f t="shared" si="1"/>
        <v>1</v>
      </c>
    </row>
    <row r="30" spans="2:26" ht="30.4" customHeight="1" thickBot="1" x14ac:dyDescent="0.3">
      <c r="C30" s="51" t="s">
        <v>310</v>
      </c>
      <c r="D30" s="83" t="s">
        <v>974</v>
      </c>
      <c r="E30" s="8">
        <v>42</v>
      </c>
      <c r="F30" s="8"/>
      <c r="G30" s="8">
        <v>10</v>
      </c>
      <c r="H30" s="8"/>
      <c r="I30" s="8">
        <v>4</v>
      </c>
      <c r="J30" s="8">
        <v>22</v>
      </c>
      <c r="K30" s="8">
        <v>6</v>
      </c>
      <c r="L30" s="8"/>
      <c r="M30" s="8"/>
      <c r="N30" s="8"/>
      <c r="O30" s="53" t="b">
        <f t="shared" si="1"/>
        <v>1</v>
      </c>
    </row>
    <row r="31" spans="2:26" ht="30.4" customHeight="1" thickBot="1" x14ac:dyDescent="0.3">
      <c r="C31" s="51" t="s">
        <v>311</v>
      </c>
      <c r="D31" s="83" t="s">
        <v>975</v>
      </c>
      <c r="E31" s="8">
        <v>42</v>
      </c>
      <c r="F31" s="8"/>
      <c r="G31" s="8"/>
      <c r="H31" s="8"/>
      <c r="I31" s="8">
        <v>22</v>
      </c>
      <c r="J31" s="8">
        <v>20</v>
      </c>
      <c r="K31" s="8"/>
      <c r="L31" s="8"/>
      <c r="M31" s="8"/>
      <c r="N31" s="8"/>
      <c r="O31" s="53" t="b">
        <f t="shared" si="1"/>
        <v>1</v>
      </c>
    </row>
    <row r="32" spans="2:26" ht="30.4" customHeight="1" thickBot="1" x14ac:dyDescent="0.3">
      <c r="C32" s="51" t="s">
        <v>312</v>
      </c>
      <c r="D32" s="83"/>
      <c r="E32" s="8"/>
      <c r="F32" s="8"/>
      <c r="G32" s="8"/>
      <c r="H32" s="8"/>
      <c r="I32" s="8"/>
      <c r="J32" s="8"/>
      <c r="K32" s="8"/>
      <c r="L32" s="8"/>
      <c r="M32" s="8"/>
      <c r="N32" s="8"/>
      <c r="O32" s="53" t="b">
        <f t="shared" si="1"/>
        <v>1</v>
      </c>
    </row>
    <row r="33" spans="2:15" ht="30.4" customHeight="1" thickBot="1" x14ac:dyDescent="0.3">
      <c r="C33" s="51" t="s">
        <v>313</v>
      </c>
      <c r="D33" s="83"/>
      <c r="E33" s="8"/>
      <c r="F33" s="8"/>
      <c r="G33" s="8"/>
      <c r="H33" s="8"/>
      <c r="I33" s="8"/>
      <c r="J33" s="8"/>
      <c r="K33" s="8"/>
      <c r="L33" s="8"/>
      <c r="M33" s="8"/>
      <c r="N33" s="8"/>
      <c r="O33" s="53" t="b">
        <f t="shared" si="1"/>
        <v>1</v>
      </c>
    </row>
    <row r="34" spans="2:15" ht="30.4" customHeight="1" thickBot="1" x14ac:dyDescent="0.3">
      <c r="C34" s="51" t="s">
        <v>314</v>
      </c>
      <c r="D34" s="83"/>
      <c r="E34" s="8"/>
      <c r="F34" s="8"/>
      <c r="G34" s="8"/>
      <c r="H34" s="8"/>
      <c r="I34" s="8"/>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250</v>
      </c>
      <c r="F40" s="52">
        <f t="shared" si="2"/>
        <v>30</v>
      </c>
      <c r="G40" s="52">
        <f t="shared" si="2"/>
        <v>40</v>
      </c>
      <c r="H40" s="52">
        <f t="shared" si="2"/>
        <v>32</v>
      </c>
      <c r="I40" s="52">
        <f t="shared" si="2"/>
        <v>46</v>
      </c>
      <c r="J40" s="52">
        <f t="shared" si="2"/>
        <v>74</v>
      </c>
      <c r="K40" s="52">
        <f t="shared" si="2"/>
        <v>28</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0.12</v>
      </c>
      <c r="G41" s="54">
        <f>ROUND(G40/E40,2)</f>
        <v>0.16</v>
      </c>
      <c r="H41" s="54">
        <f>ROUND(H40/E40,2)</f>
        <v>0.13</v>
      </c>
      <c r="I41" s="54">
        <f>ROUND(I40/E40,2)</f>
        <v>0.18</v>
      </c>
      <c r="J41" s="54">
        <f>ROUND(J40/E40,2)</f>
        <v>0.3</v>
      </c>
      <c r="K41" s="54">
        <f>ROUND(K40/E40,2)</f>
        <v>0.11</v>
      </c>
      <c r="L41" s="54">
        <f>ROUND(L40/E40,2)</f>
        <v>0</v>
      </c>
      <c r="M41" s="54">
        <f>ROUND(M40/E40,2)</f>
        <v>0</v>
      </c>
      <c r="N41" s="54">
        <f>ROUND(N40/E40,2)</f>
        <v>0</v>
      </c>
      <c r="O41" s="54">
        <f>SUM(F41:N41)</f>
        <v>1.0000000000000002</v>
      </c>
    </row>
    <row r="42" spans="2:15" ht="55.9" customHeight="1" x14ac:dyDescent="0.25">
      <c r="C42" s="151" t="s">
        <v>322</v>
      </c>
      <c r="D42" s="151"/>
      <c r="E42" s="151"/>
      <c r="F42" s="7">
        <v>10</v>
      </c>
      <c r="G42" s="7">
        <v>15</v>
      </c>
      <c r="H42" s="7">
        <v>15</v>
      </c>
      <c r="I42" s="7">
        <v>20</v>
      </c>
      <c r="J42" s="7">
        <v>30</v>
      </c>
      <c r="K42" s="7">
        <v>10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K3.1</v>
      </c>
      <c r="F46" s="59" t="str">
        <f>C12</f>
        <v>S1.1</v>
      </c>
      <c r="G46" s="59" t="str">
        <f>C13</f>
        <v>S4.1</v>
      </c>
      <c r="H46" s="59" t="str">
        <f>C14</f>
        <v>S6.1</v>
      </c>
      <c r="I46" s="59" t="str">
        <f>C15</f>
        <v>V1.1</v>
      </c>
      <c r="J46" s="59" t="str">
        <f>C16</f>
        <v>V2.1</v>
      </c>
      <c r="K46" s="59">
        <f>C17</f>
        <v>0</v>
      </c>
      <c r="L46" s="59">
        <f>C18</f>
        <v>0</v>
      </c>
      <c r="M46" s="59">
        <f>C19</f>
        <v>0</v>
      </c>
      <c r="N46" s="60" t="s">
        <v>327</v>
      </c>
    </row>
    <row r="47" spans="2:15" ht="55.15" customHeight="1" x14ac:dyDescent="0.25">
      <c r="C47" s="9" t="s">
        <v>976</v>
      </c>
      <c r="D47" s="10">
        <v>30</v>
      </c>
      <c r="E47" s="8"/>
      <c r="F47" s="8"/>
      <c r="G47" s="8">
        <v>5</v>
      </c>
      <c r="H47" s="8">
        <v>15</v>
      </c>
      <c r="I47" s="8">
        <v>10</v>
      </c>
      <c r="J47" s="8"/>
      <c r="K47" s="8"/>
      <c r="L47" s="8"/>
      <c r="M47" s="8"/>
      <c r="N47" s="55" t="b">
        <f t="shared" ref="N47:N54" si="3">IF(SUM(E47:M47)=D47,TRUE,"false")</f>
        <v>1</v>
      </c>
    </row>
    <row r="48" spans="2:15" ht="55.15" customHeight="1" x14ac:dyDescent="0.25">
      <c r="C48" s="9" t="s">
        <v>977</v>
      </c>
      <c r="D48" s="10">
        <v>40</v>
      </c>
      <c r="E48" s="11"/>
      <c r="F48" s="12"/>
      <c r="G48" s="12">
        <v>10</v>
      </c>
      <c r="H48" s="12"/>
      <c r="I48" s="12">
        <v>20</v>
      </c>
      <c r="J48" s="12">
        <v>10</v>
      </c>
      <c r="K48" s="12"/>
      <c r="L48" s="12"/>
      <c r="M48" s="12"/>
      <c r="N48" s="55" t="b">
        <f t="shared" si="3"/>
        <v>1</v>
      </c>
    </row>
    <row r="49" spans="3:14" ht="55.15" customHeight="1" x14ac:dyDescent="0.25">
      <c r="C49" s="9" t="s">
        <v>412</v>
      </c>
      <c r="D49" s="10">
        <v>10</v>
      </c>
      <c r="E49" s="11">
        <v>5</v>
      </c>
      <c r="F49" s="12">
        <v>5</v>
      </c>
      <c r="G49" s="12"/>
      <c r="H49" s="12"/>
      <c r="I49" s="12"/>
      <c r="J49" s="12"/>
      <c r="K49" s="12"/>
      <c r="L49" s="12"/>
      <c r="M49" s="12"/>
      <c r="N49" s="55" t="b">
        <f t="shared" si="3"/>
        <v>1</v>
      </c>
    </row>
    <row r="50" spans="3:14" ht="55.15" customHeight="1" x14ac:dyDescent="0.25">
      <c r="C50" s="9" t="s">
        <v>978</v>
      </c>
      <c r="D50" s="10">
        <v>20</v>
      </c>
      <c r="E50" s="11">
        <v>5</v>
      </c>
      <c r="F50" s="12">
        <v>10</v>
      </c>
      <c r="G50" s="12"/>
      <c r="H50" s="12">
        <v>5</v>
      </c>
      <c r="I50" s="12"/>
      <c r="J50" s="12"/>
      <c r="K50" s="12"/>
      <c r="L50" s="12"/>
      <c r="M50" s="12"/>
      <c r="N50" s="55" t="b">
        <f t="shared" si="3"/>
        <v>1</v>
      </c>
    </row>
    <row r="51" spans="3:14" ht="55.15" customHeight="1" x14ac:dyDescent="0.25">
      <c r="C51" s="9"/>
      <c r="D51" s="10"/>
      <c r="E51" s="11"/>
      <c r="F51" s="12"/>
      <c r="G51" s="12"/>
      <c r="H51" s="12"/>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10</v>
      </c>
      <c r="F56" s="65">
        <f t="shared" si="5"/>
        <v>15</v>
      </c>
      <c r="G56" s="65">
        <f t="shared" si="5"/>
        <v>15</v>
      </c>
      <c r="H56" s="65">
        <f t="shared" si="5"/>
        <v>20</v>
      </c>
      <c r="I56" s="65">
        <f t="shared" si="5"/>
        <v>30</v>
      </c>
      <c r="J56" s="65">
        <f t="shared" si="5"/>
        <v>10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763" priority="11">
      <formula>LEN(TRIM(D47))=0</formula>
    </cfRule>
    <cfRule type="cellIs" dxfId="762" priority="12" operator="equal">
      <formula>0</formula>
    </cfRule>
  </conditionalFormatting>
  <conditionalFormatting sqref="E50">
    <cfRule type="containsBlanks" dxfId="761" priority="21">
      <formula>LEN(TRIM(E50))=0</formula>
    </cfRule>
    <cfRule type="cellIs" dxfId="760" priority="22" operator="equal">
      <formula>0</formula>
    </cfRule>
  </conditionalFormatting>
  <conditionalFormatting sqref="E47:M51 E52">
    <cfRule type="containsBlanks" dxfId="759" priority="17">
      <formula>LEN(TRIM(E47))=0</formula>
    </cfRule>
    <cfRule type="cellIs" dxfId="758" priority="18" operator="equal">
      <formula>0</formula>
    </cfRule>
  </conditionalFormatting>
  <conditionalFormatting sqref="E53:M54">
    <cfRule type="containsBlanks" dxfId="757" priority="15">
      <formula>LEN(TRIM(E53))=0</formula>
    </cfRule>
    <cfRule type="cellIs" dxfId="756" priority="16" operator="equal">
      <formula>0</formula>
    </cfRule>
  </conditionalFormatting>
  <conditionalFormatting sqref="E55:M55">
    <cfRule type="containsText" dxfId="755" priority="5" operator="containsText" text="false">
      <formula>NOT(ISERROR(SEARCH("false",E55)))</formula>
    </cfRule>
    <cfRule type="containsText" dxfId="754" priority="6" operator="containsText" text="true">
      <formula>NOT(ISERROR(SEARCH("true",E55)))</formula>
    </cfRule>
  </conditionalFormatting>
  <conditionalFormatting sqref="E26:N39">
    <cfRule type="containsBlanks" dxfId="753" priority="3">
      <formula>LEN(TRIM(E26))=0</formula>
    </cfRule>
    <cfRule type="cellIs" dxfId="752" priority="4" operator="equal">
      <formula>0</formula>
    </cfRule>
  </conditionalFormatting>
  <conditionalFormatting sqref="F48:M48">
    <cfRule type="containsBlanks" dxfId="751" priority="23">
      <formula>LEN(TRIM(F48))=0</formula>
    </cfRule>
    <cfRule type="cellIs" dxfId="750" priority="24" operator="equal">
      <formula>0</formula>
    </cfRule>
  </conditionalFormatting>
  <conditionalFormatting sqref="F50:M52">
    <cfRule type="containsBlanks" dxfId="749" priority="19">
      <formula>LEN(TRIM(F50))=0</formula>
    </cfRule>
    <cfRule type="cellIs" dxfId="748" priority="20" operator="equal">
      <formula>0</formula>
    </cfRule>
  </conditionalFormatting>
  <conditionalFormatting sqref="N47:N54">
    <cfRule type="containsText" dxfId="747" priority="7" operator="containsText" text="false">
      <formula>NOT(ISERROR(SEARCH("false",N47)))</formula>
    </cfRule>
    <cfRule type="containsText" dxfId="746" priority="8" operator="containsText" text="true">
      <formula>NOT(ISERROR(SEARCH("true",N47)))</formula>
    </cfRule>
  </conditionalFormatting>
  <conditionalFormatting sqref="N55">
    <cfRule type="containsBlanks" dxfId="745" priority="13">
      <formula>LEN(TRIM(N55))=0</formula>
    </cfRule>
    <cfRule type="cellIs" dxfId="744" priority="14" operator="equal">
      <formula>0</formula>
    </cfRule>
  </conditionalFormatting>
  <conditionalFormatting sqref="O26:O40">
    <cfRule type="containsText" dxfId="743" priority="9" operator="containsText" text="false">
      <formula>NOT(ISERROR(SEARCH("false",O26)))</formula>
    </cfRule>
    <cfRule type="containsText" dxfId="742" priority="10" operator="containsText" text="true">
      <formula>NOT(ISERROR(SEARCH("true",O26)))</formula>
    </cfRule>
  </conditionalFormatting>
  <conditionalFormatting sqref="O42">
    <cfRule type="cellIs" dxfId="741" priority="1" operator="notEqual">
      <formula>100</formula>
    </cfRule>
    <cfRule type="cellIs" dxfId="740" priority="2" operator="equal">
      <formula>100</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15.5703125" style="19" customWidth="1"/>
    <col min="3" max="3" width="33" style="19" customWidth="1"/>
    <col min="4" max="4" width="72.285156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214</v>
      </c>
      <c r="J6" s="43" t="s">
        <v>278</v>
      </c>
      <c r="K6" s="1" t="s">
        <v>94</v>
      </c>
    </row>
    <row r="7" spans="2:26" ht="60.75" customHeight="1" thickBot="1" x14ac:dyDescent="0.3">
      <c r="B7" s="160"/>
      <c r="C7" s="161"/>
      <c r="D7" s="43" t="s">
        <v>279</v>
      </c>
      <c r="E7" s="1">
        <v>4</v>
      </c>
      <c r="F7" s="43" t="s">
        <v>280</v>
      </c>
      <c r="G7" s="1">
        <v>7</v>
      </c>
      <c r="H7" s="43" t="s">
        <v>281</v>
      </c>
      <c r="I7" s="1">
        <v>2</v>
      </c>
      <c r="J7" s="43" t="s">
        <v>283</v>
      </c>
      <c r="K7" s="1" t="s">
        <v>685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26.75" customHeight="1" x14ac:dyDescent="0.25">
      <c r="B11" s="36"/>
      <c r="C11" s="2" t="s">
        <v>415</v>
      </c>
      <c r="D11" s="78" t="s">
        <v>979</v>
      </c>
      <c r="E11" s="2" t="s">
        <v>10</v>
      </c>
      <c r="F11" s="3"/>
      <c r="G11" s="17"/>
      <c r="H11" s="17">
        <v>0.6</v>
      </c>
      <c r="I11" s="17">
        <v>1</v>
      </c>
      <c r="J11" s="80" t="s">
        <v>980</v>
      </c>
      <c r="K11" s="80" t="s">
        <v>516</v>
      </c>
      <c r="U11" s="3">
        <f>F11</f>
        <v>0</v>
      </c>
      <c r="V11" s="2" t="str">
        <f>C11</f>
        <v>K2.1</v>
      </c>
      <c r="W11" s="2"/>
      <c r="X11" s="17"/>
      <c r="Y11" s="37"/>
      <c r="Z11" s="37"/>
    </row>
    <row r="12" spans="2:26" ht="147.75" customHeight="1" x14ac:dyDescent="0.25">
      <c r="B12" s="36"/>
      <c r="C12" s="5" t="s">
        <v>507</v>
      </c>
      <c r="D12" s="78" t="s">
        <v>981</v>
      </c>
      <c r="E12" s="5" t="s">
        <v>10</v>
      </c>
      <c r="F12" s="6"/>
      <c r="G12" s="4"/>
      <c r="H12" s="17">
        <v>0.6</v>
      </c>
      <c r="I12" s="17">
        <v>1</v>
      </c>
      <c r="J12" s="80" t="s">
        <v>980</v>
      </c>
      <c r="K12" s="80" t="s">
        <v>982</v>
      </c>
      <c r="U12" s="6">
        <f>F12</f>
        <v>0</v>
      </c>
      <c r="V12" s="2" t="str">
        <f>C12</f>
        <v>K2.2</v>
      </c>
      <c r="W12" s="5"/>
      <c r="X12" s="4"/>
      <c r="Y12" s="38"/>
      <c r="Z12" s="38"/>
    </row>
    <row r="13" spans="2:26" ht="88.5" customHeight="1" x14ac:dyDescent="0.25">
      <c r="B13" s="36"/>
      <c r="C13" s="5" t="s">
        <v>586</v>
      </c>
      <c r="D13" s="78" t="s">
        <v>983</v>
      </c>
      <c r="E13" s="5" t="s">
        <v>27</v>
      </c>
      <c r="F13" s="6"/>
      <c r="G13" s="4"/>
      <c r="H13" s="17">
        <v>0.6</v>
      </c>
      <c r="I13" s="17">
        <v>1</v>
      </c>
      <c r="J13" s="80" t="s">
        <v>984</v>
      </c>
      <c r="K13" s="80" t="s">
        <v>985</v>
      </c>
      <c r="U13" s="6">
        <f>F13</f>
        <v>0</v>
      </c>
      <c r="V13" s="2" t="str">
        <f>C13</f>
        <v>S5.1</v>
      </c>
      <c r="W13" s="5"/>
      <c r="X13" s="4"/>
      <c r="Y13" s="38"/>
      <c r="Z13" s="38"/>
    </row>
    <row r="14" spans="2:26" ht="73.5" customHeight="1" x14ac:dyDescent="0.25">
      <c r="B14" s="36"/>
      <c r="C14" s="5" t="s">
        <v>567</v>
      </c>
      <c r="D14" s="79" t="s">
        <v>986</v>
      </c>
      <c r="E14" s="5" t="s">
        <v>48</v>
      </c>
      <c r="F14" s="6"/>
      <c r="G14" s="4"/>
      <c r="H14" s="17">
        <v>0.6</v>
      </c>
      <c r="I14" s="17">
        <v>1</v>
      </c>
      <c r="J14" s="80" t="s">
        <v>987</v>
      </c>
      <c r="K14" s="80" t="s">
        <v>985</v>
      </c>
      <c r="U14" s="6">
        <f>F14</f>
        <v>0</v>
      </c>
      <c r="V14" s="2" t="str">
        <f>C14</f>
        <v>V2.1</v>
      </c>
      <c r="W14" s="5"/>
      <c r="X14" s="4"/>
      <c r="Y14" s="38"/>
      <c r="Z14" s="38"/>
    </row>
    <row r="15" spans="2:26" ht="92.25" customHeight="1" x14ac:dyDescent="0.25">
      <c r="B15" s="36"/>
      <c r="C15" s="5"/>
      <c r="D15" s="24"/>
      <c r="E15" s="5"/>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S5.1</v>
      </c>
      <c r="I25" s="49" t="str">
        <f>C14</f>
        <v>V2.1</v>
      </c>
      <c r="J25" s="49">
        <f>C15</f>
        <v>0</v>
      </c>
      <c r="K25" s="49">
        <f>C16</f>
        <v>0</v>
      </c>
      <c r="L25" s="49">
        <f>C17</f>
        <v>0</v>
      </c>
      <c r="M25" s="49">
        <f>C18</f>
        <v>0</v>
      </c>
      <c r="N25" s="49">
        <f>C19</f>
        <v>0</v>
      </c>
      <c r="O25" s="50" t="s">
        <v>305</v>
      </c>
    </row>
    <row r="26" spans="2:26" ht="30.4" customHeight="1" thickBot="1" x14ac:dyDescent="0.3">
      <c r="C26" s="51" t="s">
        <v>306</v>
      </c>
      <c r="D26" s="85" t="s">
        <v>988</v>
      </c>
      <c r="E26" s="8">
        <v>2</v>
      </c>
      <c r="F26" s="8">
        <v>1</v>
      </c>
      <c r="G26" s="8"/>
      <c r="H26" s="8"/>
      <c r="I26" s="8">
        <v>1</v>
      </c>
      <c r="J26" s="8"/>
      <c r="K26" s="8"/>
      <c r="L26" s="8"/>
      <c r="M26" s="8"/>
      <c r="N26" s="8"/>
      <c r="O26" s="53" t="b">
        <f t="shared" ref="O26:O40" si="0">IF(SUM(F26:N26)=E26,TRUE,"false")</f>
        <v>1</v>
      </c>
    </row>
    <row r="27" spans="2:26" ht="33" customHeight="1" thickBot="1" x14ac:dyDescent="0.3">
      <c r="C27" s="51" t="s">
        <v>307</v>
      </c>
      <c r="D27" s="85" t="s">
        <v>989</v>
      </c>
      <c r="E27" s="8">
        <v>2</v>
      </c>
      <c r="F27" s="8">
        <v>1</v>
      </c>
      <c r="G27" s="8">
        <v>1</v>
      </c>
      <c r="H27" s="8"/>
      <c r="I27" s="8"/>
      <c r="J27" s="8"/>
      <c r="K27" s="8"/>
      <c r="L27" s="8"/>
      <c r="M27" s="8"/>
      <c r="N27" s="8"/>
      <c r="O27" s="53" t="b">
        <f t="shared" si="0"/>
        <v>1</v>
      </c>
    </row>
    <row r="28" spans="2:26" ht="35.25" customHeight="1" thickBot="1" x14ac:dyDescent="0.3">
      <c r="C28" s="51" t="s">
        <v>308</v>
      </c>
      <c r="D28" s="86" t="s">
        <v>990</v>
      </c>
      <c r="E28" s="87">
        <v>2</v>
      </c>
      <c r="F28" s="8">
        <v>1</v>
      </c>
      <c r="G28" s="8"/>
      <c r="H28" s="8"/>
      <c r="I28" s="8">
        <v>1</v>
      </c>
      <c r="J28" s="8"/>
      <c r="K28" s="8"/>
      <c r="L28" s="8"/>
      <c r="M28" s="8"/>
      <c r="N28" s="8"/>
      <c r="O28" s="53" t="b">
        <f t="shared" si="0"/>
        <v>1</v>
      </c>
    </row>
    <row r="29" spans="2:26" ht="30.4" customHeight="1" thickBot="1" x14ac:dyDescent="0.3">
      <c r="C29" s="51" t="s">
        <v>309</v>
      </c>
      <c r="D29" s="86" t="s">
        <v>991</v>
      </c>
      <c r="E29" s="8">
        <v>4</v>
      </c>
      <c r="F29" s="8">
        <v>2</v>
      </c>
      <c r="G29" s="8">
        <v>1</v>
      </c>
      <c r="H29" s="8"/>
      <c r="I29" s="8">
        <v>1</v>
      </c>
      <c r="J29" s="8"/>
      <c r="K29" s="8"/>
      <c r="L29" s="8"/>
      <c r="M29" s="8"/>
      <c r="N29" s="8"/>
      <c r="O29" s="53" t="b">
        <f t="shared" si="0"/>
        <v>1</v>
      </c>
    </row>
    <row r="30" spans="2:26" ht="30.4" customHeight="1" thickBot="1" x14ac:dyDescent="0.3">
      <c r="C30" s="51" t="s">
        <v>310</v>
      </c>
      <c r="D30" s="86" t="s">
        <v>992</v>
      </c>
      <c r="E30" s="8">
        <v>4</v>
      </c>
      <c r="F30" s="8"/>
      <c r="G30" s="8">
        <v>2</v>
      </c>
      <c r="H30" s="8">
        <v>2</v>
      </c>
      <c r="I30" s="8"/>
      <c r="J30" s="8"/>
      <c r="K30" s="8"/>
      <c r="L30" s="8"/>
      <c r="M30" s="8"/>
      <c r="N30" s="8"/>
      <c r="O30" s="53" t="b">
        <f t="shared" si="0"/>
        <v>1</v>
      </c>
    </row>
    <row r="31" spans="2:26" ht="30.4" customHeight="1" thickBot="1" x14ac:dyDescent="0.3">
      <c r="C31" s="51" t="s">
        <v>311</v>
      </c>
      <c r="D31" s="86" t="s">
        <v>993</v>
      </c>
      <c r="E31" s="8">
        <v>2</v>
      </c>
      <c r="F31" s="8"/>
      <c r="G31" s="8">
        <v>1</v>
      </c>
      <c r="H31" s="8">
        <v>1</v>
      </c>
      <c r="I31" s="8"/>
      <c r="J31" s="8"/>
      <c r="K31" s="8"/>
      <c r="L31" s="8"/>
      <c r="M31" s="8"/>
      <c r="N31" s="8"/>
      <c r="O31" s="53" t="b">
        <f t="shared" si="0"/>
        <v>1</v>
      </c>
    </row>
    <row r="32" spans="2:26" ht="30.4" customHeight="1" thickBot="1" x14ac:dyDescent="0.3">
      <c r="C32" s="51" t="s">
        <v>312</v>
      </c>
      <c r="D32" s="86" t="s">
        <v>994</v>
      </c>
      <c r="E32" s="8">
        <v>2</v>
      </c>
      <c r="F32" s="8">
        <v>1</v>
      </c>
      <c r="G32" s="8">
        <v>1</v>
      </c>
      <c r="H32" s="8"/>
      <c r="I32" s="8"/>
      <c r="J32" s="8"/>
      <c r="K32" s="8"/>
      <c r="L32" s="8"/>
      <c r="M32" s="8"/>
      <c r="N32" s="8"/>
      <c r="O32" s="53" t="b">
        <f t="shared" si="0"/>
        <v>1</v>
      </c>
    </row>
    <row r="33" spans="2:15" ht="30.4" customHeight="1" thickBot="1" x14ac:dyDescent="0.3">
      <c r="C33" s="51" t="s">
        <v>313</v>
      </c>
      <c r="D33" s="86" t="s">
        <v>995</v>
      </c>
      <c r="E33" s="8">
        <v>2</v>
      </c>
      <c r="F33" s="8"/>
      <c r="G33" s="8"/>
      <c r="H33" s="8">
        <v>2</v>
      </c>
      <c r="I33" s="8"/>
      <c r="J33" s="8"/>
      <c r="K33" s="8"/>
      <c r="L33" s="8"/>
      <c r="M33" s="8"/>
      <c r="N33" s="8"/>
      <c r="O33" s="53" t="b">
        <f t="shared" si="0"/>
        <v>1</v>
      </c>
    </row>
    <row r="34" spans="2:15" ht="30.4" customHeight="1" thickBot="1" x14ac:dyDescent="0.3">
      <c r="C34" s="51" t="s">
        <v>314</v>
      </c>
      <c r="D34" s="86" t="s">
        <v>996</v>
      </c>
      <c r="E34" s="8">
        <v>4</v>
      </c>
      <c r="F34" s="8">
        <v>2</v>
      </c>
      <c r="G34" s="8">
        <v>1</v>
      </c>
      <c r="H34" s="8">
        <v>1</v>
      </c>
      <c r="I34" s="8"/>
      <c r="J34" s="8"/>
      <c r="K34" s="8"/>
      <c r="L34" s="8"/>
      <c r="M34" s="8"/>
      <c r="N34" s="8"/>
      <c r="O34" s="53" t="b">
        <f t="shared" si="0"/>
        <v>1</v>
      </c>
    </row>
    <row r="35" spans="2:15" ht="30.4" customHeight="1" thickBot="1" x14ac:dyDescent="0.3">
      <c r="C35" s="51" t="s">
        <v>315</v>
      </c>
      <c r="D35" s="86" t="s">
        <v>997</v>
      </c>
      <c r="E35" s="8">
        <v>4</v>
      </c>
      <c r="F35" s="8">
        <v>1</v>
      </c>
      <c r="G35" s="8">
        <v>2</v>
      </c>
      <c r="H35" s="8">
        <v>1</v>
      </c>
      <c r="I35" s="8"/>
      <c r="J35" s="8"/>
      <c r="K35" s="8"/>
      <c r="L35" s="8"/>
      <c r="M35" s="8"/>
      <c r="N35" s="8"/>
      <c r="O35" s="53" t="b">
        <f t="shared" si="0"/>
        <v>1</v>
      </c>
    </row>
    <row r="36" spans="2:15" ht="30.4" customHeight="1" thickBot="1" x14ac:dyDescent="0.3">
      <c r="C36" s="51" t="s">
        <v>316</v>
      </c>
      <c r="D36" s="86" t="s">
        <v>998</v>
      </c>
      <c r="E36" s="8">
        <v>2</v>
      </c>
      <c r="F36" s="8">
        <v>1</v>
      </c>
      <c r="G36" s="8">
        <v>1</v>
      </c>
      <c r="H36" s="8"/>
      <c r="I36" s="8"/>
      <c r="J36" s="8"/>
      <c r="K36" s="8"/>
      <c r="L36" s="8"/>
      <c r="M36" s="8"/>
      <c r="N36" s="8"/>
      <c r="O36" s="53" t="b">
        <f t="shared" si="0"/>
        <v>1</v>
      </c>
    </row>
    <row r="37" spans="2:15" ht="30.4" customHeight="1" thickBot="1" x14ac:dyDescent="0.3">
      <c r="C37" s="51" t="s">
        <v>317</v>
      </c>
      <c r="D37" s="86"/>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10</v>
      </c>
      <c r="G40" s="52">
        <f t="shared" si="1"/>
        <v>10</v>
      </c>
      <c r="H40" s="52">
        <f t="shared" si="1"/>
        <v>7</v>
      </c>
      <c r="I40" s="52">
        <f t="shared" si="1"/>
        <v>3</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0.33</v>
      </c>
      <c r="G41" s="54">
        <f>ROUND(G40/E40,2)</f>
        <v>0.33</v>
      </c>
      <c r="H41" s="54">
        <f>ROUND(H40/E40,2)</f>
        <v>0.23</v>
      </c>
      <c r="I41" s="54">
        <f>ROUND(I40/E40,2)</f>
        <v>0.1</v>
      </c>
      <c r="J41" s="54">
        <f>ROUND(J40/E40,2)</f>
        <v>0</v>
      </c>
      <c r="K41" s="54">
        <f>ROUND(K40/E40,2)</f>
        <v>0</v>
      </c>
      <c r="L41" s="54">
        <f>ROUND(L40/E40,2)</f>
        <v>0</v>
      </c>
      <c r="M41" s="54">
        <f>ROUND(M40/E40,2)</f>
        <v>0</v>
      </c>
      <c r="N41" s="54">
        <f>ROUND(N40/E40,2)</f>
        <v>0</v>
      </c>
      <c r="O41" s="54">
        <f>SUM(F41:N41)</f>
        <v>0.99</v>
      </c>
    </row>
    <row r="42" spans="2:15" ht="55.9" customHeight="1" x14ac:dyDescent="0.25">
      <c r="C42" s="151" t="s">
        <v>322</v>
      </c>
      <c r="D42" s="151"/>
      <c r="E42" s="151"/>
      <c r="F42" s="7">
        <v>35</v>
      </c>
      <c r="G42" s="7">
        <v>35</v>
      </c>
      <c r="H42" s="7">
        <v>20</v>
      </c>
      <c r="I42" s="7">
        <v>10</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S5.1</v>
      </c>
      <c r="H46" s="59" t="str">
        <f>C14</f>
        <v>V2.1</v>
      </c>
      <c r="I46" s="59">
        <f>C15</f>
        <v>0</v>
      </c>
      <c r="J46" s="59">
        <f>C16</f>
        <v>0</v>
      </c>
      <c r="K46" s="59">
        <f>C17</f>
        <v>0</v>
      </c>
      <c r="L46" s="59">
        <f>C18</f>
        <v>0</v>
      </c>
      <c r="M46" s="59">
        <f>C19</f>
        <v>0</v>
      </c>
      <c r="N46" s="60" t="s">
        <v>327</v>
      </c>
    </row>
    <row r="47" spans="2:15" ht="55.15" customHeight="1" x14ac:dyDescent="0.25">
      <c r="C47" s="9" t="s">
        <v>999</v>
      </c>
      <c r="D47" s="10">
        <v>25</v>
      </c>
      <c r="E47" s="8">
        <v>7</v>
      </c>
      <c r="F47" s="8">
        <v>8</v>
      </c>
      <c r="G47" s="8">
        <v>10</v>
      </c>
      <c r="H47" s="8"/>
      <c r="I47" s="8"/>
      <c r="J47" s="8"/>
      <c r="K47" s="8"/>
      <c r="L47" s="8"/>
      <c r="M47" s="8"/>
      <c r="N47" s="55" t="b">
        <f t="shared" ref="N47:N54" si="2">IF(SUM(E47:M47)=D47,TRUE,"false")</f>
        <v>1</v>
      </c>
    </row>
    <row r="48" spans="2:15" ht="55.15" customHeight="1" x14ac:dyDescent="0.25">
      <c r="C48" s="9" t="s">
        <v>329</v>
      </c>
      <c r="D48" s="10">
        <v>7</v>
      </c>
      <c r="E48" s="11">
        <v>4</v>
      </c>
      <c r="F48" s="12">
        <v>3</v>
      </c>
      <c r="G48" s="12"/>
      <c r="H48" s="12"/>
      <c r="I48" s="12"/>
      <c r="J48" s="12"/>
      <c r="K48" s="12"/>
      <c r="L48" s="12"/>
      <c r="M48" s="12"/>
      <c r="N48" s="55" t="b">
        <f t="shared" si="2"/>
        <v>1</v>
      </c>
    </row>
    <row r="49" spans="3:14" ht="55.15" customHeight="1" x14ac:dyDescent="0.25">
      <c r="C49" s="9" t="s">
        <v>330</v>
      </c>
      <c r="D49" s="10">
        <v>8</v>
      </c>
      <c r="E49" s="11">
        <v>4</v>
      </c>
      <c r="F49" s="12">
        <v>4</v>
      </c>
      <c r="G49" s="12"/>
      <c r="H49" s="12"/>
      <c r="I49" s="12"/>
      <c r="J49" s="12"/>
      <c r="K49" s="12"/>
      <c r="L49" s="12"/>
      <c r="M49" s="12"/>
      <c r="N49" s="55" t="b">
        <f t="shared" si="2"/>
        <v>1</v>
      </c>
    </row>
    <row r="50" spans="3:14" ht="55.15" customHeight="1" x14ac:dyDescent="0.25">
      <c r="C50" s="9" t="s">
        <v>412</v>
      </c>
      <c r="D50" s="10">
        <v>10</v>
      </c>
      <c r="E50" s="11"/>
      <c r="F50" s="12"/>
      <c r="G50" s="12"/>
      <c r="H50" s="12">
        <v>10</v>
      </c>
      <c r="I50" s="12"/>
      <c r="J50" s="12"/>
      <c r="K50" s="12"/>
      <c r="L50" s="12"/>
      <c r="M50" s="12"/>
      <c r="N50" s="55" t="b">
        <f t="shared" si="2"/>
        <v>1</v>
      </c>
    </row>
    <row r="51" spans="3:14" ht="55.15" customHeight="1" x14ac:dyDescent="0.25">
      <c r="C51" s="9" t="s">
        <v>531</v>
      </c>
      <c r="D51" s="10">
        <v>50</v>
      </c>
      <c r="E51" s="11">
        <v>20</v>
      </c>
      <c r="F51" s="12">
        <v>20</v>
      </c>
      <c r="G51" s="12">
        <v>10</v>
      </c>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35</v>
      </c>
      <c r="F56" s="65">
        <f t="shared" si="4"/>
        <v>35</v>
      </c>
      <c r="G56" s="65">
        <f t="shared" si="4"/>
        <v>20</v>
      </c>
      <c r="H56" s="65">
        <f t="shared" si="4"/>
        <v>10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E50">
    <cfRule type="containsBlanks" dxfId="739" priority="17">
      <formula>LEN(TRIM(E50))=0</formula>
    </cfRule>
    <cfRule type="cellIs" dxfId="738" priority="18" operator="equal">
      <formula>0</formula>
    </cfRule>
  </conditionalFormatting>
  <conditionalFormatting sqref="E47:M51">
    <cfRule type="containsBlanks" dxfId="737" priority="15">
      <formula>LEN(TRIM(E47))=0</formula>
    </cfRule>
    <cfRule type="cellIs" dxfId="736" priority="16" operator="equal">
      <formula>0</formula>
    </cfRule>
  </conditionalFormatting>
  <conditionalFormatting sqref="E53:M54">
    <cfRule type="containsBlanks" dxfId="735" priority="13">
      <formula>LEN(TRIM(E53))=0</formula>
    </cfRule>
    <cfRule type="cellIs" dxfId="734" priority="14" operator="equal">
      <formula>0</formula>
    </cfRule>
  </conditionalFormatting>
  <conditionalFormatting sqref="E55:M55">
    <cfRule type="containsText" dxfId="733" priority="3" operator="containsText" text="false">
      <formula>NOT(ISERROR(SEARCH("false",E55)))</formula>
    </cfRule>
    <cfRule type="containsText" dxfId="732" priority="4" operator="containsText" text="true">
      <formula>NOT(ISERROR(SEARCH("true",E55)))</formula>
    </cfRule>
  </conditionalFormatting>
  <conditionalFormatting sqref="E26:N39 D47:D54 F50:M51 E52:H52 J52:M52 I52:I53">
    <cfRule type="containsBlanks" dxfId="731" priority="9">
      <formula>LEN(TRIM(D26))=0</formula>
    </cfRule>
    <cfRule type="cellIs" dxfId="730" priority="10" operator="equal">
      <formula>0</formula>
    </cfRule>
  </conditionalFormatting>
  <conditionalFormatting sqref="F48:M48">
    <cfRule type="containsBlanks" dxfId="729" priority="19">
      <formula>LEN(TRIM(F48))=0</formula>
    </cfRule>
    <cfRule type="cellIs" dxfId="728" priority="20" operator="equal">
      <formula>0</formula>
    </cfRule>
  </conditionalFormatting>
  <conditionalFormatting sqref="N47:N54">
    <cfRule type="containsText" dxfId="727" priority="5" operator="containsText" text="false">
      <formula>NOT(ISERROR(SEARCH("false",N47)))</formula>
    </cfRule>
    <cfRule type="containsText" dxfId="726" priority="6" operator="containsText" text="true">
      <formula>NOT(ISERROR(SEARCH("true",N47)))</formula>
    </cfRule>
  </conditionalFormatting>
  <conditionalFormatting sqref="N55">
    <cfRule type="containsBlanks" dxfId="725" priority="11">
      <formula>LEN(TRIM(N55))=0</formula>
    </cfRule>
    <cfRule type="cellIs" dxfId="724" priority="12" operator="equal">
      <formula>0</formula>
    </cfRule>
  </conditionalFormatting>
  <conditionalFormatting sqref="O26:O40">
    <cfRule type="containsText" dxfId="723" priority="7" operator="containsText" text="false">
      <formula>NOT(ISERROR(SEARCH("false",O26)))</formula>
    </cfRule>
    <cfRule type="containsText" dxfId="722" priority="8" operator="containsText" text="true">
      <formula>NOT(ISERROR(SEARCH("true",O26)))</formula>
    </cfRule>
  </conditionalFormatting>
  <conditionalFormatting sqref="O42">
    <cfRule type="cellIs" dxfId="721" priority="1" operator="notEqual">
      <formula>100</formula>
    </cfRule>
    <cfRule type="cellIs" dxfId="720" priority="2" operator="equal">
      <formula>100</formula>
    </cfRule>
  </conditionalFormatting>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8.855468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216</v>
      </c>
      <c r="J6" s="43" t="s">
        <v>278</v>
      </c>
      <c r="K6" s="1" t="s">
        <v>95</v>
      </c>
    </row>
    <row r="7" spans="2:26" ht="72.599999999999994" customHeight="1" thickBot="1" x14ac:dyDescent="0.3">
      <c r="B7" s="160"/>
      <c r="C7" s="161"/>
      <c r="D7" s="43" t="s">
        <v>279</v>
      </c>
      <c r="E7" s="1">
        <v>4</v>
      </c>
      <c r="F7" s="43" t="s">
        <v>280</v>
      </c>
      <c r="G7" s="1">
        <v>7</v>
      </c>
      <c r="H7" s="43" t="s">
        <v>281</v>
      </c>
      <c r="I7" s="1">
        <v>2</v>
      </c>
      <c r="J7" s="43" t="s">
        <v>283</v>
      </c>
      <c r="K7" s="1" t="s">
        <v>832</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2" t="s">
        <v>297</v>
      </c>
      <c r="D11" s="78" t="s">
        <v>1000</v>
      </c>
      <c r="E11" s="2" t="s">
        <v>7</v>
      </c>
      <c r="F11" s="3"/>
      <c r="G11" s="17"/>
      <c r="H11" s="17">
        <v>0.6</v>
      </c>
      <c r="I11" s="17">
        <v>1</v>
      </c>
      <c r="J11" s="80" t="s">
        <v>790</v>
      </c>
      <c r="K11" s="80" t="s">
        <v>643</v>
      </c>
      <c r="U11" s="3">
        <f>F11</f>
        <v>0</v>
      </c>
      <c r="V11" s="2" t="str">
        <f t="shared" ref="V11:V19" si="0">C11</f>
        <v>K1.1</v>
      </c>
      <c r="W11" s="2"/>
      <c r="X11" s="17"/>
      <c r="Y11" s="37"/>
      <c r="Z11" s="37"/>
    </row>
    <row r="12" spans="2:26" ht="172.5" customHeight="1" x14ac:dyDescent="0.25">
      <c r="B12" s="36"/>
      <c r="C12" s="5" t="s">
        <v>298</v>
      </c>
      <c r="D12" s="79" t="s">
        <v>1001</v>
      </c>
      <c r="E12" s="5" t="s">
        <v>7</v>
      </c>
      <c r="F12" s="6"/>
      <c r="G12" s="4"/>
      <c r="H12" s="17">
        <v>0.6</v>
      </c>
      <c r="I12" s="17">
        <v>1</v>
      </c>
      <c r="J12" s="80" t="s">
        <v>790</v>
      </c>
      <c r="K12" s="80" t="s">
        <v>747</v>
      </c>
      <c r="U12" s="6">
        <f>F12</f>
        <v>0</v>
      </c>
      <c r="V12" s="2" t="str">
        <f t="shared" si="0"/>
        <v>K1.2</v>
      </c>
      <c r="W12" s="5"/>
      <c r="X12" s="4"/>
      <c r="Y12" s="38"/>
      <c r="Z12" s="38"/>
    </row>
    <row r="13" spans="2:26" ht="99.75" customHeight="1" x14ac:dyDescent="0.25">
      <c r="B13" s="36"/>
      <c r="C13" s="5" t="s">
        <v>644</v>
      </c>
      <c r="D13" s="79" t="s">
        <v>1725</v>
      </c>
      <c r="E13" s="5" t="s">
        <v>18</v>
      </c>
      <c r="F13" s="6"/>
      <c r="G13" s="4"/>
      <c r="H13" s="17">
        <v>0.6</v>
      </c>
      <c r="I13" s="17">
        <v>1</v>
      </c>
      <c r="J13" s="81" t="s">
        <v>899</v>
      </c>
      <c r="K13" s="81" t="s">
        <v>900</v>
      </c>
      <c r="U13" s="6">
        <f>F13</f>
        <v>0</v>
      </c>
      <c r="V13" s="2" t="str">
        <f t="shared" si="0"/>
        <v>S1.1</v>
      </c>
      <c r="W13" s="5"/>
      <c r="X13" s="4"/>
      <c r="Y13" s="38"/>
      <c r="Z13" s="38"/>
    </row>
    <row r="14" spans="2:26" ht="58.9" customHeight="1" x14ac:dyDescent="0.25">
      <c r="B14" s="36"/>
      <c r="C14" s="5" t="s">
        <v>342</v>
      </c>
      <c r="D14" s="79" t="s">
        <v>1002</v>
      </c>
      <c r="E14" s="5" t="s">
        <v>22</v>
      </c>
      <c r="F14" s="6"/>
      <c r="G14" s="4"/>
      <c r="H14" s="17">
        <v>0.6</v>
      </c>
      <c r="I14" s="17">
        <v>1</v>
      </c>
      <c r="J14" s="81" t="s">
        <v>902</v>
      </c>
      <c r="K14" s="81" t="s">
        <v>793</v>
      </c>
      <c r="U14" s="6">
        <f>F14</f>
        <v>0</v>
      </c>
      <c r="V14" s="2" t="str">
        <f t="shared" si="0"/>
        <v>S2.1</v>
      </c>
      <c r="W14" s="5"/>
      <c r="X14" s="4"/>
      <c r="Y14" s="38"/>
      <c r="Z14" s="38"/>
    </row>
    <row r="15" spans="2:26" ht="87" customHeight="1" x14ac:dyDescent="0.25">
      <c r="B15" s="36"/>
      <c r="C15" s="5" t="s">
        <v>395</v>
      </c>
      <c r="D15" s="79" t="s">
        <v>1734</v>
      </c>
      <c r="E15" s="5" t="s">
        <v>24</v>
      </c>
      <c r="F15" s="6"/>
      <c r="G15" s="4"/>
      <c r="H15" s="17">
        <v>0.6</v>
      </c>
      <c r="I15" s="17">
        <v>1</v>
      </c>
      <c r="J15" s="81" t="s">
        <v>794</v>
      </c>
      <c r="K15" s="81" t="s">
        <v>900</v>
      </c>
      <c r="U15" s="6">
        <f>F15</f>
        <v>0</v>
      </c>
      <c r="V15" s="2" t="str">
        <f t="shared" si="0"/>
        <v>S3.1</v>
      </c>
      <c r="W15" s="5"/>
      <c r="X15" s="4"/>
      <c r="Y15" s="38"/>
      <c r="Z15" s="38"/>
    </row>
    <row r="16" spans="2:26" ht="58.9" customHeight="1" x14ac:dyDescent="0.25">
      <c r="B16" s="36"/>
      <c r="C16" s="5"/>
      <c r="D16" s="24"/>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S2.1</v>
      </c>
      <c r="J25" s="49" t="str">
        <f>C15</f>
        <v>S3.1</v>
      </c>
      <c r="K25" s="49">
        <f>C16</f>
        <v>0</v>
      </c>
      <c r="L25" s="49">
        <f>C17</f>
        <v>0</v>
      </c>
      <c r="M25" s="49">
        <f>C18</f>
        <v>0</v>
      </c>
      <c r="N25" s="49">
        <f>C19</f>
        <v>0</v>
      </c>
      <c r="O25" s="50" t="s">
        <v>305</v>
      </c>
    </row>
    <row r="26" spans="2:26" ht="30.4" customHeight="1" thickBot="1" x14ac:dyDescent="0.3">
      <c r="C26" s="51" t="s">
        <v>306</v>
      </c>
      <c r="D26" s="83" t="s">
        <v>1003</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1004</v>
      </c>
      <c r="E27" s="8">
        <v>6</v>
      </c>
      <c r="F27" s="8">
        <v>1</v>
      </c>
      <c r="G27" s="8">
        <v>2</v>
      </c>
      <c r="H27" s="8">
        <v>2</v>
      </c>
      <c r="I27" s="8">
        <v>1</v>
      </c>
      <c r="J27" s="8"/>
      <c r="K27" s="8"/>
      <c r="L27" s="8"/>
      <c r="M27" s="8"/>
      <c r="N27" s="8"/>
      <c r="O27" s="53" t="b">
        <f t="shared" si="1"/>
        <v>1</v>
      </c>
    </row>
    <row r="28" spans="2:26" ht="30.4" customHeight="1" thickBot="1" x14ac:dyDescent="0.3">
      <c r="C28" s="51" t="s">
        <v>308</v>
      </c>
      <c r="D28" s="83" t="s">
        <v>1005</v>
      </c>
      <c r="E28" s="8">
        <v>4</v>
      </c>
      <c r="F28" s="8">
        <v>1</v>
      </c>
      <c r="G28" s="8">
        <v>1</v>
      </c>
      <c r="H28" s="8">
        <v>1</v>
      </c>
      <c r="I28" s="8"/>
      <c r="J28" s="8">
        <v>1</v>
      </c>
      <c r="K28" s="8"/>
      <c r="L28" s="8"/>
      <c r="M28" s="8"/>
      <c r="N28" s="8"/>
      <c r="O28" s="53" t="b">
        <f t="shared" si="1"/>
        <v>1</v>
      </c>
    </row>
    <row r="29" spans="2:26" ht="30.4" customHeight="1" thickBot="1" x14ac:dyDescent="0.3">
      <c r="C29" s="51" t="s">
        <v>309</v>
      </c>
      <c r="D29" s="83" t="s">
        <v>1006</v>
      </c>
      <c r="E29" s="8">
        <v>4</v>
      </c>
      <c r="F29" s="8">
        <v>2</v>
      </c>
      <c r="G29" s="8">
        <v>1</v>
      </c>
      <c r="H29" s="8">
        <v>1</v>
      </c>
      <c r="I29" s="8"/>
      <c r="J29" s="8"/>
      <c r="K29" s="8"/>
      <c r="L29" s="8"/>
      <c r="M29" s="8"/>
      <c r="N29" s="8"/>
      <c r="O29" s="53" t="b">
        <f t="shared" si="1"/>
        <v>1</v>
      </c>
    </row>
    <row r="30" spans="2:26" ht="30.4" customHeight="1" thickBot="1" x14ac:dyDescent="0.3">
      <c r="C30" s="51" t="s">
        <v>310</v>
      </c>
      <c r="D30" s="83" t="s">
        <v>1007</v>
      </c>
      <c r="E30" s="8">
        <v>6</v>
      </c>
      <c r="F30" s="8">
        <v>1</v>
      </c>
      <c r="G30" s="8">
        <v>2</v>
      </c>
      <c r="H30" s="8">
        <v>2</v>
      </c>
      <c r="I30" s="8">
        <v>1</v>
      </c>
      <c r="J30" s="8"/>
      <c r="K30" s="8"/>
      <c r="L30" s="8"/>
      <c r="M30" s="8"/>
      <c r="N30" s="8"/>
      <c r="O30" s="53" t="b">
        <f t="shared" si="1"/>
        <v>1</v>
      </c>
    </row>
    <row r="31" spans="2:26" ht="30.4" customHeight="1" thickBot="1" x14ac:dyDescent="0.3">
      <c r="C31" s="51" t="s">
        <v>311</v>
      </c>
      <c r="D31" s="83" t="s">
        <v>1008</v>
      </c>
      <c r="E31" s="8">
        <v>4</v>
      </c>
      <c r="F31" s="8"/>
      <c r="G31" s="8"/>
      <c r="H31" s="8"/>
      <c r="I31" s="8"/>
      <c r="J31" s="8">
        <v>4</v>
      </c>
      <c r="K31" s="8"/>
      <c r="L31" s="8"/>
      <c r="M31" s="8"/>
      <c r="N31" s="8"/>
      <c r="O31" s="53" t="b">
        <f t="shared" si="1"/>
        <v>1</v>
      </c>
    </row>
    <row r="32" spans="2:26" ht="30.4" customHeight="1" thickBot="1" x14ac:dyDescent="0.3">
      <c r="C32" s="51" t="s">
        <v>312</v>
      </c>
      <c r="D32" s="83" t="s">
        <v>1009</v>
      </c>
      <c r="E32" s="8">
        <v>4</v>
      </c>
      <c r="F32" s="8">
        <v>1</v>
      </c>
      <c r="G32" s="8"/>
      <c r="H32" s="8">
        <v>2</v>
      </c>
      <c r="I32" s="8">
        <v>1</v>
      </c>
      <c r="J32" s="8"/>
      <c r="K32" s="8"/>
      <c r="L32" s="8"/>
      <c r="M32" s="8"/>
      <c r="N32" s="8"/>
      <c r="O32" s="53" t="b">
        <f t="shared" si="1"/>
        <v>1</v>
      </c>
    </row>
    <row r="33" spans="2:15" ht="30.4" customHeight="1" thickBot="1" x14ac:dyDescent="0.3">
      <c r="C33" s="51" t="s">
        <v>313</v>
      </c>
      <c r="D33" s="83"/>
      <c r="E33" s="8"/>
      <c r="F33" s="8"/>
      <c r="G33" s="8"/>
      <c r="H33" s="8"/>
      <c r="I33" s="8"/>
      <c r="J33" s="8"/>
      <c r="K33" s="8"/>
      <c r="L33" s="8"/>
      <c r="M33" s="8"/>
      <c r="N33" s="8"/>
      <c r="O33" s="53" t="b">
        <f t="shared" si="1"/>
        <v>1</v>
      </c>
    </row>
    <row r="34" spans="2:15" ht="30.4" customHeight="1" thickBot="1" x14ac:dyDescent="0.3">
      <c r="C34" s="51" t="s">
        <v>314</v>
      </c>
      <c r="D34" s="83"/>
      <c r="E34" s="8"/>
      <c r="F34" s="8"/>
      <c r="G34" s="8"/>
      <c r="H34" s="8"/>
      <c r="I34" s="8"/>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7</v>
      </c>
      <c r="G40" s="52">
        <f t="shared" si="2"/>
        <v>7</v>
      </c>
      <c r="H40" s="52">
        <f t="shared" si="2"/>
        <v>8</v>
      </c>
      <c r="I40" s="52">
        <f t="shared" si="2"/>
        <v>3</v>
      </c>
      <c r="J40" s="52">
        <f t="shared" si="2"/>
        <v>5</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0.23</v>
      </c>
      <c r="G41" s="54">
        <f>ROUND(G40/E40,2)</f>
        <v>0.23</v>
      </c>
      <c r="H41" s="54">
        <f>ROUND(H40/E40,2)</f>
        <v>0.27</v>
      </c>
      <c r="I41" s="54">
        <f>ROUND(I40/E40,2)</f>
        <v>0.1</v>
      </c>
      <c r="J41" s="54">
        <f>ROUND(J40/E40,2)</f>
        <v>0.17</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30</v>
      </c>
      <c r="I42" s="7">
        <v>10</v>
      </c>
      <c r="J42" s="7">
        <v>15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S2.1</v>
      </c>
      <c r="I46" s="59" t="str">
        <f>C15</f>
        <v>S3.1</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v>10</v>
      </c>
      <c r="G49" s="12"/>
      <c r="H49" s="12"/>
      <c r="I49" s="12"/>
      <c r="J49" s="12"/>
      <c r="K49" s="12"/>
      <c r="L49" s="12"/>
      <c r="M49" s="12"/>
      <c r="N49" s="55" t="b">
        <f t="shared" si="3"/>
        <v>1</v>
      </c>
    </row>
    <row r="50" spans="3:14" ht="55.15" customHeight="1" x14ac:dyDescent="0.25">
      <c r="C50" s="9" t="s">
        <v>331</v>
      </c>
      <c r="D50" s="10">
        <v>10</v>
      </c>
      <c r="E50" s="11"/>
      <c r="F50" s="12"/>
      <c r="G50" s="12"/>
      <c r="H50" s="12">
        <v>10</v>
      </c>
      <c r="I50" s="12"/>
      <c r="J50" s="12"/>
      <c r="K50" s="12"/>
      <c r="L50" s="12"/>
      <c r="M50" s="12"/>
      <c r="N50" s="55" t="b">
        <f t="shared" si="3"/>
        <v>1</v>
      </c>
    </row>
    <row r="51" spans="3:14" ht="55.15" customHeight="1" x14ac:dyDescent="0.25">
      <c r="C51" s="9" t="s">
        <v>332</v>
      </c>
      <c r="D51" s="10"/>
      <c r="E51" s="11"/>
      <c r="F51" s="12"/>
      <c r="G51" s="12"/>
      <c r="H51" s="12"/>
      <c r="I51" s="12"/>
      <c r="J51" s="12"/>
      <c r="K51" s="12"/>
      <c r="L51" s="12"/>
      <c r="M51" s="12"/>
      <c r="N51" s="55" t="b">
        <f t="shared" si="3"/>
        <v>1</v>
      </c>
    </row>
    <row r="52" spans="3:14" ht="55.15" customHeight="1" x14ac:dyDescent="0.25">
      <c r="C52" s="9" t="s">
        <v>504</v>
      </c>
      <c r="D52" s="10">
        <v>50</v>
      </c>
      <c r="E52" s="11">
        <v>10</v>
      </c>
      <c r="F52" s="12"/>
      <c r="G52" s="12">
        <v>25</v>
      </c>
      <c r="H52" s="12"/>
      <c r="I52" s="12">
        <v>15</v>
      </c>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30</v>
      </c>
      <c r="H56" s="65">
        <f t="shared" si="5"/>
        <v>10</v>
      </c>
      <c r="I56" s="65">
        <f t="shared" si="5"/>
        <v>15</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719" priority="11">
      <formula>LEN(TRIM(D47))=0</formula>
    </cfRule>
    <cfRule type="cellIs" dxfId="718" priority="12" operator="equal">
      <formula>0</formula>
    </cfRule>
  </conditionalFormatting>
  <conditionalFormatting sqref="E50">
    <cfRule type="containsBlanks" dxfId="717" priority="21">
      <formula>LEN(TRIM(E50))=0</formula>
    </cfRule>
    <cfRule type="cellIs" dxfId="716" priority="22" operator="equal">
      <formula>0</formula>
    </cfRule>
  </conditionalFormatting>
  <conditionalFormatting sqref="E47:M51 E52">
    <cfRule type="containsBlanks" dxfId="715" priority="17">
      <formula>LEN(TRIM(E47))=0</formula>
    </cfRule>
    <cfRule type="cellIs" dxfId="714" priority="18" operator="equal">
      <formula>0</formula>
    </cfRule>
  </conditionalFormatting>
  <conditionalFormatting sqref="E53:M54">
    <cfRule type="containsBlanks" dxfId="713" priority="15">
      <formula>LEN(TRIM(E53))=0</formula>
    </cfRule>
    <cfRule type="cellIs" dxfId="712" priority="16" operator="equal">
      <formula>0</formula>
    </cfRule>
  </conditionalFormatting>
  <conditionalFormatting sqref="E55:M55">
    <cfRule type="containsText" dxfId="711" priority="5" operator="containsText" text="false">
      <formula>NOT(ISERROR(SEARCH("false",E55)))</formula>
    </cfRule>
    <cfRule type="containsText" dxfId="710" priority="6" operator="containsText" text="true">
      <formula>NOT(ISERROR(SEARCH("true",E55)))</formula>
    </cfRule>
  </conditionalFormatting>
  <conditionalFormatting sqref="E26:N39">
    <cfRule type="containsBlanks" dxfId="709" priority="3">
      <formula>LEN(TRIM(E26))=0</formula>
    </cfRule>
    <cfRule type="cellIs" dxfId="708" priority="4" operator="equal">
      <formula>0</formula>
    </cfRule>
  </conditionalFormatting>
  <conditionalFormatting sqref="F48:M48">
    <cfRule type="containsBlanks" dxfId="707" priority="23">
      <formula>LEN(TRIM(F48))=0</formula>
    </cfRule>
    <cfRule type="cellIs" dxfId="706" priority="24" operator="equal">
      <formula>0</formula>
    </cfRule>
  </conditionalFormatting>
  <conditionalFormatting sqref="F50:M52">
    <cfRule type="containsBlanks" dxfId="705" priority="19">
      <formula>LEN(TRIM(F50))=0</formula>
    </cfRule>
    <cfRule type="cellIs" dxfId="704" priority="20" operator="equal">
      <formula>0</formula>
    </cfRule>
  </conditionalFormatting>
  <conditionalFormatting sqref="N47:N54">
    <cfRule type="containsText" dxfId="703" priority="7" operator="containsText" text="false">
      <formula>NOT(ISERROR(SEARCH("false",N47)))</formula>
    </cfRule>
    <cfRule type="containsText" dxfId="702" priority="8" operator="containsText" text="true">
      <formula>NOT(ISERROR(SEARCH("true",N47)))</formula>
    </cfRule>
  </conditionalFormatting>
  <conditionalFormatting sqref="N55">
    <cfRule type="containsBlanks" dxfId="701" priority="13">
      <formula>LEN(TRIM(N55))=0</formula>
    </cfRule>
    <cfRule type="cellIs" dxfId="700" priority="14" operator="equal">
      <formula>0</formula>
    </cfRule>
  </conditionalFormatting>
  <conditionalFormatting sqref="O26:O40">
    <cfRule type="containsText" dxfId="699" priority="9" operator="containsText" text="false">
      <formula>NOT(ISERROR(SEARCH("false",O26)))</formula>
    </cfRule>
    <cfRule type="containsText" dxfId="698" priority="10" operator="containsText" text="true">
      <formula>NOT(ISERROR(SEARCH("true",O26)))</formula>
    </cfRule>
  </conditionalFormatting>
  <conditionalFormatting sqref="O42">
    <cfRule type="cellIs" dxfId="697" priority="1" operator="notEqual">
      <formula>100</formula>
    </cfRule>
    <cfRule type="cellIs" dxfId="696" priority="2" operator="equal">
      <formula>100</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B2:AB57"/>
  <sheetViews>
    <sheetView zoomScale="50" zoomScaleNormal="50" workbookViewId="0">
      <selection activeCell="C15" sqref="C15"/>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218</v>
      </c>
      <c r="J6" s="43" t="s">
        <v>278</v>
      </c>
      <c r="K6" s="1" t="s">
        <v>96</v>
      </c>
    </row>
    <row r="7" spans="2:26" ht="72.599999999999994" customHeight="1" thickBot="1" x14ac:dyDescent="0.3">
      <c r="B7" s="160"/>
      <c r="C7" s="161"/>
      <c r="D7" s="43" t="s">
        <v>279</v>
      </c>
      <c r="E7" s="1">
        <v>4</v>
      </c>
      <c r="F7" s="43" t="s">
        <v>280</v>
      </c>
      <c r="G7" s="1">
        <v>7</v>
      </c>
      <c r="H7" s="43" t="s">
        <v>281</v>
      </c>
      <c r="I7" s="1">
        <v>2</v>
      </c>
      <c r="J7" s="43" t="s">
        <v>283</v>
      </c>
      <c r="K7" s="1" t="s">
        <v>786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87" customHeight="1" x14ac:dyDescent="0.25">
      <c r="B11" s="36"/>
      <c r="C11" s="129" t="s">
        <v>560</v>
      </c>
      <c r="D11" s="130" t="s">
        <v>1010</v>
      </c>
      <c r="E11" s="129" t="s">
        <v>13</v>
      </c>
      <c r="F11" s="131"/>
      <c r="G11" s="132"/>
      <c r="H11" s="132">
        <v>0.6</v>
      </c>
      <c r="I11" s="132">
        <v>1</v>
      </c>
      <c r="J11" s="133" t="s">
        <v>1596</v>
      </c>
      <c r="K11" s="133" t="s">
        <v>643</v>
      </c>
      <c r="U11" s="3">
        <f>F11</f>
        <v>0</v>
      </c>
      <c r="V11" s="2" t="str">
        <f t="shared" ref="V11:V19" si="0">C11</f>
        <v>K3.1</v>
      </c>
      <c r="W11" s="2"/>
      <c r="X11" s="17"/>
      <c r="Y11" s="37"/>
      <c r="Z11" s="37"/>
    </row>
    <row r="12" spans="2:26" ht="109.5" customHeight="1" x14ac:dyDescent="0.25">
      <c r="B12" s="36"/>
      <c r="C12" s="134" t="s">
        <v>342</v>
      </c>
      <c r="D12" s="135" t="s">
        <v>1011</v>
      </c>
      <c r="E12" s="134" t="s">
        <v>22</v>
      </c>
      <c r="F12" s="136"/>
      <c r="G12" s="137"/>
      <c r="H12" s="132">
        <v>0.6</v>
      </c>
      <c r="I12" s="132">
        <v>1</v>
      </c>
      <c r="J12" s="133" t="s">
        <v>915</v>
      </c>
      <c r="K12" s="133" t="s">
        <v>818</v>
      </c>
      <c r="U12" s="6">
        <f>F12</f>
        <v>0</v>
      </c>
      <c r="V12" s="2" t="str">
        <f t="shared" si="0"/>
        <v>S2.1</v>
      </c>
      <c r="W12" s="5"/>
      <c r="X12" s="4"/>
      <c r="Y12" s="38"/>
      <c r="Z12" s="38"/>
    </row>
    <row r="13" spans="2:26" ht="58.9" customHeight="1" x14ac:dyDescent="0.25">
      <c r="B13" s="36"/>
      <c r="C13" s="134" t="s">
        <v>752</v>
      </c>
      <c r="D13" s="135" t="s">
        <v>1671</v>
      </c>
      <c r="E13" s="134" t="s">
        <v>35</v>
      </c>
      <c r="F13" s="136"/>
      <c r="G13" s="137"/>
      <c r="H13" s="132">
        <v>0.6</v>
      </c>
      <c r="I13" s="132">
        <v>1</v>
      </c>
      <c r="J13" s="138" t="s">
        <v>1597</v>
      </c>
      <c r="K13" s="138" t="s">
        <v>818</v>
      </c>
      <c r="U13" s="6">
        <f>F13</f>
        <v>0</v>
      </c>
      <c r="V13" s="2" t="str">
        <f t="shared" si="0"/>
        <v>S4.1</v>
      </c>
      <c r="W13" s="5"/>
      <c r="X13" s="4"/>
      <c r="Y13" s="38"/>
      <c r="Z13" s="38"/>
    </row>
    <row r="14" spans="2:26" ht="58.9" customHeight="1" x14ac:dyDescent="0.25">
      <c r="B14" s="36"/>
      <c r="C14" s="134" t="s">
        <v>445</v>
      </c>
      <c r="D14" s="135" t="s">
        <v>1012</v>
      </c>
      <c r="E14" s="134" t="s">
        <v>31</v>
      </c>
      <c r="F14" s="136"/>
      <c r="G14" s="137"/>
      <c r="H14" s="132">
        <v>0.6</v>
      </c>
      <c r="I14" s="132">
        <v>1</v>
      </c>
      <c r="J14" s="138" t="s">
        <v>1594</v>
      </c>
      <c r="K14" s="138" t="s">
        <v>818</v>
      </c>
      <c r="U14" s="6">
        <f>F14</f>
        <v>0</v>
      </c>
      <c r="V14" s="2" t="str">
        <f t="shared" si="0"/>
        <v>S7.1</v>
      </c>
      <c r="W14" s="5"/>
      <c r="X14" s="4"/>
      <c r="Y14" s="38"/>
      <c r="Z14" s="38"/>
    </row>
    <row r="15" spans="2:26" ht="58.9" customHeight="1" x14ac:dyDescent="0.35">
      <c r="B15" s="36"/>
      <c r="C15" s="134" t="s">
        <v>567</v>
      </c>
      <c r="D15" s="135" t="s">
        <v>1013</v>
      </c>
      <c r="E15" s="134" t="s">
        <v>48</v>
      </c>
      <c r="F15" s="136"/>
      <c r="G15" s="137"/>
      <c r="H15" s="132">
        <v>0.6</v>
      </c>
      <c r="I15" s="132">
        <v>1</v>
      </c>
      <c r="J15" s="138" t="s">
        <v>1014</v>
      </c>
      <c r="K15" s="142" t="s">
        <v>1672</v>
      </c>
      <c r="U15" s="6">
        <f>F15</f>
        <v>0</v>
      </c>
      <c r="V15" s="2" t="str">
        <f t="shared" si="0"/>
        <v>V2.1</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K3.1</v>
      </c>
      <c r="G25" s="49" t="str">
        <f>C12</f>
        <v>S2.1</v>
      </c>
      <c r="H25" s="49" t="str">
        <f>C13</f>
        <v>S4.1</v>
      </c>
      <c r="I25" s="49" t="str">
        <f>C14</f>
        <v>S7.1</v>
      </c>
      <c r="J25" s="49" t="str">
        <f>C15</f>
        <v>V2.1</v>
      </c>
      <c r="K25" s="49">
        <f>C16</f>
        <v>0</v>
      </c>
      <c r="L25" s="49">
        <f>C17</f>
        <v>0</v>
      </c>
      <c r="M25" s="49">
        <f>C18</f>
        <v>0</v>
      </c>
      <c r="N25" s="49">
        <f>C19</f>
        <v>0</v>
      </c>
      <c r="O25" s="50" t="s">
        <v>305</v>
      </c>
    </row>
    <row r="26" spans="2:26" ht="30.4" customHeight="1" thickBot="1" x14ac:dyDescent="0.3">
      <c r="C26" s="51" t="s">
        <v>306</v>
      </c>
      <c r="D26" s="83" t="s">
        <v>1015</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1016</v>
      </c>
      <c r="E27" s="8">
        <v>2</v>
      </c>
      <c r="F27" s="8">
        <v>1</v>
      </c>
      <c r="G27" s="8">
        <v>1</v>
      </c>
      <c r="H27" s="8"/>
      <c r="I27" s="8"/>
      <c r="J27" s="8"/>
      <c r="K27" s="8"/>
      <c r="L27" s="8"/>
      <c r="M27" s="8"/>
      <c r="N27" s="8"/>
      <c r="O27" s="53" t="b">
        <f t="shared" si="1"/>
        <v>1</v>
      </c>
    </row>
    <row r="28" spans="2:26" ht="30.4" customHeight="1" thickBot="1" x14ac:dyDescent="0.3">
      <c r="C28" s="51" t="s">
        <v>308</v>
      </c>
      <c r="D28" s="83" t="s">
        <v>1017</v>
      </c>
      <c r="E28" s="8">
        <v>4</v>
      </c>
      <c r="F28" s="8">
        <v>2</v>
      </c>
      <c r="G28" s="8"/>
      <c r="H28" s="8"/>
      <c r="I28" s="8">
        <v>2</v>
      </c>
      <c r="J28" s="8"/>
      <c r="K28" s="8"/>
      <c r="L28" s="8"/>
      <c r="M28" s="8"/>
      <c r="N28" s="8"/>
      <c r="O28" s="53" t="b">
        <f t="shared" si="1"/>
        <v>1</v>
      </c>
    </row>
    <row r="29" spans="2:26" ht="30.4" customHeight="1" thickBot="1" x14ac:dyDescent="0.3">
      <c r="C29" s="51" t="s">
        <v>309</v>
      </c>
      <c r="D29" s="83" t="s">
        <v>1018</v>
      </c>
      <c r="E29" s="8">
        <v>4</v>
      </c>
      <c r="F29" s="8">
        <v>1</v>
      </c>
      <c r="G29" s="8">
        <v>1</v>
      </c>
      <c r="H29" s="8">
        <v>1</v>
      </c>
      <c r="I29" s="8">
        <v>1</v>
      </c>
      <c r="J29" s="8"/>
      <c r="K29" s="8"/>
      <c r="L29" s="8"/>
      <c r="M29" s="8"/>
      <c r="N29" s="8"/>
      <c r="O29" s="53" t="b">
        <f t="shared" si="1"/>
        <v>1</v>
      </c>
    </row>
    <row r="30" spans="2:26" ht="30.4" customHeight="1" thickBot="1" x14ac:dyDescent="0.3">
      <c r="C30" s="51" t="s">
        <v>310</v>
      </c>
      <c r="D30" s="83" t="s">
        <v>1019</v>
      </c>
      <c r="E30" s="8">
        <v>4</v>
      </c>
      <c r="F30" s="8"/>
      <c r="G30" s="8"/>
      <c r="H30" s="8">
        <v>2</v>
      </c>
      <c r="I30" s="8">
        <v>2</v>
      </c>
      <c r="J30" s="8"/>
      <c r="K30" s="8"/>
      <c r="L30" s="8"/>
      <c r="M30" s="8"/>
      <c r="N30" s="8"/>
      <c r="O30" s="53" t="b">
        <f t="shared" si="1"/>
        <v>1</v>
      </c>
    </row>
    <row r="31" spans="2:26" ht="30.4" customHeight="1" thickBot="1" x14ac:dyDescent="0.3">
      <c r="C31" s="51" t="s">
        <v>311</v>
      </c>
      <c r="D31" s="83" t="s">
        <v>1020</v>
      </c>
      <c r="E31" s="8">
        <v>2</v>
      </c>
      <c r="F31" s="8">
        <v>1</v>
      </c>
      <c r="G31" s="8"/>
      <c r="H31" s="8">
        <v>1</v>
      </c>
      <c r="I31" s="8"/>
      <c r="J31" s="8"/>
      <c r="K31" s="8"/>
      <c r="L31" s="8"/>
      <c r="M31" s="8"/>
      <c r="N31" s="8"/>
      <c r="O31" s="53" t="b">
        <f t="shared" si="1"/>
        <v>1</v>
      </c>
    </row>
    <row r="32" spans="2:26" ht="30.4" customHeight="1" thickBot="1" x14ac:dyDescent="0.3">
      <c r="C32" s="51" t="s">
        <v>312</v>
      </c>
      <c r="D32" s="83" t="s">
        <v>1021</v>
      </c>
      <c r="E32" s="8">
        <v>2</v>
      </c>
      <c r="F32" s="8"/>
      <c r="G32" s="8"/>
      <c r="H32" s="8">
        <v>1</v>
      </c>
      <c r="I32" s="8">
        <v>1</v>
      </c>
      <c r="J32" s="8"/>
      <c r="K32" s="8"/>
      <c r="L32" s="8"/>
      <c r="M32" s="8"/>
      <c r="N32" s="8"/>
      <c r="O32" s="53" t="b">
        <f t="shared" si="1"/>
        <v>1</v>
      </c>
    </row>
    <row r="33" spans="2:15" ht="30.4" customHeight="1" thickBot="1" x14ac:dyDescent="0.3">
      <c r="C33" s="51" t="s">
        <v>313</v>
      </c>
      <c r="D33" s="83" t="s">
        <v>1022</v>
      </c>
      <c r="E33" s="8">
        <v>2</v>
      </c>
      <c r="F33" s="8"/>
      <c r="G33" s="8"/>
      <c r="H33" s="8">
        <v>1</v>
      </c>
      <c r="I33" s="8">
        <v>1</v>
      </c>
      <c r="J33" s="8"/>
      <c r="K33" s="8"/>
      <c r="L33" s="8"/>
      <c r="M33" s="8"/>
      <c r="N33" s="8"/>
      <c r="O33" s="53" t="b">
        <f t="shared" si="1"/>
        <v>1</v>
      </c>
    </row>
    <row r="34" spans="2:15" ht="30.4" customHeight="1" thickBot="1" x14ac:dyDescent="0.3">
      <c r="C34" s="51" t="s">
        <v>314</v>
      </c>
      <c r="D34" s="83" t="s">
        <v>1023</v>
      </c>
      <c r="E34" s="8">
        <v>2</v>
      </c>
      <c r="F34" s="8"/>
      <c r="G34" s="8">
        <v>1</v>
      </c>
      <c r="H34" s="8">
        <v>1</v>
      </c>
      <c r="I34" s="8"/>
      <c r="J34" s="8"/>
      <c r="K34" s="8"/>
      <c r="L34" s="8"/>
      <c r="M34" s="8"/>
      <c r="N34" s="8"/>
      <c r="O34" s="53" t="b">
        <f t="shared" si="1"/>
        <v>1</v>
      </c>
    </row>
    <row r="35" spans="2:15" ht="30.4" customHeight="1" thickBot="1" x14ac:dyDescent="0.3">
      <c r="C35" s="51" t="s">
        <v>315</v>
      </c>
      <c r="D35" s="83" t="s">
        <v>1024</v>
      </c>
      <c r="E35" s="8">
        <v>2</v>
      </c>
      <c r="F35" s="8"/>
      <c r="G35" s="8">
        <v>1</v>
      </c>
      <c r="H35" s="8"/>
      <c r="I35" s="8"/>
      <c r="J35" s="8">
        <v>1</v>
      </c>
      <c r="K35" s="8"/>
      <c r="L35" s="8"/>
      <c r="M35" s="8"/>
      <c r="N35" s="8"/>
      <c r="O35" s="53" t="b">
        <f t="shared" si="1"/>
        <v>1</v>
      </c>
    </row>
    <row r="36" spans="2:15" ht="30.4" customHeight="1" thickBot="1" x14ac:dyDescent="0.3">
      <c r="C36" s="51" t="s">
        <v>316</v>
      </c>
      <c r="D36" s="83" t="s">
        <v>1025</v>
      </c>
      <c r="E36" s="8">
        <v>2</v>
      </c>
      <c r="F36" s="8"/>
      <c r="G36" s="8"/>
      <c r="H36" s="8"/>
      <c r="I36" s="8"/>
      <c r="J36" s="8">
        <v>2</v>
      </c>
      <c r="K36" s="8"/>
      <c r="L36" s="8"/>
      <c r="M36" s="8"/>
      <c r="N36" s="8"/>
      <c r="O36" s="53" t="b">
        <f t="shared" si="1"/>
        <v>1</v>
      </c>
    </row>
    <row r="37" spans="2:15" ht="30.4" customHeight="1" thickBot="1" x14ac:dyDescent="0.3">
      <c r="C37" s="51" t="s">
        <v>317</v>
      </c>
      <c r="D37" s="83" t="s">
        <v>1026</v>
      </c>
      <c r="E37" s="8">
        <v>2</v>
      </c>
      <c r="F37" s="8"/>
      <c r="G37" s="8"/>
      <c r="H37" s="8">
        <v>1</v>
      </c>
      <c r="I37" s="8">
        <v>1</v>
      </c>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6</v>
      </c>
      <c r="G40" s="52">
        <f t="shared" si="2"/>
        <v>5</v>
      </c>
      <c r="H40" s="52">
        <f t="shared" si="2"/>
        <v>8</v>
      </c>
      <c r="I40" s="52">
        <f t="shared" si="2"/>
        <v>8</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v>
      </c>
      <c r="G41" s="54">
        <f>ROUND(G40/E40,2)</f>
        <v>0.17</v>
      </c>
      <c r="H41" s="54">
        <f>ROUND(H40/E40,2)</f>
        <v>0.27</v>
      </c>
      <c r="I41" s="54">
        <f>ROUND(I40/E40,2)</f>
        <v>0.27</v>
      </c>
      <c r="J41" s="54">
        <f>ROUND(J40/E40,2)</f>
        <v>0.1</v>
      </c>
      <c r="K41" s="54">
        <f>ROUND(K40/E40,2)</f>
        <v>0</v>
      </c>
      <c r="L41" s="54">
        <f>ROUND(L40/E40,2)</f>
        <v>0</v>
      </c>
      <c r="M41" s="54">
        <f>ROUND(M40/E40,2)</f>
        <v>0</v>
      </c>
      <c r="N41" s="54">
        <f>ROUND(N40/E40,2)</f>
        <v>0</v>
      </c>
      <c r="O41" s="54">
        <f>SUM(F41:N41)</f>
        <v>1.01</v>
      </c>
    </row>
    <row r="42" spans="2:15" ht="55.9" customHeight="1" x14ac:dyDescent="0.25">
      <c r="C42" s="151" t="s">
        <v>322</v>
      </c>
      <c r="D42" s="151"/>
      <c r="E42" s="151"/>
      <c r="F42" s="7">
        <v>20</v>
      </c>
      <c r="G42" s="7">
        <v>20</v>
      </c>
      <c r="H42" s="7">
        <v>25</v>
      </c>
      <c r="I42" s="7">
        <v>25</v>
      </c>
      <c r="J42" s="7">
        <v>10</v>
      </c>
      <c r="K42" s="7">
        <v>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K3.1</v>
      </c>
      <c r="F46" s="59" t="str">
        <f>C12</f>
        <v>S2.1</v>
      </c>
      <c r="G46" s="59" t="str">
        <f>C13</f>
        <v>S4.1</v>
      </c>
      <c r="H46" s="59" t="str">
        <f>C14</f>
        <v>S7.1</v>
      </c>
      <c r="I46" s="59" t="str">
        <f>C15</f>
        <v>V2.1</v>
      </c>
      <c r="J46" s="59">
        <f>C16</f>
        <v>0</v>
      </c>
      <c r="K46" s="59">
        <f>C17</f>
        <v>0</v>
      </c>
      <c r="L46" s="59">
        <f>C18</f>
        <v>0</v>
      </c>
      <c r="M46" s="59">
        <f>C19</f>
        <v>0</v>
      </c>
      <c r="N46" s="60" t="s">
        <v>327</v>
      </c>
    </row>
    <row r="47" spans="2:15" ht="55.15" customHeight="1" x14ac:dyDescent="0.25">
      <c r="C47" s="9" t="s">
        <v>328</v>
      </c>
      <c r="D47" s="10"/>
      <c r="E47" s="8"/>
      <c r="F47" s="8"/>
      <c r="G47" s="8"/>
      <c r="H47" s="8"/>
      <c r="I47" s="8"/>
      <c r="J47" s="8"/>
      <c r="K47" s="8"/>
      <c r="L47" s="8"/>
      <c r="M47" s="8"/>
      <c r="N47" s="55" t="b">
        <f t="shared" ref="N47:N54" si="3">IF(SUM(E47:M47)=D47,TRUE,"false")</f>
        <v>1</v>
      </c>
    </row>
    <row r="48" spans="2:15" ht="55.15" customHeight="1" x14ac:dyDescent="0.25">
      <c r="C48" s="9" t="s">
        <v>329</v>
      </c>
      <c r="D48" s="10">
        <v>10</v>
      </c>
      <c r="E48" s="11">
        <v>10</v>
      </c>
      <c r="F48" s="12"/>
      <c r="G48" s="12"/>
      <c r="H48" s="12"/>
      <c r="I48" s="12"/>
      <c r="J48" s="12"/>
      <c r="K48" s="12"/>
      <c r="L48" s="12"/>
      <c r="M48" s="12"/>
      <c r="N48" s="55" t="b">
        <f t="shared" si="3"/>
        <v>1</v>
      </c>
    </row>
    <row r="49" spans="3:14" ht="55.15" customHeight="1" x14ac:dyDescent="0.25">
      <c r="C49" s="9" t="s">
        <v>330</v>
      </c>
      <c r="D49" s="10">
        <v>10</v>
      </c>
      <c r="E49" s="11">
        <v>10</v>
      </c>
      <c r="F49" s="12"/>
      <c r="G49" s="12"/>
      <c r="H49" s="12"/>
      <c r="I49" s="12"/>
      <c r="J49" s="12"/>
      <c r="K49" s="12"/>
      <c r="L49" s="12"/>
      <c r="M49" s="12"/>
      <c r="N49" s="55" t="b">
        <f t="shared" si="3"/>
        <v>1</v>
      </c>
    </row>
    <row r="50" spans="3:14" ht="55.15" customHeight="1" x14ac:dyDescent="0.25">
      <c r="C50" s="9" t="s">
        <v>931</v>
      </c>
      <c r="D50" s="10">
        <v>20</v>
      </c>
      <c r="E50" s="11"/>
      <c r="F50" s="12"/>
      <c r="G50" s="12">
        <v>15</v>
      </c>
      <c r="H50" s="12">
        <v>5</v>
      </c>
      <c r="I50" s="12"/>
      <c r="J50" s="12"/>
      <c r="K50" s="12"/>
      <c r="L50" s="12"/>
      <c r="M50" s="12"/>
      <c r="N50" s="55" t="b">
        <f t="shared" si="3"/>
        <v>1</v>
      </c>
    </row>
    <row r="51" spans="3:14" ht="55.15" customHeight="1" x14ac:dyDescent="0.25">
      <c r="C51" s="9" t="s">
        <v>607</v>
      </c>
      <c r="D51" s="10">
        <v>10</v>
      </c>
      <c r="E51" s="11"/>
      <c r="F51" s="12"/>
      <c r="G51" s="12"/>
      <c r="H51" s="12"/>
      <c r="I51" s="12">
        <v>10</v>
      </c>
      <c r="J51" s="12"/>
      <c r="K51" s="12"/>
      <c r="L51" s="12"/>
      <c r="M51" s="12"/>
      <c r="N51" s="55" t="b">
        <f t="shared" si="3"/>
        <v>1</v>
      </c>
    </row>
    <row r="52" spans="3:14" ht="55.15" customHeight="1" x14ac:dyDescent="0.25">
      <c r="C52" s="9" t="s">
        <v>932</v>
      </c>
      <c r="D52" s="10">
        <v>50</v>
      </c>
      <c r="E52" s="11"/>
      <c r="F52" s="12">
        <v>20</v>
      </c>
      <c r="G52" s="12">
        <v>10</v>
      </c>
      <c r="H52" s="12">
        <v>20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20</v>
      </c>
      <c r="F56" s="65">
        <f t="shared" si="5"/>
        <v>20</v>
      </c>
      <c r="G56" s="65">
        <f t="shared" si="5"/>
        <v>25</v>
      </c>
      <c r="H56" s="65">
        <f t="shared" si="5"/>
        <v>25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695" priority="11">
      <formula>LEN(TRIM(D47))=0</formula>
    </cfRule>
    <cfRule type="cellIs" dxfId="694" priority="12" operator="equal">
      <formula>0</formula>
    </cfRule>
  </conditionalFormatting>
  <conditionalFormatting sqref="E50">
    <cfRule type="containsBlanks" dxfId="693" priority="21">
      <formula>LEN(TRIM(E50))=0</formula>
    </cfRule>
    <cfRule type="cellIs" dxfId="692" priority="22" operator="equal">
      <formula>0</formula>
    </cfRule>
  </conditionalFormatting>
  <conditionalFormatting sqref="E47:M51 E52">
    <cfRule type="containsBlanks" dxfId="691" priority="17">
      <formula>LEN(TRIM(E47))=0</formula>
    </cfRule>
    <cfRule type="cellIs" dxfId="690" priority="18" operator="equal">
      <formula>0</formula>
    </cfRule>
  </conditionalFormatting>
  <conditionalFormatting sqref="E53:M54">
    <cfRule type="containsBlanks" dxfId="689" priority="15">
      <formula>LEN(TRIM(E53))=0</formula>
    </cfRule>
    <cfRule type="cellIs" dxfId="688" priority="16" operator="equal">
      <formula>0</formula>
    </cfRule>
  </conditionalFormatting>
  <conditionalFormatting sqref="E55:M55">
    <cfRule type="containsText" dxfId="687" priority="5" operator="containsText" text="false">
      <formula>NOT(ISERROR(SEARCH("false",E55)))</formula>
    </cfRule>
    <cfRule type="containsText" dxfId="686" priority="6" operator="containsText" text="true">
      <formula>NOT(ISERROR(SEARCH("true",E55)))</formula>
    </cfRule>
  </conditionalFormatting>
  <conditionalFormatting sqref="E26:N39">
    <cfRule type="containsBlanks" dxfId="685" priority="3">
      <formula>LEN(TRIM(E26))=0</formula>
    </cfRule>
    <cfRule type="cellIs" dxfId="684" priority="4" operator="equal">
      <formula>0</formula>
    </cfRule>
  </conditionalFormatting>
  <conditionalFormatting sqref="F48:M48">
    <cfRule type="containsBlanks" dxfId="683" priority="23">
      <formula>LEN(TRIM(F48))=0</formula>
    </cfRule>
    <cfRule type="cellIs" dxfId="682" priority="24" operator="equal">
      <formula>0</formula>
    </cfRule>
  </conditionalFormatting>
  <conditionalFormatting sqref="F50:M52">
    <cfRule type="containsBlanks" dxfId="681" priority="19">
      <formula>LEN(TRIM(F50))=0</formula>
    </cfRule>
    <cfRule type="cellIs" dxfId="680" priority="20" operator="equal">
      <formula>0</formula>
    </cfRule>
  </conditionalFormatting>
  <conditionalFormatting sqref="N47:N54">
    <cfRule type="containsText" dxfId="679" priority="7" operator="containsText" text="false">
      <formula>NOT(ISERROR(SEARCH("false",N47)))</formula>
    </cfRule>
    <cfRule type="containsText" dxfId="678" priority="8" operator="containsText" text="true">
      <formula>NOT(ISERROR(SEARCH("true",N47)))</formula>
    </cfRule>
  </conditionalFormatting>
  <conditionalFormatting sqref="N55">
    <cfRule type="containsBlanks" dxfId="677" priority="13">
      <formula>LEN(TRIM(N55))=0</formula>
    </cfRule>
    <cfRule type="cellIs" dxfId="676" priority="14" operator="equal">
      <formula>0</formula>
    </cfRule>
  </conditionalFormatting>
  <conditionalFormatting sqref="O26:O40">
    <cfRule type="containsText" dxfId="675" priority="9" operator="containsText" text="false">
      <formula>NOT(ISERROR(SEARCH("false",O26)))</formula>
    </cfRule>
    <cfRule type="containsText" dxfId="674" priority="10" operator="containsText" text="true">
      <formula>NOT(ISERROR(SEARCH("true",O26)))</formula>
    </cfRule>
  </conditionalFormatting>
  <conditionalFormatting sqref="O42">
    <cfRule type="cellIs" dxfId="673" priority="1" operator="notEqual">
      <formula>100</formula>
    </cfRule>
    <cfRule type="cellIs" dxfId="672" priority="2" operator="equal">
      <formula>100</formula>
    </cfRule>
  </conditionalFormatting>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B2:AB57"/>
  <sheetViews>
    <sheetView zoomScale="44" zoomScaleNormal="44" workbookViewId="0">
      <selection activeCell="C15" sqref="C15"/>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8.570312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220</v>
      </c>
      <c r="J6" s="43" t="s">
        <v>278</v>
      </c>
      <c r="K6" s="1" t="s">
        <v>97</v>
      </c>
    </row>
    <row r="7" spans="2:26" ht="72.599999999999994" customHeight="1" thickBot="1" x14ac:dyDescent="0.3">
      <c r="B7" s="160"/>
      <c r="C7" s="161"/>
      <c r="D7" s="43" t="s">
        <v>279</v>
      </c>
      <c r="E7" s="1">
        <v>4</v>
      </c>
      <c r="F7" s="43" t="s">
        <v>280</v>
      </c>
      <c r="G7" s="1">
        <v>7</v>
      </c>
      <c r="H7" s="43" t="s">
        <v>281</v>
      </c>
      <c r="I7" s="1">
        <v>2</v>
      </c>
      <c r="J7" s="43" t="s">
        <v>283</v>
      </c>
      <c r="K7" s="1" t="s">
        <v>786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2" t="s">
        <v>297</v>
      </c>
      <c r="D11" s="78" t="s">
        <v>1000</v>
      </c>
      <c r="E11" s="2" t="s">
        <v>7</v>
      </c>
      <c r="F11" s="3"/>
      <c r="G11" s="17"/>
      <c r="H11" s="17">
        <v>0.6</v>
      </c>
      <c r="I11" s="17">
        <v>1</v>
      </c>
      <c r="J11" s="80" t="s">
        <v>790</v>
      </c>
      <c r="K11" s="80" t="s">
        <v>643</v>
      </c>
      <c r="U11" s="3">
        <f>F11</f>
        <v>0</v>
      </c>
      <c r="V11" s="2" t="str">
        <f t="shared" ref="V11:V19" si="0">C11</f>
        <v>K1.1</v>
      </c>
      <c r="W11" s="2"/>
      <c r="X11" s="17"/>
      <c r="Y11" s="37"/>
      <c r="Z11" s="37"/>
    </row>
    <row r="12" spans="2:26" ht="172.5" customHeight="1" x14ac:dyDescent="0.25">
      <c r="B12" s="36"/>
      <c r="C12" s="5" t="s">
        <v>298</v>
      </c>
      <c r="D12" s="79" t="s">
        <v>1001</v>
      </c>
      <c r="E12" s="5" t="s">
        <v>7</v>
      </c>
      <c r="F12" s="6"/>
      <c r="G12" s="4"/>
      <c r="H12" s="17">
        <v>0.6</v>
      </c>
      <c r="I12" s="17">
        <v>1</v>
      </c>
      <c r="J12" s="80" t="s">
        <v>790</v>
      </c>
      <c r="K12" s="80" t="s">
        <v>747</v>
      </c>
      <c r="U12" s="6">
        <f>F12</f>
        <v>0</v>
      </c>
      <c r="V12" s="2" t="str">
        <f t="shared" si="0"/>
        <v>K1.2</v>
      </c>
      <c r="W12" s="5"/>
      <c r="X12" s="4"/>
      <c r="Y12" s="38"/>
      <c r="Z12" s="38"/>
    </row>
    <row r="13" spans="2:26" ht="84" customHeight="1" x14ac:dyDescent="0.25">
      <c r="B13" s="36"/>
      <c r="C13" s="5" t="s">
        <v>644</v>
      </c>
      <c r="D13" s="79" t="s">
        <v>1725</v>
      </c>
      <c r="E13" s="5" t="s">
        <v>18</v>
      </c>
      <c r="F13" s="6"/>
      <c r="G13" s="4"/>
      <c r="H13" s="17">
        <v>0.6</v>
      </c>
      <c r="I13" s="17">
        <v>1</v>
      </c>
      <c r="J13" s="81" t="s">
        <v>899</v>
      </c>
      <c r="K13" s="81" t="s">
        <v>900</v>
      </c>
      <c r="U13" s="6">
        <f>F13</f>
        <v>0</v>
      </c>
      <c r="V13" s="2" t="str">
        <f t="shared" si="0"/>
        <v>S1.1</v>
      </c>
      <c r="W13" s="5"/>
      <c r="X13" s="4"/>
      <c r="Y13" s="38"/>
      <c r="Z13" s="38"/>
    </row>
    <row r="14" spans="2:26" ht="58.9" customHeight="1" x14ac:dyDescent="0.25">
      <c r="B14" s="36"/>
      <c r="C14" s="5" t="s">
        <v>342</v>
      </c>
      <c r="D14" s="79" t="s">
        <v>1662</v>
      </c>
      <c r="E14" s="5" t="s">
        <v>22</v>
      </c>
      <c r="F14" s="6"/>
      <c r="G14" s="4"/>
      <c r="H14" s="17">
        <v>0.6</v>
      </c>
      <c r="I14" s="17">
        <v>1</v>
      </c>
      <c r="J14" s="81" t="s">
        <v>902</v>
      </c>
      <c r="K14" s="81" t="s">
        <v>793</v>
      </c>
      <c r="U14" s="6">
        <f>F14</f>
        <v>0</v>
      </c>
      <c r="V14" s="2" t="str">
        <f t="shared" si="0"/>
        <v>S2.1</v>
      </c>
      <c r="W14" s="5"/>
      <c r="X14" s="4"/>
      <c r="Y14" s="38"/>
      <c r="Z14" s="38"/>
    </row>
    <row r="15" spans="2:26" ht="96" customHeight="1" x14ac:dyDescent="0.25">
      <c r="B15" s="36"/>
      <c r="C15" s="5" t="s">
        <v>395</v>
      </c>
      <c r="D15" s="79" t="s">
        <v>1735</v>
      </c>
      <c r="E15" s="5" t="s">
        <v>24</v>
      </c>
      <c r="F15" s="6"/>
      <c r="G15" s="4"/>
      <c r="H15" s="17">
        <v>0.6</v>
      </c>
      <c r="I15" s="17">
        <v>1</v>
      </c>
      <c r="J15" s="81" t="s">
        <v>794</v>
      </c>
      <c r="K15" s="81" t="s">
        <v>900</v>
      </c>
      <c r="U15" s="6">
        <f>F15</f>
        <v>0</v>
      </c>
      <c r="V15" s="2" t="str">
        <f t="shared" si="0"/>
        <v>S3.1</v>
      </c>
      <c r="W15" s="5"/>
      <c r="X15" s="4"/>
      <c r="Y15" s="38"/>
      <c r="Z15" s="38"/>
    </row>
    <row r="16" spans="2:26" ht="58.9" customHeight="1" x14ac:dyDescent="0.25">
      <c r="B16" s="36"/>
      <c r="C16" s="5"/>
      <c r="D16" s="24"/>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S2.1</v>
      </c>
      <c r="J25" s="49" t="str">
        <f>C15</f>
        <v>S3.1</v>
      </c>
      <c r="K25" s="49">
        <f>C16</f>
        <v>0</v>
      </c>
      <c r="L25" s="49">
        <f>C17</f>
        <v>0</v>
      </c>
      <c r="M25" s="49">
        <f>C18</f>
        <v>0</v>
      </c>
      <c r="N25" s="49">
        <f>C19</f>
        <v>0</v>
      </c>
      <c r="O25" s="50" t="s">
        <v>305</v>
      </c>
    </row>
    <row r="26" spans="2:26" ht="30.4" customHeight="1" thickBot="1" x14ac:dyDescent="0.3">
      <c r="C26" s="51" t="s">
        <v>306</v>
      </c>
      <c r="D26" s="83" t="s">
        <v>1027</v>
      </c>
      <c r="E26" s="8">
        <v>4</v>
      </c>
      <c r="F26" s="8">
        <v>2</v>
      </c>
      <c r="G26" s="8">
        <v>1</v>
      </c>
      <c r="H26" s="8">
        <v>1</v>
      </c>
      <c r="I26" s="8"/>
      <c r="J26" s="8"/>
      <c r="K26" s="8"/>
      <c r="L26" s="8"/>
      <c r="M26" s="8"/>
      <c r="N26" s="8"/>
      <c r="O26" s="53" t="b">
        <f t="shared" ref="O26:O40" si="1">IF(SUM(F26:N26)=E26,TRUE,"false")</f>
        <v>1</v>
      </c>
    </row>
    <row r="27" spans="2:26" ht="30.4" customHeight="1" thickBot="1" x14ac:dyDescent="0.3">
      <c r="C27" s="51" t="s">
        <v>307</v>
      </c>
      <c r="D27" s="83" t="s">
        <v>1028</v>
      </c>
      <c r="E27" s="8">
        <v>6</v>
      </c>
      <c r="F27" s="8">
        <v>1</v>
      </c>
      <c r="G27" s="8">
        <v>1</v>
      </c>
      <c r="H27" s="8">
        <v>3</v>
      </c>
      <c r="I27" s="8">
        <v>1</v>
      </c>
      <c r="J27" s="8"/>
      <c r="K27" s="8"/>
      <c r="L27" s="8"/>
      <c r="M27" s="8"/>
      <c r="N27" s="8"/>
      <c r="O27" s="53" t="b">
        <f t="shared" si="1"/>
        <v>1</v>
      </c>
    </row>
    <row r="28" spans="2:26" ht="30.4" customHeight="1" thickBot="1" x14ac:dyDescent="0.3">
      <c r="C28" s="51" t="s">
        <v>308</v>
      </c>
      <c r="D28" s="83" t="s">
        <v>1029</v>
      </c>
      <c r="E28" s="8">
        <v>4</v>
      </c>
      <c r="F28" s="8">
        <v>1</v>
      </c>
      <c r="G28" s="8">
        <v>1</v>
      </c>
      <c r="H28" s="8">
        <v>1</v>
      </c>
      <c r="I28" s="8">
        <v>1</v>
      </c>
      <c r="J28" s="8"/>
      <c r="K28" s="8"/>
      <c r="L28" s="8"/>
      <c r="M28" s="8"/>
      <c r="N28" s="8"/>
      <c r="O28" s="53" t="b">
        <f t="shared" si="1"/>
        <v>1</v>
      </c>
    </row>
    <row r="29" spans="2:26" ht="30.4" customHeight="1" thickBot="1" x14ac:dyDescent="0.3">
      <c r="C29" s="51" t="s">
        <v>309</v>
      </c>
      <c r="D29" s="83" t="s">
        <v>1030</v>
      </c>
      <c r="E29" s="8">
        <v>4</v>
      </c>
      <c r="F29" s="8">
        <v>2</v>
      </c>
      <c r="G29" s="8">
        <v>1</v>
      </c>
      <c r="H29" s="8">
        <v>1</v>
      </c>
      <c r="I29" s="8"/>
      <c r="J29" s="8"/>
      <c r="K29" s="8"/>
      <c r="L29" s="8"/>
      <c r="M29" s="8"/>
      <c r="N29" s="8"/>
      <c r="O29" s="53" t="b">
        <f t="shared" si="1"/>
        <v>1</v>
      </c>
    </row>
    <row r="30" spans="2:26" ht="30.4" customHeight="1" thickBot="1" x14ac:dyDescent="0.3">
      <c r="C30" s="51" t="s">
        <v>310</v>
      </c>
      <c r="D30" s="83" t="s">
        <v>1031</v>
      </c>
      <c r="E30" s="8">
        <v>4</v>
      </c>
      <c r="F30" s="8">
        <v>1</v>
      </c>
      <c r="G30" s="8">
        <v>1</v>
      </c>
      <c r="H30" s="8">
        <v>1</v>
      </c>
      <c r="I30" s="8">
        <v>1</v>
      </c>
      <c r="J30" s="8"/>
      <c r="K30" s="8"/>
      <c r="L30" s="8"/>
      <c r="M30" s="8"/>
      <c r="N30" s="8"/>
      <c r="O30" s="53" t="b">
        <f t="shared" si="1"/>
        <v>1</v>
      </c>
    </row>
    <row r="31" spans="2:26" ht="30.4" customHeight="1" thickBot="1" x14ac:dyDescent="0.3">
      <c r="C31" s="51" t="s">
        <v>311</v>
      </c>
      <c r="D31" s="83" t="s">
        <v>1032</v>
      </c>
      <c r="E31" s="8">
        <v>4</v>
      </c>
      <c r="F31" s="8"/>
      <c r="G31" s="8">
        <v>1</v>
      </c>
      <c r="H31" s="8">
        <v>2</v>
      </c>
      <c r="I31" s="8"/>
      <c r="J31" s="8">
        <v>1</v>
      </c>
      <c r="K31" s="8"/>
      <c r="L31" s="8"/>
      <c r="M31" s="8"/>
      <c r="N31" s="8"/>
      <c r="O31" s="53" t="b">
        <f t="shared" si="1"/>
        <v>1</v>
      </c>
    </row>
    <row r="32" spans="2:26" ht="30.4" customHeight="1" thickBot="1" x14ac:dyDescent="0.3">
      <c r="C32" s="51" t="s">
        <v>312</v>
      </c>
      <c r="D32" s="83" t="s">
        <v>1033</v>
      </c>
      <c r="E32" s="8">
        <v>4</v>
      </c>
      <c r="F32" s="8"/>
      <c r="G32" s="8"/>
      <c r="H32" s="8"/>
      <c r="I32" s="8"/>
      <c r="J32" s="8">
        <v>4</v>
      </c>
      <c r="K32" s="8"/>
      <c r="L32" s="8"/>
      <c r="M32" s="8"/>
      <c r="N32" s="8"/>
      <c r="O32" s="53" t="b">
        <f t="shared" si="1"/>
        <v>1</v>
      </c>
    </row>
    <row r="33" spans="2:15" ht="30.4" customHeight="1" thickBot="1" x14ac:dyDescent="0.3">
      <c r="C33" s="51" t="s">
        <v>313</v>
      </c>
      <c r="D33" s="83"/>
      <c r="E33" s="8"/>
      <c r="F33" s="8"/>
      <c r="G33" s="8"/>
      <c r="H33" s="8"/>
      <c r="I33" s="8"/>
      <c r="J33" s="8"/>
      <c r="K33" s="8"/>
      <c r="L33" s="8"/>
      <c r="M33" s="8"/>
      <c r="N33" s="8"/>
      <c r="O33" s="53" t="b">
        <f t="shared" si="1"/>
        <v>1</v>
      </c>
    </row>
    <row r="34" spans="2:15" ht="30.4" customHeight="1" thickBot="1" x14ac:dyDescent="0.3">
      <c r="C34" s="51" t="s">
        <v>314</v>
      </c>
      <c r="D34" s="83"/>
      <c r="E34" s="8"/>
      <c r="F34" s="8"/>
      <c r="G34" s="8"/>
      <c r="H34" s="8"/>
      <c r="I34" s="8"/>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7</v>
      </c>
      <c r="G40" s="52">
        <f t="shared" si="2"/>
        <v>6</v>
      </c>
      <c r="H40" s="52">
        <f t="shared" si="2"/>
        <v>9</v>
      </c>
      <c r="I40" s="52">
        <f t="shared" si="2"/>
        <v>3</v>
      </c>
      <c r="J40" s="52">
        <f t="shared" si="2"/>
        <v>5</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0.23</v>
      </c>
      <c r="G41" s="54">
        <f>ROUND(G40/E40,2)</f>
        <v>0.2</v>
      </c>
      <c r="H41" s="54">
        <f>ROUND(H40/E40,2)</f>
        <v>0.3</v>
      </c>
      <c r="I41" s="54">
        <f>ROUND(I40/E40,2)</f>
        <v>0.1</v>
      </c>
      <c r="J41" s="54">
        <f>ROUND(J40/E40,2)</f>
        <v>0.17</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30</v>
      </c>
      <c r="I42" s="7">
        <v>10</v>
      </c>
      <c r="J42" s="7">
        <v>15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S2.1</v>
      </c>
      <c r="I46" s="59" t="str">
        <f>C15</f>
        <v>S3.1</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v>10</v>
      </c>
      <c r="G49" s="12"/>
      <c r="H49" s="12"/>
      <c r="I49" s="12"/>
      <c r="J49" s="12"/>
      <c r="K49" s="12"/>
      <c r="L49" s="12"/>
      <c r="M49" s="12"/>
      <c r="N49" s="55" t="b">
        <f t="shared" si="3"/>
        <v>1</v>
      </c>
    </row>
    <row r="50" spans="3:14" ht="55.15" customHeight="1" x14ac:dyDescent="0.25">
      <c r="C50" s="9" t="s">
        <v>331</v>
      </c>
      <c r="D50" s="10">
        <v>10</v>
      </c>
      <c r="E50" s="11"/>
      <c r="F50" s="12"/>
      <c r="G50" s="12"/>
      <c r="H50" s="12">
        <v>10</v>
      </c>
      <c r="I50" s="12"/>
      <c r="J50" s="12"/>
      <c r="K50" s="12"/>
      <c r="L50" s="12"/>
      <c r="M50" s="12"/>
      <c r="N50" s="55" t="b">
        <f t="shared" si="3"/>
        <v>1</v>
      </c>
    </row>
    <row r="51" spans="3:14" ht="55.15" customHeight="1" x14ac:dyDescent="0.25">
      <c r="C51" s="9" t="s">
        <v>332</v>
      </c>
      <c r="D51" s="10"/>
      <c r="E51" s="11"/>
      <c r="F51" s="12"/>
      <c r="G51" s="12"/>
      <c r="H51" s="12"/>
      <c r="I51" s="12"/>
      <c r="J51" s="12"/>
      <c r="K51" s="12"/>
      <c r="L51" s="12"/>
      <c r="M51" s="12"/>
      <c r="N51" s="55" t="b">
        <f t="shared" si="3"/>
        <v>1</v>
      </c>
    </row>
    <row r="52" spans="3:14" ht="55.15" customHeight="1" x14ac:dyDescent="0.25">
      <c r="C52" s="9" t="s">
        <v>504</v>
      </c>
      <c r="D52" s="10">
        <v>50</v>
      </c>
      <c r="E52" s="11">
        <v>10</v>
      </c>
      <c r="F52" s="12"/>
      <c r="G52" s="12">
        <v>25</v>
      </c>
      <c r="H52" s="12"/>
      <c r="I52" s="12">
        <v>15</v>
      </c>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30</v>
      </c>
      <c r="H56" s="65">
        <f t="shared" si="5"/>
        <v>10</v>
      </c>
      <c r="I56" s="65">
        <f t="shared" si="5"/>
        <v>15</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671" priority="11">
      <formula>LEN(TRIM(D47))=0</formula>
    </cfRule>
    <cfRule type="cellIs" dxfId="670" priority="12" operator="equal">
      <formula>0</formula>
    </cfRule>
  </conditionalFormatting>
  <conditionalFormatting sqref="E50">
    <cfRule type="containsBlanks" dxfId="669" priority="21">
      <formula>LEN(TRIM(E50))=0</formula>
    </cfRule>
    <cfRule type="cellIs" dxfId="668" priority="22" operator="equal">
      <formula>0</formula>
    </cfRule>
  </conditionalFormatting>
  <conditionalFormatting sqref="E47:M51 E52">
    <cfRule type="containsBlanks" dxfId="667" priority="17">
      <formula>LEN(TRIM(E47))=0</formula>
    </cfRule>
    <cfRule type="cellIs" dxfId="666" priority="18" operator="equal">
      <formula>0</formula>
    </cfRule>
  </conditionalFormatting>
  <conditionalFormatting sqref="E53:M54">
    <cfRule type="containsBlanks" dxfId="665" priority="15">
      <formula>LEN(TRIM(E53))=0</formula>
    </cfRule>
    <cfRule type="cellIs" dxfId="664" priority="16" operator="equal">
      <formula>0</formula>
    </cfRule>
  </conditionalFormatting>
  <conditionalFormatting sqref="E55:M55">
    <cfRule type="containsText" dxfId="663" priority="5" operator="containsText" text="false">
      <formula>NOT(ISERROR(SEARCH("false",E55)))</formula>
    </cfRule>
    <cfRule type="containsText" dxfId="662" priority="6" operator="containsText" text="true">
      <formula>NOT(ISERROR(SEARCH("true",E55)))</formula>
    </cfRule>
  </conditionalFormatting>
  <conditionalFormatting sqref="E26:N39">
    <cfRule type="containsBlanks" dxfId="661" priority="3">
      <formula>LEN(TRIM(E26))=0</formula>
    </cfRule>
    <cfRule type="cellIs" dxfId="660" priority="4" operator="equal">
      <formula>0</formula>
    </cfRule>
  </conditionalFormatting>
  <conditionalFormatting sqref="F48:M48">
    <cfRule type="containsBlanks" dxfId="659" priority="23">
      <formula>LEN(TRIM(F48))=0</formula>
    </cfRule>
    <cfRule type="cellIs" dxfId="658" priority="24" operator="equal">
      <formula>0</formula>
    </cfRule>
  </conditionalFormatting>
  <conditionalFormatting sqref="F50:M52">
    <cfRule type="containsBlanks" dxfId="657" priority="19">
      <formula>LEN(TRIM(F50))=0</formula>
    </cfRule>
    <cfRule type="cellIs" dxfId="656" priority="20" operator="equal">
      <formula>0</formula>
    </cfRule>
  </conditionalFormatting>
  <conditionalFormatting sqref="N47:N54">
    <cfRule type="containsText" dxfId="655" priority="7" operator="containsText" text="false">
      <formula>NOT(ISERROR(SEARCH("false",N47)))</formula>
    </cfRule>
    <cfRule type="containsText" dxfId="654" priority="8" operator="containsText" text="true">
      <formula>NOT(ISERROR(SEARCH("true",N47)))</formula>
    </cfRule>
  </conditionalFormatting>
  <conditionalFormatting sqref="N55">
    <cfRule type="containsBlanks" dxfId="653" priority="13">
      <formula>LEN(TRIM(N55))=0</formula>
    </cfRule>
    <cfRule type="cellIs" dxfId="652" priority="14" operator="equal">
      <formula>0</formula>
    </cfRule>
  </conditionalFormatting>
  <conditionalFormatting sqref="O26:O40">
    <cfRule type="containsText" dxfId="651" priority="9" operator="containsText" text="false">
      <formula>NOT(ISERROR(SEARCH("false",O26)))</formula>
    </cfRule>
    <cfRule type="containsText" dxfId="650" priority="10" operator="containsText" text="true">
      <formula>NOT(ISERROR(SEARCH("true",O26)))</formula>
    </cfRule>
  </conditionalFormatting>
  <conditionalFormatting sqref="O42">
    <cfRule type="cellIs" dxfId="649" priority="1" operator="notEqual">
      <formula>100</formula>
    </cfRule>
    <cfRule type="cellIs" dxfId="648" priority="2" operator="equal">
      <formula>100</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2:AB57"/>
  <sheetViews>
    <sheetView zoomScale="50" zoomScaleNormal="50" workbookViewId="0">
      <selection activeCell="J17" sqref="J1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222</v>
      </c>
      <c r="J6" s="43" t="s">
        <v>278</v>
      </c>
      <c r="K6" s="1" t="s">
        <v>221</v>
      </c>
    </row>
    <row r="7" spans="2:26" ht="72.599999999999994" customHeight="1" thickBot="1" x14ac:dyDescent="0.3">
      <c r="B7" s="160"/>
      <c r="C7" s="161"/>
      <c r="D7" s="43" t="s">
        <v>279</v>
      </c>
      <c r="E7" s="1">
        <v>4</v>
      </c>
      <c r="F7" s="43" t="s">
        <v>280</v>
      </c>
      <c r="G7" s="1">
        <v>7</v>
      </c>
      <c r="H7" s="43" t="s">
        <v>281</v>
      </c>
      <c r="I7" s="1">
        <v>2</v>
      </c>
      <c r="J7" s="43" t="s">
        <v>283</v>
      </c>
      <c r="K7" s="1" t="s">
        <v>608</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5" t="s">
        <v>297</v>
      </c>
      <c r="D11" s="79" t="s">
        <v>748</v>
      </c>
      <c r="E11" s="2" t="s">
        <v>7</v>
      </c>
      <c r="F11" s="3"/>
      <c r="G11" s="17"/>
      <c r="H11" s="17">
        <v>0.6</v>
      </c>
      <c r="I11" s="17">
        <v>1</v>
      </c>
      <c r="J11" s="80" t="s">
        <v>856</v>
      </c>
      <c r="K11" s="80" t="s">
        <v>611</v>
      </c>
      <c r="U11" s="3">
        <f>F11</f>
        <v>0</v>
      </c>
      <c r="V11" s="2" t="str">
        <f>C11</f>
        <v>K1.1</v>
      </c>
      <c r="W11" s="2"/>
      <c r="X11" s="17"/>
      <c r="Y11" s="37"/>
      <c r="Z11" s="37"/>
    </row>
    <row r="12" spans="2:26" ht="58.9" customHeight="1" x14ac:dyDescent="0.25">
      <c r="B12" s="36"/>
      <c r="C12" s="5" t="s">
        <v>298</v>
      </c>
      <c r="D12" s="79" t="s">
        <v>857</v>
      </c>
      <c r="E12" s="5" t="s">
        <v>7</v>
      </c>
      <c r="F12" s="6"/>
      <c r="G12" s="4"/>
      <c r="H12" s="17">
        <v>0.6</v>
      </c>
      <c r="I12" s="17">
        <v>1</v>
      </c>
      <c r="J12" s="80" t="s">
        <v>856</v>
      </c>
      <c r="K12" s="80" t="s">
        <v>611</v>
      </c>
      <c r="U12" s="6">
        <f t="shared" ref="U12:U19" si="0">F12</f>
        <v>0</v>
      </c>
      <c r="V12" s="2" t="str">
        <f>C12</f>
        <v>K1.2</v>
      </c>
      <c r="W12" s="5"/>
      <c r="X12" s="4"/>
      <c r="Y12" s="38"/>
      <c r="Z12" s="38"/>
    </row>
    <row r="13" spans="2:26" ht="58.9" customHeight="1" x14ac:dyDescent="0.25">
      <c r="B13" s="36"/>
      <c r="C13" s="5" t="s">
        <v>342</v>
      </c>
      <c r="D13" s="79" t="s">
        <v>858</v>
      </c>
      <c r="E13" s="5" t="s">
        <v>22</v>
      </c>
      <c r="F13" s="6"/>
      <c r="G13" s="4"/>
      <c r="H13" s="17">
        <v>0.6</v>
      </c>
      <c r="I13" s="17">
        <v>1</v>
      </c>
      <c r="J13" s="81" t="s">
        <v>859</v>
      </c>
      <c r="K13" s="80" t="s">
        <v>860</v>
      </c>
      <c r="U13" s="6">
        <f t="shared" si="0"/>
        <v>0</v>
      </c>
      <c r="V13" s="2" t="str">
        <f>C13</f>
        <v>S2.1</v>
      </c>
      <c r="W13" s="5"/>
      <c r="X13" s="4"/>
      <c r="Y13" s="38"/>
      <c r="Z13" s="38"/>
    </row>
    <row r="14" spans="2:26" ht="58.9" customHeight="1" x14ac:dyDescent="0.25">
      <c r="B14" s="36"/>
      <c r="C14" s="5" t="s">
        <v>395</v>
      </c>
      <c r="D14" s="79" t="s">
        <v>861</v>
      </c>
      <c r="E14" s="5" t="s">
        <v>24</v>
      </c>
      <c r="F14" s="6"/>
      <c r="G14" s="4"/>
      <c r="H14" s="17">
        <v>0.6</v>
      </c>
      <c r="I14" s="17">
        <v>1</v>
      </c>
      <c r="J14" s="81" t="s">
        <v>862</v>
      </c>
      <c r="K14" s="81" t="s">
        <v>1751</v>
      </c>
      <c r="U14" s="6">
        <f t="shared" si="0"/>
        <v>0</v>
      </c>
      <c r="V14" s="2" t="str">
        <f>C14</f>
        <v>S3.1</v>
      </c>
      <c r="W14" s="5"/>
      <c r="X14" s="4"/>
      <c r="Y14" s="38"/>
      <c r="Z14" s="38"/>
    </row>
    <row r="15" spans="2:26" ht="58.9" customHeight="1" x14ac:dyDescent="0.25">
      <c r="B15" s="36"/>
      <c r="C15" s="5" t="s">
        <v>752</v>
      </c>
      <c r="D15" s="79" t="s">
        <v>753</v>
      </c>
      <c r="E15" s="5" t="s">
        <v>35</v>
      </c>
      <c r="F15" s="6"/>
      <c r="G15" s="4"/>
      <c r="H15" s="17">
        <v>0.6</v>
      </c>
      <c r="I15" s="17">
        <v>1</v>
      </c>
      <c r="J15" s="81" t="s">
        <v>864</v>
      </c>
      <c r="K15" s="81" t="s">
        <v>1750</v>
      </c>
      <c r="U15" s="6">
        <f t="shared" si="0"/>
        <v>0</v>
      </c>
      <c r="V15" s="2" t="str">
        <f>C15</f>
        <v>S4.1</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S2.1</v>
      </c>
      <c r="I25" s="49" t="str">
        <f>C14</f>
        <v>S3.1</v>
      </c>
      <c r="J25" s="49" t="str">
        <f>C15</f>
        <v>S4.1</v>
      </c>
      <c r="K25" s="49">
        <f>C16</f>
        <v>0</v>
      </c>
      <c r="L25" s="49">
        <f>C17</f>
        <v>0</v>
      </c>
      <c r="M25" s="49">
        <f>C18</f>
        <v>0</v>
      </c>
      <c r="N25" s="49">
        <f>C19</f>
        <v>0</v>
      </c>
      <c r="O25" s="50" t="s">
        <v>305</v>
      </c>
    </row>
    <row r="26" spans="2:26" ht="30.4" customHeight="1" thickBot="1" x14ac:dyDescent="0.3">
      <c r="C26" s="51" t="s">
        <v>306</v>
      </c>
      <c r="D26" s="79" t="s">
        <v>1034</v>
      </c>
      <c r="E26" s="8">
        <v>2</v>
      </c>
      <c r="F26" s="8">
        <v>2</v>
      </c>
      <c r="G26" s="8"/>
      <c r="H26" s="8"/>
      <c r="I26" s="8"/>
      <c r="J26" s="8"/>
      <c r="K26" s="8"/>
      <c r="L26" s="8"/>
      <c r="M26" s="8"/>
      <c r="N26" s="8"/>
      <c r="O26" s="53" t="b">
        <f>IF(SUM(F26:N26)=E26,TRUE,"false")</f>
        <v>1</v>
      </c>
    </row>
    <row r="27" spans="2:26" ht="30.4" customHeight="1" thickBot="1" x14ac:dyDescent="0.3">
      <c r="C27" s="51" t="s">
        <v>307</v>
      </c>
      <c r="D27" s="79" t="s">
        <v>1035</v>
      </c>
      <c r="E27" s="8">
        <v>4</v>
      </c>
      <c r="F27" s="8">
        <v>2</v>
      </c>
      <c r="G27" s="8"/>
      <c r="H27" s="8">
        <v>1</v>
      </c>
      <c r="I27" s="8">
        <v>1</v>
      </c>
      <c r="J27" s="8"/>
      <c r="K27" s="8"/>
      <c r="L27" s="8"/>
      <c r="M27" s="8"/>
      <c r="N27" s="8"/>
      <c r="O27" s="53" t="b">
        <f t="shared" ref="O27:O40" si="1">IF(SUM(F27:N27)=E27,TRUE,"false")</f>
        <v>1</v>
      </c>
    </row>
    <row r="28" spans="2:26" ht="30.4" customHeight="1" thickBot="1" x14ac:dyDescent="0.3">
      <c r="C28" s="51" t="s">
        <v>308</v>
      </c>
      <c r="D28" s="79" t="s">
        <v>1036</v>
      </c>
      <c r="E28" s="8">
        <v>2</v>
      </c>
      <c r="F28" s="8">
        <v>1</v>
      </c>
      <c r="G28" s="8">
        <v>1</v>
      </c>
      <c r="H28" s="8"/>
      <c r="I28" s="8"/>
      <c r="J28" s="8"/>
      <c r="K28" s="8"/>
      <c r="L28" s="8"/>
      <c r="M28" s="8"/>
      <c r="N28" s="8"/>
      <c r="O28" s="53" t="b">
        <f t="shared" si="1"/>
        <v>1</v>
      </c>
    </row>
    <row r="29" spans="2:26" ht="30.4" customHeight="1" thickBot="1" x14ac:dyDescent="0.3">
      <c r="C29" s="51" t="s">
        <v>309</v>
      </c>
      <c r="D29" s="79" t="s">
        <v>1037</v>
      </c>
      <c r="E29" s="8">
        <v>2</v>
      </c>
      <c r="F29" s="8">
        <v>1</v>
      </c>
      <c r="G29" s="8"/>
      <c r="H29" s="8">
        <v>1</v>
      </c>
      <c r="I29" s="8"/>
      <c r="J29" s="8"/>
      <c r="K29" s="8"/>
      <c r="L29" s="8"/>
      <c r="M29" s="8"/>
      <c r="N29" s="8"/>
      <c r="O29" s="53" t="b">
        <f t="shared" si="1"/>
        <v>1</v>
      </c>
    </row>
    <row r="30" spans="2:26" ht="30.4" customHeight="1" thickBot="1" x14ac:dyDescent="0.3">
      <c r="C30" s="51" t="s">
        <v>310</v>
      </c>
      <c r="D30" s="79" t="s">
        <v>1038</v>
      </c>
      <c r="E30" s="8">
        <v>4</v>
      </c>
      <c r="F30" s="8"/>
      <c r="G30" s="8">
        <v>2</v>
      </c>
      <c r="H30" s="8"/>
      <c r="I30" s="8">
        <v>2</v>
      </c>
      <c r="J30" s="8"/>
      <c r="K30" s="8"/>
      <c r="L30" s="8"/>
      <c r="M30" s="8"/>
      <c r="N30" s="8"/>
      <c r="O30" s="53" t="b">
        <f t="shared" si="1"/>
        <v>1</v>
      </c>
    </row>
    <row r="31" spans="2:26" ht="30.4" customHeight="1" thickBot="1" x14ac:dyDescent="0.3">
      <c r="C31" s="51" t="s">
        <v>311</v>
      </c>
      <c r="D31" s="79" t="s">
        <v>1039</v>
      </c>
      <c r="E31" s="8">
        <v>6</v>
      </c>
      <c r="F31" s="8">
        <v>2</v>
      </c>
      <c r="G31" s="8"/>
      <c r="H31" s="8">
        <v>2</v>
      </c>
      <c r="I31" s="8">
        <v>1</v>
      </c>
      <c r="J31" s="8">
        <v>1</v>
      </c>
      <c r="K31" s="8"/>
      <c r="L31" s="8"/>
      <c r="M31" s="8"/>
      <c r="N31" s="8"/>
      <c r="O31" s="53" t="b">
        <f t="shared" si="1"/>
        <v>1</v>
      </c>
    </row>
    <row r="32" spans="2:26" ht="30.4" customHeight="1" thickBot="1" x14ac:dyDescent="0.3">
      <c r="C32" s="51" t="s">
        <v>312</v>
      </c>
      <c r="D32" s="79" t="s">
        <v>1040</v>
      </c>
      <c r="E32" s="8">
        <v>4</v>
      </c>
      <c r="F32" s="8"/>
      <c r="G32" s="8">
        <v>2</v>
      </c>
      <c r="H32" s="8">
        <v>2</v>
      </c>
      <c r="I32" s="8"/>
      <c r="J32" s="8"/>
      <c r="K32" s="8"/>
      <c r="L32" s="8"/>
      <c r="M32" s="8"/>
      <c r="N32" s="8"/>
      <c r="O32" s="53" t="b">
        <f t="shared" si="1"/>
        <v>1</v>
      </c>
    </row>
    <row r="33" spans="2:15" ht="30.4" customHeight="1" thickBot="1" x14ac:dyDescent="0.3">
      <c r="C33" s="51" t="s">
        <v>313</v>
      </c>
      <c r="D33" s="79" t="s">
        <v>1041</v>
      </c>
      <c r="E33" s="8">
        <v>4</v>
      </c>
      <c r="F33" s="8">
        <v>1</v>
      </c>
      <c r="G33" s="8"/>
      <c r="H33" s="8">
        <v>1</v>
      </c>
      <c r="I33" s="8">
        <v>1</v>
      </c>
      <c r="J33" s="8">
        <v>1</v>
      </c>
      <c r="K33" s="8"/>
      <c r="L33" s="8"/>
      <c r="M33" s="8"/>
      <c r="N33" s="8"/>
      <c r="O33" s="53" t="b">
        <f t="shared" si="1"/>
        <v>1</v>
      </c>
    </row>
    <row r="34" spans="2:15" ht="30.4" customHeight="1" thickBot="1" x14ac:dyDescent="0.3">
      <c r="C34" s="51" t="s">
        <v>314</v>
      </c>
      <c r="D34" s="79" t="s">
        <v>1042</v>
      </c>
      <c r="E34" s="8">
        <v>2</v>
      </c>
      <c r="F34" s="8"/>
      <c r="G34" s="8">
        <v>2</v>
      </c>
      <c r="H34" s="8"/>
      <c r="I34" s="8"/>
      <c r="J34" s="8"/>
      <c r="K34" s="8"/>
      <c r="L34" s="8"/>
      <c r="M34" s="8"/>
      <c r="N34" s="8"/>
      <c r="O34" s="53" t="b">
        <f t="shared" si="1"/>
        <v>1</v>
      </c>
    </row>
    <row r="35" spans="2:15" ht="30.4" customHeight="1" thickBot="1" x14ac:dyDescent="0.3">
      <c r="C35" s="51" t="s">
        <v>315</v>
      </c>
      <c r="D35" s="25"/>
      <c r="E35" s="8"/>
      <c r="F35" s="8"/>
      <c r="G35" s="8"/>
      <c r="H35" s="8"/>
      <c r="I35" s="8"/>
      <c r="J35" s="8"/>
      <c r="K35" s="8"/>
      <c r="L35" s="8"/>
      <c r="M35" s="8"/>
      <c r="N35" s="8"/>
      <c r="O35" s="53" t="b">
        <f t="shared" si="1"/>
        <v>1</v>
      </c>
    </row>
    <row r="36" spans="2:15" ht="30.4" customHeight="1" thickBot="1" x14ac:dyDescent="0.3">
      <c r="C36" s="51" t="s">
        <v>316</v>
      </c>
      <c r="D36" s="25"/>
      <c r="E36" s="8"/>
      <c r="F36" s="8"/>
      <c r="G36" s="8"/>
      <c r="H36" s="8"/>
      <c r="I36" s="8"/>
      <c r="J36" s="8"/>
      <c r="K36" s="8"/>
      <c r="L36" s="8"/>
      <c r="M36" s="8"/>
      <c r="N36" s="8"/>
      <c r="O36" s="53" t="b">
        <f t="shared" si="1"/>
        <v>1</v>
      </c>
    </row>
    <row r="37" spans="2:15" ht="30.4" customHeight="1" thickBot="1" x14ac:dyDescent="0.3">
      <c r="C37" s="51" t="s">
        <v>317</v>
      </c>
      <c r="D37" s="25"/>
      <c r="E37" s="8"/>
      <c r="F37" s="8"/>
      <c r="G37" s="8"/>
      <c r="H37" s="8"/>
      <c r="I37" s="8"/>
      <c r="J37" s="8"/>
      <c r="K37" s="8"/>
      <c r="L37" s="8"/>
      <c r="M37" s="8"/>
      <c r="N37" s="8"/>
      <c r="O37" s="53" t="b">
        <f t="shared" si="1"/>
        <v>1</v>
      </c>
    </row>
    <row r="38" spans="2:15" ht="30.4" customHeight="1" thickBot="1" x14ac:dyDescent="0.3">
      <c r="C38" s="51" t="s">
        <v>318</v>
      </c>
      <c r="D38" s="26"/>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9</v>
      </c>
      <c r="G40" s="52">
        <f t="shared" si="2"/>
        <v>7</v>
      </c>
      <c r="H40" s="52">
        <f t="shared" si="2"/>
        <v>7</v>
      </c>
      <c r="I40" s="52">
        <f t="shared" si="2"/>
        <v>5</v>
      </c>
      <c r="J40" s="52">
        <f t="shared" si="2"/>
        <v>2</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v>
      </c>
      <c r="G41" s="54">
        <f>ROUND(G40/E40,2)</f>
        <v>0.23</v>
      </c>
      <c r="H41" s="54">
        <f>ROUND(H40/E40,2)</f>
        <v>0.23</v>
      </c>
      <c r="I41" s="54">
        <f>ROUND(I40/E40,2)</f>
        <v>0.17</v>
      </c>
      <c r="J41" s="54">
        <f>ROUND(J40/E40,2)</f>
        <v>7.0000000000000007E-2</v>
      </c>
      <c r="K41" s="54">
        <f>ROUND(K40/E40,2)</f>
        <v>0</v>
      </c>
      <c r="L41" s="54">
        <f>ROUND(L40/E40,2)</f>
        <v>0</v>
      </c>
      <c r="M41" s="54">
        <f>ROUND(M40/E40,2)</f>
        <v>0</v>
      </c>
      <c r="N41" s="54">
        <f>ROUND(N40/E40,2)</f>
        <v>0</v>
      </c>
      <c r="O41" s="54">
        <f>SUM(F41:N41)</f>
        <v>1</v>
      </c>
    </row>
    <row r="42" spans="2:15" ht="55.9" customHeight="1" x14ac:dyDescent="0.25">
      <c r="C42" s="151" t="s">
        <v>322</v>
      </c>
      <c r="D42" s="151"/>
      <c r="E42" s="151"/>
      <c r="F42" s="7">
        <v>30</v>
      </c>
      <c r="G42" s="7">
        <v>25</v>
      </c>
      <c r="H42" s="7">
        <v>25</v>
      </c>
      <c r="I42" s="7">
        <v>15</v>
      </c>
      <c r="J42" s="7">
        <v>5</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S2.1</v>
      </c>
      <c r="H46" s="59" t="str">
        <f>C14</f>
        <v>S3.1</v>
      </c>
      <c r="I46" s="59" t="str">
        <f>C15</f>
        <v>S4.1</v>
      </c>
      <c r="J46" s="59">
        <f>C16</f>
        <v>0</v>
      </c>
      <c r="K46" s="59">
        <f>C17</f>
        <v>0</v>
      </c>
      <c r="L46" s="59">
        <f>C18</f>
        <v>0</v>
      </c>
      <c r="M46" s="59">
        <f>C19</f>
        <v>0</v>
      </c>
      <c r="N46" s="60" t="s">
        <v>327</v>
      </c>
    </row>
    <row r="47" spans="2:15" ht="55.15" customHeight="1" x14ac:dyDescent="0.25">
      <c r="C47" s="9" t="s">
        <v>328</v>
      </c>
      <c r="D47" s="10">
        <v>25</v>
      </c>
      <c r="E47" s="8">
        <v>15</v>
      </c>
      <c r="F47" s="8"/>
      <c r="G47" s="8">
        <v>5</v>
      </c>
      <c r="H47" s="8">
        <v>5</v>
      </c>
      <c r="I47" s="8"/>
      <c r="J47" s="8"/>
      <c r="K47" s="8"/>
      <c r="L47" s="8"/>
      <c r="M47" s="8"/>
      <c r="N47" s="55" t="b">
        <f t="shared" ref="N47:N54" si="3">IF(SUM(E47:M47)=D47,TRUE,"false")</f>
        <v>1</v>
      </c>
    </row>
    <row r="48" spans="2:15" ht="55.15" customHeight="1" x14ac:dyDescent="0.25">
      <c r="C48" s="9" t="s">
        <v>409</v>
      </c>
      <c r="D48" s="10">
        <v>10</v>
      </c>
      <c r="E48" s="11"/>
      <c r="F48" s="12">
        <v>5</v>
      </c>
      <c r="G48" s="12">
        <v>5</v>
      </c>
      <c r="H48" s="12"/>
      <c r="I48" s="12"/>
      <c r="J48" s="12"/>
      <c r="K48" s="12"/>
      <c r="L48" s="12"/>
      <c r="M48" s="12"/>
      <c r="N48" s="55" t="b">
        <f t="shared" si="3"/>
        <v>1</v>
      </c>
    </row>
    <row r="49" spans="3:14" ht="55.15" customHeight="1" x14ac:dyDescent="0.25">
      <c r="C49" s="9" t="s">
        <v>411</v>
      </c>
      <c r="D49" s="10">
        <v>5</v>
      </c>
      <c r="E49" s="11"/>
      <c r="F49" s="12">
        <v>5</v>
      </c>
      <c r="G49" s="12"/>
      <c r="H49" s="12"/>
      <c r="I49" s="12"/>
      <c r="J49" s="12"/>
      <c r="K49" s="12"/>
      <c r="L49" s="12"/>
      <c r="M49" s="12"/>
      <c r="N49" s="55" t="b">
        <f t="shared" si="3"/>
        <v>1</v>
      </c>
    </row>
    <row r="50" spans="3:14" ht="55.15" customHeight="1" x14ac:dyDescent="0.25">
      <c r="C50" s="9" t="s">
        <v>331</v>
      </c>
      <c r="D50" s="10">
        <v>5</v>
      </c>
      <c r="E50" s="11"/>
      <c r="F50" s="12"/>
      <c r="G50" s="12"/>
      <c r="H50" s="12">
        <v>3</v>
      </c>
      <c r="I50" s="12">
        <v>2</v>
      </c>
      <c r="J50" s="12"/>
      <c r="K50" s="12"/>
      <c r="L50" s="12"/>
      <c r="M50" s="12"/>
      <c r="N50" s="55" t="b">
        <f t="shared" si="3"/>
        <v>1</v>
      </c>
    </row>
    <row r="51" spans="3:14" ht="55.15" customHeight="1" x14ac:dyDescent="0.25">
      <c r="C51" s="9" t="s">
        <v>332</v>
      </c>
      <c r="D51" s="10">
        <v>5</v>
      </c>
      <c r="E51" s="11"/>
      <c r="F51" s="12"/>
      <c r="G51" s="12"/>
      <c r="H51" s="12">
        <v>2</v>
      </c>
      <c r="I51" s="12">
        <v>3</v>
      </c>
      <c r="J51" s="12"/>
      <c r="K51" s="12"/>
      <c r="L51" s="12"/>
      <c r="M51" s="12"/>
      <c r="N51" s="55" t="b">
        <f t="shared" si="3"/>
        <v>1</v>
      </c>
    </row>
    <row r="52" spans="3:14" ht="55.15" customHeight="1" x14ac:dyDescent="0.25">
      <c r="C52" s="9" t="s">
        <v>504</v>
      </c>
      <c r="D52" s="10">
        <v>50</v>
      </c>
      <c r="E52" s="11">
        <v>15</v>
      </c>
      <c r="F52" s="12">
        <v>15</v>
      </c>
      <c r="G52" s="12">
        <v>15</v>
      </c>
      <c r="H52" s="12">
        <v>5</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30</v>
      </c>
      <c r="F56" s="65">
        <f t="shared" si="5"/>
        <v>25</v>
      </c>
      <c r="G56" s="65">
        <f t="shared" si="5"/>
        <v>25</v>
      </c>
      <c r="H56" s="65">
        <f t="shared" si="5"/>
        <v>15</v>
      </c>
      <c r="I56" s="65">
        <f t="shared" si="5"/>
        <v>5</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647" priority="11">
      <formula>LEN(TRIM(D47))=0</formula>
    </cfRule>
    <cfRule type="cellIs" dxfId="646" priority="12" operator="equal">
      <formula>0</formula>
    </cfRule>
  </conditionalFormatting>
  <conditionalFormatting sqref="E50">
    <cfRule type="containsBlanks" dxfId="645" priority="21">
      <formula>LEN(TRIM(E50))=0</formula>
    </cfRule>
    <cfRule type="cellIs" dxfId="644" priority="22" operator="equal">
      <formula>0</formula>
    </cfRule>
  </conditionalFormatting>
  <conditionalFormatting sqref="E47:M51 E52">
    <cfRule type="containsBlanks" dxfId="643" priority="17">
      <formula>LEN(TRIM(E47))=0</formula>
    </cfRule>
    <cfRule type="cellIs" dxfId="642" priority="18" operator="equal">
      <formula>0</formula>
    </cfRule>
  </conditionalFormatting>
  <conditionalFormatting sqref="E53:M54">
    <cfRule type="containsBlanks" dxfId="641" priority="15">
      <formula>LEN(TRIM(E53))=0</formula>
    </cfRule>
    <cfRule type="cellIs" dxfId="640" priority="16" operator="equal">
      <formula>0</formula>
    </cfRule>
  </conditionalFormatting>
  <conditionalFormatting sqref="E55:M55">
    <cfRule type="containsText" dxfId="639" priority="5" operator="containsText" text="false">
      <formula>NOT(ISERROR(SEARCH("false",E55)))</formula>
    </cfRule>
    <cfRule type="containsText" dxfId="638" priority="6" operator="containsText" text="true">
      <formula>NOT(ISERROR(SEARCH("true",E55)))</formula>
    </cfRule>
  </conditionalFormatting>
  <conditionalFormatting sqref="E26:N39">
    <cfRule type="containsBlanks" dxfId="637" priority="3">
      <formula>LEN(TRIM(E26))=0</formula>
    </cfRule>
    <cfRule type="cellIs" dxfId="636" priority="4" operator="equal">
      <formula>0</formula>
    </cfRule>
  </conditionalFormatting>
  <conditionalFormatting sqref="F48:M48">
    <cfRule type="containsBlanks" dxfId="635" priority="23">
      <formula>LEN(TRIM(F48))=0</formula>
    </cfRule>
    <cfRule type="cellIs" dxfId="634" priority="24" operator="equal">
      <formula>0</formula>
    </cfRule>
  </conditionalFormatting>
  <conditionalFormatting sqref="F50:M52">
    <cfRule type="containsBlanks" dxfId="633" priority="19">
      <formula>LEN(TRIM(F50))=0</formula>
    </cfRule>
    <cfRule type="cellIs" dxfId="632" priority="20" operator="equal">
      <formula>0</formula>
    </cfRule>
  </conditionalFormatting>
  <conditionalFormatting sqref="N47:N54">
    <cfRule type="containsText" dxfId="631" priority="7" operator="containsText" text="false">
      <formula>NOT(ISERROR(SEARCH("false",N47)))</formula>
    </cfRule>
    <cfRule type="containsText" dxfId="630" priority="8" operator="containsText" text="true">
      <formula>NOT(ISERROR(SEARCH("true",N47)))</formula>
    </cfRule>
  </conditionalFormatting>
  <conditionalFormatting sqref="N55">
    <cfRule type="containsBlanks" dxfId="629" priority="13">
      <formula>LEN(TRIM(N55))=0</formula>
    </cfRule>
    <cfRule type="cellIs" dxfId="628" priority="14" operator="equal">
      <formula>0</formula>
    </cfRule>
  </conditionalFormatting>
  <conditionalFormatting sqref="O26:O40">
    <cfRule type="containsText" dxfId="627" priority="9" operator="containsText" text="false">
      <formula>NOT(ISERROR(SEARCH("false",O26)))</formula>
    </cfRule>
    <cfRule type="containsText" dxfId="626" priority="10" operator="containsText" text="true">
      <formula>NOT(ISERROR(SEARCH("true",O26)))</formula>
    </cfRule>
  </conditionalFormatting>
  <conditionalFormatting sqref="O42">
    <cfRule type="cellIs" dxfId="625" priority="1" operator="notEqual">
      <formula>100</formula>
    </cfRule>
    <cfRule type="cellIs" dxfId="624" priority="2"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'Name and Course code'!$B$2:$B$76</xm:f>
          </x14:formula1>
          <xm:sqref>I6</xm:sqref>
        </x14:dataValidation>
        <x14:dataValidation type="list" allowBlank="1" showInputMessage="1" showErrorMessage="1" xr:uid="{00000000-0002-0000-0A00-000001000000}">
          <x14:formula1>
            <xm:f>'Name and Course code'!$A$2:$A$76</xm:f>
          </x14:formula1>
          <xm:sqref>K6</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FF00"/>
  </sheetPr>
  <dimension ref="B2:AB57"/>
  <sheetViews>
    <sheetView topLeftCell="A4" zoomScale="50" zoomScaleNormal="50" workbookViewId="0">
      <selection activeCell="J15" sqref="J15"/>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224</v>
      </c>
      <c r="J6" s="43" t="s">
        <v>278</v>
      </c>
      <c r="K6" s="1" t="s">
        <v>99</v>
      </c>
    </row>
    <row r="7" spans="2:26" ht="72.599999999999994" customHeight="1" thickBot="1" x14ac:dyDescent="0.3">
      <c r="B7" s="160"/>
      <c r="C7" s="161"/>
      <c r="D7" s="43" t="s">
        <v>279</v>
      </c>
      <c r="E7" s="1">
        <v>4</v>
      </c>
      <c r="F7" s="43" t="s">
        <v>280</v>
      </c>
      <c r="G7" s="1">
        <v>7</v>
      </c>
      <c r="H7" s="43" t="s">
        <v>281</v>
      </c>
      <c r="I7" s="1" t="s">
        <v>666</v>
      </c>
      <c r="J7" s="43" t="s">
        <v>283</v>
      </c>
      <c r="K7" s="1" t="s">
        <v>434</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9" x14ac:dyDescent="0.25">
      <c r="B11" s="36"/>
      <c r="C11" s="89" t="s">
        <v>415</v>
      </c>
      <c r="D11" s="78" t="s">
        <v>1043</v>
      </c>
      <c r="E11" s="89" t="s">
        <v>533</v>
      </c>
      <c r="F11" s="3"/>
      <c r="G11" s="17"/>
      <c r="H11" s="17">
        <v>0.6</v>
      </c>
      <c r="I11" s="17">
        <v>1</v>
      </c>
      <c r="J11" s="89" t="s">
        <v>767</v>
      </c>
      <c r="K11" s="89" t="s">
        <v>1044</v>
      </c>
      <c r="U11" s="3">
        <f>F11</f>
        <v>0</v>
      </c>
      <c r="V11" s="2" t="str">
        <f>C11</f>
        <v>K2.1</v>
      </c>
      <c r="W11" s="2"/>
      <c r="X11" s="17"/>
      <c r="Y11" s="37"/>
      <c r="Z11" s="37"/>
    </row>
    <row r="12" spans="2:26" ht="168" x14ac:dyDescent="0.25">
      <c r="B12" s="36"/>
      <c r="C12" s="84" t="s">
        <v>507</v>
      </c>
      <c r="D12" s="79" t="s">
        <v>1045</v>
      </c>
      <c r="E12" s="84" t="s">
        <v>10</v>
      </c>
      <c r="F12" s="6"/>
      <c r="H12" s="17">
        <v>0.6</v>
      </c>
      <c r="I12" s="17">
        <v>1</v>
      </c>
      <c r="J12" s="84" t="s">
        <v>770</v>
      </c>
      <c r="K12" s="84" t="s">
        <v>1744</v>
      </c>
      <c r="U12" s="6">
        <f>F12</f>
        <v>0</v>
      </c>
      <c r="V12" s="2" t="str">
        <f>C12</f>
        <v>K2.2</v>
      </c>
      <c r="W12" s="5"/>
      <c r="X12" s="4"/>
      <c r="Y12" s="38"/>
      <c r="Z12" s="38"/>
    </row>
    <row r="13" spans="2:26" ht="63" x14ac:dyDescent="0.25">
      <c r="B13" s="36"/>
      <c r="C13" s="84" t="s">
        <v>395</v>
      </c>
      <c r="D13" s="79" t="s">
        <v>773</v>
      </c>
      <c r="E13" s="84" t="s">
        <v>24</v>
      </c>
      <c r="F13" s="6"/>
      <c r="G13" s="4"/>
      <c r="H13" s="17">
        <v>0.6</v>
      </c>
      <c r="I13" s="17">
        <v>1</v>
      </c>
      <c r="J13" s="84" t="s">
        <v>774</v>
      </c>
      <c r="K13" s="84" t="s">
        <v>880</v>
      </c>
      <c r="U13" s="6">
        <f>F13</f>
        <v>0</v>
      </c>
      <c r="V13" s="2" t="str">
        <f>C13</f>
        <v>S3.1</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S3.1</v>
      </c>
      <c r="I25" s="49">
        <f>C14</f>
        <v>0</v>
      </c>
      <c r="J25" s="49">
        <f>C15</f>
        <v>0</v>
      </c>
      <c r="K25" s="49">
        <f>C16</f>
        <v>0</v>
      </c>
      <c r="L25" s="49">
        <f>C17</f>
        <v>0</v>
      </c>
      <c r="M25" s="49">
        <f>C18</f>
        <v>0</v>
      </c>
      <c r="N25" s="49">
        <f>C19</f>
        <v>0</v>
      </c>
      <c r="O25" s="50" t="s">
        <v>305</v>
      </c>
    </row>
    <row r="26" spans="2:26" ht="45.75" thickBot="1" x14ac:dyDescent="0.3">
      <c r="C26" s="51" t="s">
        <v>306</v>
      </c>
      <c r="D26" s="92" t="s">
        <v>1046</v>
      </c>
      <c r="E26" s="8">
        <v>4</v>
      </c>
      <c r="F26" s="8">
        <v>1</v>
      </c>
      <c r="G26" s="8">
        <v>2</v>
      </c>
      <c r="H26" s="8">
        <v>1</v>
      </c>
      <c r="I26" s="8"/>
      <c r="J26" s="8"/>
      <c r="K26" s="8"/>
      <c r="L26" s="8"/>
      <c r="M26" s="8"/>
      <c r="N26" s="8"/>
      <c r="O26" s="53" t="b">
        <f t="shared" ref="O26:O40" si="0">IF(SUM(F26:N26)=E26,TRUE,"false")</f>
        <v>1</v>
      </c>
    </row>
    <row r="27" spans="2:26" ht="30.4" customHeight="1" thickBot="1" x14ac:dyDescent="0.3">
      <c r="C27" s="51" t="s">
        <v>307</v>
      </c>
      <c r="D27" s="92" t="s">
        <v>1047</v>
      </c>
      <c r="E27" s="8">
        <v>4</v>
      </c>
      <c r="F27" s="8">
        <v>1</v>
      </c>
      <c r="G27" s="8">
        <v>2</v>
      </c>
      <c r="H27" s="8">
        <v>1</v>
      </c>
      <c r="I27" s="8"/>
      <c r="J27" s="8"/>
      <c r="K27" s="8"/>
      <c r="L27" s="8"/>
      <c r="M27" s="8"/>
      <c r="N27" s="8"/>
      <c r="O27" s="53" t="b">
        <f t="shared" si="0"/>
        <v>1</v>
      </c>
    </row>
    <row r="28" spans="2:26" ht="30.4" customHeight="1" thickBot="1" x14ac:dyDescent="0.3">
      <c r="C28" s="51" t="s">
        <v>308</v>
      </c>
      <c r="D28" s="92" t="s">
        <v>1048</v>
      </c>
      <c r="E28" s="8">
        <v>4</v>
      </c>
      <c r="F28" s="8">
        <v>1</v>
      </c>
      <c r="G28" s="8">
        <v>2</v>
      </c>
      <c r="H28" s="8">
        <v>1</v>
      </c>
      <c r="I28" s="8"/>
      <c r="J28" s="8"/>
      <c r="K28" s="8"/>
      <c r="L28" s="8"/>
      <c r="M28" s="8"/>
      <c r="N28" s="8"/>
      <c r="O28" s="53" t="b">
        <f t="shared" si="0"/>
        <v>1</v>
      </c>
    </row>
    <row r="29" spans="2:26" ht="30.4" customHeight="1" thickBot="1" x14ac:dyDescent="0.3">
      <c r="C29" s="51" t="s">
        <v>309</v>
      </c>
      <c r="D29" s="92" t="s">
        <v>1049</v>
      </c>
      <c r="E29" s="8">
        <v>4</v>
      </c>
      <c r="F29" s="8">
        <v>1</v>
      </c>
      <c r="G29" s="8">
        <v>2</v>
      </c>
      <c r="H29" s="8">
        <v>1</v>
      </c>
      <c r="I29" s="8"/>
      <c r="J29" s="8"/>
      <c r="K29" s="8"/>
      <c r="L29" s="8"/>
      <c r="M29" s="8"/>
      <c r="N29" s="8"/>
      <c r="O29" s="53" t="b">
        <f t="shared" si="0"/>
        <v>1</v>
      </c>
    </row>
    <row r="30" spans="2:26" ht="30.4" customHeight="1" thickBot="1" x14ac:dyDescent="0.3">
      <c r="C30" s="51" t="s">
        <v>310</v>
      </c>
      <c r="D30" s="92" t="s">
        <v>1050</v>
      </c>
      <c r="E30" s="8">
        <v>2</v>
      </c>
      <c r="F30" s="8">
        <v>1</v>
      </c>
      <c r="G30" s="8">
        <v>1</v>
      </c>
      <c r="H30" s="8"/>
      <c r="I30" s="8"/>
      <c r="J30" s="8"/>
      <c r="K30" s="8"/>
      <c r="L30" s="8"/>
      <c r="M30" s="8"/>
      <c r="N30" s="8"/>
      <c r="O30" s="53" t="b">
        <f t="shared" si="0"/>
        <v>1</v>
      </c>
    </row>
    <row r="31" spans="2:26" ht="30.4" customHeight="1" thickBot="1" x14ac:dyDescent="0.3">
      <c r="C31" s="51" t="s">
        <v>311</v>
      </c>
      <c r="D31" s="92" t="s">
        <v>1051</v>
      </c>
      <c r="E31" s="8">
        <v>2</v>
      </c>
      <c r="F31" s="8">
        <v>1</v>
      </c>
      <c r="G31" s="8">
        <v>1</v>
      </c>
      <c r="H31" s="8"/>
      <c r="I31" s="8"/>
      <c r="J31" s="8"/>
      <c r="K31" s="8"/>
      <c r="L31" s="8"/>
      <c r="M31" s="8"/>
      <c r="N31" s="8"/>
      <c r="O31" s="53" t="b">
        <f t="shared" si="0"/>
        <v>1</v>
      </c>
    </row>
    <row r="32" spans="2:26" ht="30.4" customHeight="1" thickBot="1" x14ac:dyDescent="0.3">
      <c r="C32" s="51" t="s">
        <v>312</v>
      </c>
      <c r="D32" s="92" t="s">
        <v>1052</v>
      </c>
      <c r="E32" s="8">
        <v>4</v>
      </c>
      <c r="F32" s="8">
        <v>1</v>
      </c>
      <c r="G32" s="8">
        <v>2</v>
      </c>
      <c r="H32" s="8">
        <v>1</v>
      </c>
      <c r="I32" s="8"/>
      <c r="J32" s="8"/>
      <c r="K32" s="8"/>
      <c r="L32" s="8"/>
      <c r="M32" s="8"/>
      <c r="N32" s="8"/>
      <c r="O32" s="53" t="b">
        <f t="shared" si="0"/>
        <v>1</v>
      </c>
    </row>
    <row r="33" spans="2:15" ht="30.4" customHeight="1" thickBot="1" x14ac:dyDescent="0.3">
      <c r="C33" s="51" t="s">
        <v>313</v>
      </c>
      <c r="D33" s="92" t="s">
        <v>1053</v>
      </c>
      <c r="E33" s="8">
        <v>2</v>
      </c>
      <c r="F33" s="8">
        <v>1</v>
      </c>
      <c r="G33" s="8">
        <v>1</v>
      </c>
      <c r="H33" s="8"/>
      <c r="I33" s="8"/>
      <c r="J33" s="8"/>
      <c r="K33" s="8"/>
      <c r="L33" s="8"/>
      <c r="M33" s="8"/>
      <c r="N33" s="8"/>
      <c r="O33" s="53" t="b">
        <f t="shared" si="0"/>
        <v>1</v>
      </c>
    </row>
    <row r="34" spans="2:15" ht="30.4" customHeight="1" thickBot="1" x14ac:dyDescent="0.3">
      <c r="C34" s="51" t="s">
        <v>314</v>
      </c>
      <c r="D34" s="92" t="s">
        <v>1054</v>
      </c>
      <c r="E34" s="8">
        <v>2</v>
      </c>
      <c r="F34" s="8">
        <v>1</v>
      </c>
      <c r="G34" s="8">
        <v>1</v>
      </c>
      <c r="H34" s="8"/>
      <c r="I34" s="8"/>
      <c r="J34" s="8"/>
      <c r="K34" s="8"/>
      <c r="L34" s="8"/>
      <c r="M34" s="8"/>
      <c r="N34" s="8"/>
      <c r="O34" s="53" t="b">
        <f t="shared" si="0"/>
        <v>1</v>
      </c>
    </row>
    <row r="35" spans="2:15" ht="30.4" customHeight="1" thickBot="1" x14ac:dyDescent="0.3">
      <c r="C35" s="51" t="s">
        <v>315</v>
      </c>
      <c r="D35" s="92" t="s">
        <v>1055</v>
      </c>
      <c r="E35" s="8">
        <v>2</v>
      </c>
      <c r="F35" s="8">
        <v>1</v>
      </c>
      <c r="G35" s="8">
        <v>1</v>
      </c>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10</v>
      </c>
      <c r="G40" s="52">
        <f t="shared" si="1"/>
        <v>15</v>
      </c>
      <c r="H40" s="52">
        <f t="shared" si="1"/>
        <v>5</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0.33</v>
      </c>
      <c r="G41" s="54">
        <f>ROUND(G40/E40,2)</f>
        <v>0.5</v>
      </c>
      <c r="H41" s="54">
        <f>ROUND(H40/E40,2)</f>
        <v>0.17</v>
      </c>
      <c r="I41" s="54">
        <f>ROUND(I40/E40,2)</f>
        <v>0</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30</v>
      </c>
      <c r="G42" s="7">
        <v>50</v>
      </c>
      <c r="H42" s="7">
        <v>20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S3.1</v>
      </c>
      <c r="H46" s="59">
        <f>C14</f>
        <v>0</v>
      </c>
      <c r="I46" s="59">
        <f>C15</f>
        <v>0</v>
      </c>
      <c r="J46" s="59">
        <f>C16</f>
        <v>0</v>
      </c>
      <c r="K46" s="59">
        <f>C17</f>
        <v>0</v>
      </c>
      <c r="L46" s="59">
        <f>C18</f>
        <v>0</v>
      </c>
      <c r="M46" s="59">
        <f>C19</f>
        <v>0</v>
      </c>
      <c r="N46" s="60" t="s">
        <v>327</v>
      </c>
    </row>
    <row r="47" spans="2:15" ht="55.15" customHeight="1" x14ac:dyDescent="0.25">
      <c r="C47" s="9" t="s">
        <v>458</v>
      </c>
      <c r="D47" s="10">
        <v>15</v>
      </c>
      <c r="E47" s="8">
        <v>10</v>
      </c>
      <c r="F47" s="8">
        <v>5</v>
      </c>
      <c r="G47" s="8"/>
      <c r="H47" s="8"/>
      <c r="I47" s="8"/>
      <c r="J47" s="8"/>
      <c r="K47" s="8"/>
      <c r="L47" s="8"/>
      <c r="M47" s="8"/>
      <c r="N47" s="55" t="b">
        <f t="shared" ref="N47:N54" si="2">IF(SUM(E47:M47)=D47,TRUE,"false")</f>
        <v>1</v>
      </c>
    </row>
    <row r="48" spans="2:15" ht="55.15" customHeight="1" x14ac:dyDescent="0.25">
      <c r="C48" s="9" t="s">
        <v>328</v>
      </c>
      <c r="D48" s="10">
        <v>25</v>
      </c>
      <c r="E48" s="11">
        <v>10</v>
      </c>
      <c r="F48" s="12">
        <v>15</v>
      </c>
      <c r="G48" s="12"/>
      <c r="H48" s="12"/>
      <c r="I48" s="12"/>
      <c r="J48" s="12"/>
      <c r="K48" s="12"/>
      <c r="L48" s="12"/>
      <c r="M48" s="12"/>
      <c r="N48" s="55" t="b">
        <f t="shared" si="2"/>
        <v>1</v>
      </c>
    </row>
    <row r="49" spans="3:14" ht="55.15" customHeight="1" x14ac:dyDescent="0.25">
      <c r="C49" s="9" t="s">
        <v>331</v>
      </c>
      <c r="D49" s="10">
        <v>10</v>
      </c>
      <c r="E49" s="11"/>
      <c r="F49" s="12">
        <v>5</v>
      </c>
      <c r="G49" s="12">
        <v>5</v>
      </c>
      <c r="H49" s="12"/>
      <c r="I49" s="12"/>
      <c r="J49" s="12"/>
      <c r="K49" s="12"/>
      <c r="L49" s="12"/>
      <c r="M49" s="12"/>
      <c r="N49" s="55" t="b">
        <f t="shared" si="2"/>
        <v>1</v>
      </c>
    </row>
    <row r="50" spans="3:14" ht="55.15" customHeight="1" x14ac:dyDescent="0.25">
      <c r="C50" s="9" t="s">
        <v>460</v>
      </c>
      <c r="D50" s="10">
        <v>50</v>
      </c>
      <c r="E50" s="11">
        <v>10</v>
      </c>
      <c r="F50" s="12">
        <v>25</v>
      </c>
      <c r="G50" s="12">
        <v>15</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30</v>
      </c>
      <c r="F56" s="65">
        <f t="shared" si="4"/>
        <v>50</v>
      </c>
      <c r="G56" s="65">
        <f t="shared" si="4"/>
        <v>20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JDOXQtqZTM3Zv9djB9wzG2GUo8KoK3e2/LYjSamrPgn7NdPrGn1eSNvQwkHUg73f6P2cIjVFOaeBT9lbt34eEQ==" saltValue="b9zMnIsFj4CPfPbP868f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623" priority="11">
      <formula>LEN(TRIM(D47))=0</formula>
    </cfRule>
    <cfRule type="cellIs" dxfId="622" priority="12" operator="equal">
      <formula>0</formula>
    </cfRule>
  </conditionalFormatting>
  <conditionalFormatting sqref="E50">
    <cfRule type="containsBlanks" dxfId="621" priority="21">
      <formula>LEN(TRIM(E50))=0</formula>
    </cfRule>
    <cfRule type="cellIs" dxfId="620" priority="22" operator="equal">
      <formula>0</formula>
    </cfRule>
  </conditionalFormatting>
  <conditionalFormatting sqref="E47:M51 E52">
    <cfRule type="containsBlanks" dxfId="619" priority="17">
      <formula>LEN(TRIM(E47))=0</formula>
    </cfRule>
    <cfRule type="cellIs" dxfId="618" priority="18" operator="equal">
      <formula>0</formula>
    </cfRule>
  </conditionalFormatting>
  <conditionalFormatting sqref="E53:M54">
    <cfRule type="containsBlanks" dxfId="617" priority="15">
      <formula>LEN(TRIM(E53))=0</formula>
    </cfRule>
    <cfRule type="cellIs" dxfId="616" priority="16" operator="equal">
      <formula>0</formula>
    </cfRule>
  </conditionalFormatting>
  <conditionalFormatting sqref="E55:M55">
    <cfRule type="containsText" dxfId="615" priority="5" operator="containsText" text="false">
      <formula>NOT(ISERROR(SEARCH("false",E55)))</formula>
    </cfRule>
    <cfRule type="containsText" dxfId="614" priority="6" operator="containsText" text="true">
      <formula>NOT(ISERROR(SEARCH("true",E55)))</formula>
    </cfRule>
  </conditionalFormatting>
  <conditionalFormatting sqref="E26:N39">
    <cfRule type="containsBlanks" dxfId="613" priority="3">
      <formula>LEN(TRIM(E26))=0</formula>
    </cfRule>
    <cfRule type="cellIs" dxfId="612" priority="4" operator="equal">
      <formula>0</formula>
    </cfRule>
  </conditionalFormatting>
  <conditionalFormatting sqref="F48:M48">
    <cfRule type="containsBlanks" dxfId="611" priority="23">
      <formula>LEN(TRIM(F48))=0</formula>
    </cfRule>
    <cfRule type="cellIs" dxfId="610" priority="24" operator="equal">
      <formula>0</formula>
    </cfRule>
  </conditionalFormatting>
  <conditionalFormatting sqref="F50:M52">
    <cfRule type="containsBlanks" dxfId="609" priority="19">
      <formula>LEN(TRIM(F50))=0</formula>
    </cfRule>
    <cfRule type="cellIs" dxfId="608" priority="20" operator="equal">
      <formula>0</formula>
    </cfRule>
  </conditionalFormatting>
  <conditionalFormatting sqref="N47:N54">
    <cfRule type="containsText" dxfId="607" priority="7" operator="containsText" text="false">
      <formula>NOT(ISERROR(SEARCH("false",N47)))</formula>
    </cfRule>
    <cfRule type="containsText" dxfId="606" priority="8" operator="containsText" text="true">
      <formula>NOT(ISERROR(SEARCH("true",N47)))</formula>
    </cfRule>
  </conditionalFormatting>
  <conditionalFormatting sqref="N55">
    <cfRule type="containsBlanks" dxfId="605" priority="13">
      <formula>LEN(TRIM(N55))=0</formula>
    </cfRule>
    <cfRule type="cellIs" dxfId="604" priority="14" operator="equal">
      <formula>0</formula>
    </cfRule>
  </conditionalFormatting>
  <conditionalFormatting sqref="O26:O40">
    <cfRule type="containsText" dxfId="603" priority="9" operator="containsText" text="false">
      <formula>NOT(ISERROR(SEARCH("false",O26)))</formula>
    </cfRule>
    <cfRule type="containsText" dxfId="602" priority="10" operator="containsText" text="true">
      <formula>NOT(ISERROR(SEARCH("true",O26)))</formula>
    </cfRule>
  </conditionalFormatting>
  <conditionalFormatting sqref="O42">
    <cfRule type="cellIs" dxfId="601" priority="1" operator="notEqual">
      <formula>100</formula>
    </cfRule>
    <cfRule type="cellIs" dxfId="600" priority="2" operator="equal">
      <formula>100</formula>
    </cfRule>
  </conditionalFormatting>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FF00"/>
  </sheetPr>
  <dimension ref="B2:AB57"/>
  <sheetViews>
    <sheetView zoomScale="50" zoomScaleNormal="50" workbookViewId="0">
      <selection activeCell="D12" sqref="D12"/>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35.14062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69.75" customHeight="1" x14ac:dyDescent="0.25">
      <c r="B6" s="158" t="s">
        <v>272</v>
      </c>
      <c r="C6" s="159"/>
      <c r="D6" s="43" t="s">
        <v>273</v>
      </c>
      <c r="E6" s="1" t="s">
        <v>274</v>
      </c>
      <c r="F6" s="43" t="s">
        <v>275</v>
      </c>
      <c r="G6" s="1" t="s">
        <v>481</v>
      </c>
      <c r="H6" s="43" t="s">
        <v>277</v>
      </c>
      <c r="I6" s="1" t="s">
        <v>228</v>
      </c>
      <c r="J6" s="43" t="s">
        <v>278</v>
      </c>
      <c r="K6" s="1" t="s">
        <v>101</v>
      </c>
    </row>
    <row r="7" spans="2:26" ht="72.599999999999994" customHeight="1" thickBot="1" x14ac:dyDescent="0.3">
      <c r="B7" s="160"/>
      <c r="C7" s="161"/>
      <c r="D7" s="43" t="s">
        <v>279</v>
      </c>
      <c r="E7" s="1">
        <v>4</v>
      </c>
      <c r="F7" s="43" t="s">
        <v>280</v>
      </c>
      <c r="G7" s="1">
        <v>8</v>
      </c>
      <c r="H7" s="43" t="s">
        <v>281</v>
      </c>
      <c r="I7" s="1">
        <v>2</v>
      </c>
      <c r="J7" s="43" t="s">
        <v>283</v>
      </c>
      <c r="K7" s="1" t="s">
        <v>832</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129" t="s">
        <v>297</v>
      </c>
      <c r="D11" s="130" t="s">
        <v>1718</v>
      </c>
      <c r="E11" s="129" t="s">
        <v>7</v>
      </c>
      <c r="F11" s="131"/>
      <c r="G11" s="132"/>
      <c r="H11" s="132">
        <v>0.6</v>
      </c>
      <c r="I11" s="132">
        <v>1</v>
      </c>
      <c r="J11" s="133" t="s">
        <v>790</v>
      </c>
      <c r="K11" s="133" t="s">
        <v>611</v>
      </c>
      <c r="U11" s="3">
        <f>F11</f>
        <v>0</v>
      </c>
      <c r="V11" s="2" t="str">
        <f t="shared" ref="V11:V19" si="0">C11</f>
        <v>K1.1</v>
      </c>
      <c r="W11" s="2"/>
      <c r="X11" s="17"/>
      <c r="Y11" s="37"/>
      <c r="Z11" s="37"/>
    </row>
    <row r="12" spans="2:26" ht="172.5" customHeight="1" x14ac:dyDescent="0.25">
      <c r="B12" s="36"/>
      <c r="C12" s="134" t="s">
        <v>298</v>
      </c>
      <c r="D12" s="135" t="s">
        <v>1070</v>
      </c>
      <c r="E12" s="134" t="s">
        <v>7</v>
      </c>
      <c r="F12" s="136"/>
      <c r="G12" s="137"/>
      <c r="H12" s="132">
        <v>0.6</v>
      </c>
      <c r="I12" s="132">
        <v>1</v>
      </c>
      <c r="J12" s="133" t="s">
        <v>790</v>
      </c>
      <c r="K12" s="133" t="s">
        <v>611</v>
      </c>
      <c r="U12" s="6">
        <f>F12</f>
        <v>0</v>
      </c>
      <c r="V12" s="2" t="str">
        <f t="shared" si="0"/>
        <v>K1.2</v>
      </c>
      <c r="W12" s="5"/>
      <c r="X12" s="4"/>
      <c r="Y12" s="38"/>
      <c r="Z12" s="38"/>
    </row>
    <row r="13" spans="2:26" ht="58.9" customHeight="1" x14ac:dyDescent="0.25">
      <c r="B13" s="36"/>
      <c r="C13" s="134" t="s">
        <v>395</v>
      </c>
      <c r="D13" s="135" t="s">
        <v>1071</v>
      </c>
      <c r="E13" s="134" t="s">
        <v>24</v>
      </c>
      <c r="F13" s="136"/>
      <c r="G13" s="137"/>
      <c r="H13" s="132">
        <v>0.6</v>
      </c>
      <c r="I13" s="132">
        <v>1</v>
      </c>
      <c r="J13" s="138" t="s">
        <v>899</v>
      </c>
      <c r="K13" s="138" t="s">
        <v>1598</v>
      </c>
      <c r="U13" s="6">
        <f>F13</f>
        <v>0</v>
      </c>
      <c r="V13" s="2" t="str">
        <f t="shared" si="0"/>
        <v>S3.1</v>
      </c>
      <c r="W13" s="5"/>
      <c r="X13" s="4"/>
      <c r="Y13" s="38"/>
      <c r="Z13" s="38"/>
    </row>
    <row r="14" spans="2:26" ht="58.9" customHeight="1" x14ac:dyDescent="0.25">
      <c r="B14" s="36"/>
      <c r="C14" s="134" t="s">
        <v>441</v>
      </c>
      <c r="D14" s="135" t="s">
        <v>1072</v>
      </c>
      <c r="E14" s="134" t="s">
        <v>39</v>
      </c>
      <c r="F14" s="136"/>
      <c r="G14" s="137"/>
      <c r="H14" s="132">
        <v>0.6</v>
      </c>
      <c r="I14" s="132">
        <v>1</v>
      </c>
      <c r="J14" s="138" t="s">
        <v>1599</v>
      </c>
      <c r="K14" s="138" t="s">
        <v>1073</v>
      </c>
      <c r="U14" s="6">
        <f>F14</f>
        <v>0</v>
      </c>
      <c r="V14" s="2" t="str">
        <f t="shared" si="0"/>
        <v>S6.1</v>
      </c>
      <c r="W14" s="5"/>
      <c r="X14" s="4"/>
      <c r="Y14" s="38"/>
      <c r="Z14" s="38"/>
    </row>
    <row r="15" spans="2:26" ht="58.9" customHeight="1" x14ac:dyDescent="0.25">
      <c r="B15" s="36"/>
      <c r="C15" s="134" t="s">
        <v>300</v>
      </c>
      <c r="D15" s="135" t="s">
        <v>1074</v>
      </c>
      <c r="E15" s="134" t="s">
        <v>44</v>
      </c>
      <c r="F15" s="136"/>
      <c r="G15" s="137"/>
      <c r="H15" s="132">
        <v>0.6</v>
      </c>
      <c r="I15" s="132">
        <v>1</v>
      </c>
      <c r="J15" s="138" t="s">
        <v>1600</v>
      </c>
      <c r="K15" s="138" t="s">
        <v>818</v>
      </c>
      <c r="U15" s="6">
        <f>F15</f>
        <v>0</v>
      </c>
      <c r="V15" s="2" t="str">
        <f t="shared" si="0"/>
        <v>V1.1</v>
      </c>
      <c r="W15" s="5"/>
      <c r="X15" s="4"/>
      <c r="Y15" s="38"/>
      <c r="Z15" s="38"/>
    </row>
    <row r="16" spans="2:26" ht="58.9" customHeight="1" x14ac:dyDescent="0.25">
      <c r="B16" s="36"/>
      <c r="C16" s="134" t="s">
        <v>567</v>
      </c>
      <c r="D16" s="135" t="s">
        <v>1075</v>
      </c>
      <c r="E16" s="134" t="s">
        <v>48</v>
      </c>
      <c r="F16" s="136"/>
      <c r="G16" s="137"/>
      <c r="H16" s="137">
        <v>0.6</v>
      </c>
      <c r="I16" s="137">
        <v>1</v>
      </c>
      <c r="J16" s="138" t="s">
        <v>1076</v>
      </c>
      <c r="K16" s="138" t="s">
        <v>818</v>
      </c>
      <c r="U16" s="6"/>
      <c r="V16" s="2" t="str">
        <f t="shared" si="0"/>
        <v>V2.1</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S3.1</v>
      </c>
      <c r="I25" s="49" t="str">
        <f>C14</f>
        <v>S6.1</v>
      </c>
      <c r="J25" s="49" t="str">
        <f>C15</f>
        <v>V1.1</v>
      </c>
      <c r="K25" s="49" t="str">
        <f>C16</f>
        <v>V2.1</v>
      </c>
      <c r="L25" s="49">
        <f>C17</f>
        <v>0</v>
      </c>
      <c r="M25" s="49">
        <f>C18</f>
        <v>0</v>
      </c>
      <c r="N25" s="49">
        <f>C19</f>
        <v>0</v>
      </c>
      <c r="O25" s="50" t="s">
        <v>305</v>
      </c>
    </row>
    <row r="26" spans="2:26" ht="30.4" customHeight="1" thickBot="1" x14ac:dyDescent="0.3">
      <c r="C26" s="51" t="s">
        <v>306</v>
      </c>
      <c r="D26" s="83" t="s">
        <v>1077</v>
      </c>
      <c r="E26" s="8">
        <v>4</v>
      </c>
      <c r="F26" s="8">
        <v>2</v>
      </c>
      <c r="G26" s="8">
        <v>2</v>
      </c>
      <c r="H26" s="8"/>
      <c r="I26" s="8"/>
      <c r="J26" s="8"/>
      <c r="K26" s="8"/>
      <c r="L26" s="8"/>
      <c r="M26" s="8"/>
      <c r="N26" s="8"/>
      <c r="O26" s="53" t="b">
        <f t="shared" ref="O26:O40" si="1">IF(SUM(F26:N26)=E26,TRUE,"false")</f>
        <v>1</v>
      </c>
    </row>
    <row r="27" spans="2:26" ht="30.4" customHeight="1" thickBot="1" x14ac:dyDescent="0.3">
      <c r="C27" s="51" t="s">
        <v>307</v>
      </c>
      <c r="D27" s="83" t="s">
        <v>1078</v>
      </c>
      <c r="E27" s="8">
        <v>6</v>
      </c>
      <c r="F27" s="8"/>
      <c r="G27" s="8">
        <v>2</v>
      </c>
      <c r="H27" s="8">
        <v>4</v>
      </c>
      <c r="I27" s="8"/>
      <c r="J27" s="8"/>
      <c r="K27" s="8"/>
      <c r="L27" s="8"/>
      <c r="M27" s="8"/>
      <c r="N27" s="8"/>
      <c r="O27" s="53" t="b">
        <f t="shared" si="1"/>
        <v>1</v>
      </c>
    </row>
    <row r="28" spans="2:26" ht="30.4" customHeight="1" thickBot="1" x14ac:dyDescent="0.3">
      <c r="C28" s="51" t="s">
        <v>308</v>
      </c>
      <c r="D28" s="83" t="s">
        <v>1079</v>
      </c>
      <c r="E28" s="8">
        <v>8</v>
      </c>
      <c r="F28" s="8">
        <v>2</v>
      </c>
      <c r="G28" s="8">
        <v>2</v>
      </c>
      <c r="H28" s="8">
        <v>4</v>
      </c>
      <c r="I28" s="8"/>
      <c r="J28" s="8"/>
      <c r="K28" s="8"/>
      <c r="L28" s="8"/>
      <c r="M28" s="8"/>
      <c r="N28" s="8"/>
      <c r="O28" s="53" t="b">
        <f t="shared" si="1"/>
        <v>1</v>
      </c>
    </row>
    <row r="29" spans="2:26" ht="30.4" customHeight="1" thickBot="1" x14ac:dyDescent="0.3">
      <c r="C29" s="51" t="s">
        <v>309</v>
      </c>
      <c r="D29" s="83" t="s">
        <v>1080</v>
      </c>
      <c r="E29" s="8">
        <v>4</v>
      </c>
      <c r="F29" s="8">
        <v>2</v>
      </c>
      <c r="G29" s="8"/>
      <c r="H29" s="8"/>
      <c r="I29" s="8">
        <v>2</v>
      </c>
      <c r="J29" s="8"/>
      <c r="K29" s="8"/>
      <c r="L29" s="8"/>
      <c r="M29" s="8"/>
      <c r="N29" s="8"/>
      <c r="O29" s="53" t="b">
        <f t="shared" si="1"/>
        <v>1</v>
      </c>
    </row>
    <row r="30" spans="2:26" ht="30.4" customHeight="1" thickBot="1" x14ac:dyDescent="0.3">
      <c r="C30" s="51" t="s">
        <v>310</v>
      </c>
      <c r="D30" s="83" t="s">
        <v>1081</v>
      </c>
      <c r="E30" s="8">
        <v>4</v>
      </c>
      <c r="F30" s="8">
        <v>2</v>
      </c>
      <c r="G30" s="8"/>
      <c r="H30" s="8"/>
      <c r="I30" s="8">
        <v>2</v>
      </c>
      <c r="J30" s="8"/>
      <c r="K30" s="8"/>
      <c r="L30" s="8"/>
      <c r="M30" s="8"/>
      <c r="N30" s="8"/>
      <c r="O30" s="53" t="b">
        <f t="shared" si="1"/>
        <v>1</v>
      </c>
    </row>
    <row r="31" spans="2:26" ht="30.4" customHeight="1" thickBot="1" x14ac:dyDescent="0.3">
      <c r="C31" s="51" t="s">
        <v>311</v>
      </c>
      <c r="D31" s="83" t="s">
        <v>1082</v>
      </c>
      <c r="E31" s="8">
        <v>12</v>
      </c>
      <c r="F31" s="8"/>
      <c r="G31" s="8"/>
      <c r="H31" s="8">
        <v>4</v>
      </c>
      <c r="I31" s="8">
        <v>4</v>
      </c>
      <c r="J31" s="8"/>
      <c r="K31" s="8">
        <v>4</v>
      </c>
      <c r="L31" s="8"/>
      <c r="M31" s="8"/>
      <c r="N31" s="8"/>
      <c r="O31" s="53" t="b">
        <f t="shared" si="1"/>
        <v>1</v>
      </c>
    </row>
    <row r="32" spans="2:26" ht="30.4" customHeight="1" thickBot="1" x14ac:dyDescent="0.3">
      <c r="C32" s="51" t="s">
        <v>312</v>
      </c>
      <c r="D32" s="83" t="s">
        <v>1083</v>
      </c>
      <c r="E32" s="8">
        <v>4</v>
      </c>
      <c r="F32" s="8"/>
      <c r="G32" s="8"/>
      <c r="H32" s="8"/>
      <c r="I32" s="8">
        <v>4</v>
      </c>
      <c r="J32" s="8"/>
      <c r="K32" s="8"/>
      <c r="L32" s="8"/>
      <c r="M32" s="8"/>
      <c r="N32" s="8"/>
      <c r="O32" s="53" t="b">
        <f t="shared" si="1"/>
        <v>1</v>
      </c>
    </row>
    <row r="33" spans="2:15" ht="30.4" customHeight="1" thickBot="1" x14ac:dyDescent="0.3">
      <c r="C33" s="51" t="s">
        <v>313</v>
      </c>
      <c r="D33" s="83" t="s">
        <v>1084</v>
      </c>
      <c r="E33" s="8">
        <v>6</v>
      </c>
      <c r="F33" s="8">
        <v>2</v>
      </c>
      <c r="G33" s="8">
        <v>2</v>
      </c>
      <c r="H33" s="8">
        <v>1</v>
      </c>
      <c r="I33" s="8">
        <v>1</v>
      </c>
      <c r="J33" s="8"/>
      <c r="K33" s="8"/>
      <c r="L33" s="8"/>
      <c r="M33" s="8"/>
      <c r="N33" s="8"/>
      <c r="O33" s="53" t="b">
        <f t="shared" si="1"/>
        <v>1</v>
      </c>
    </row>
    <row r="34" spans="2:15" ht="30.4" customHeight="1" thickBot="1" x14ac:dyDescent="0.3">
      <c r="C34" s="51" t="s">
        <v>314</v>
      </c>
      <c r="D34" s="83" t="s">
        <v>1085</v>
      </c>
      <c r="E34" s="8">
        <v>4</v>
      </c>
      <c r="F34" s="8">
        <v>1</v>
      </c>
      <c r="G34" s="8">
        <v>2</v>
      </c>
      <c r="H34" s="8">
        <v>1</v>
      </c>
      <c r="I34" s="8"/>
      <c r="J34" s="8"/>
      <c r="K34" s="8"/>
      <c r="L34" s="8"/>
      <c r="M34" s="8"/>
      <c r="N34" s="8"/>
      <c r="O34" s="53" t="b">
        <f t="shared" si="1"/>
        <v>1</v>
      </c>
    </row>
    <row r="35" spans="2:15" ht="30.4" customHeight="1" thickBot="1" x14ac:dyDescent="0.3">
      <c r="C35" s="51" t="s">
        <v>315</v>
      </c>
      <c r="D35" s="83" t="s">
        <v>1084</v>
      </c>
      <c r="E35" s="8">
        <v>4</v>
      </c>
      <c r="F35" s="8">
        <v>1</v>
      </c>
      <c r="G35" s="8">
        <v>2</v>
      </c>
      <c r="H35" s="8">
        <v>1</v>
      </c>
      <c r="I35" s="8"/>
      <c r="J35" s="8"/>
      <c r="K35" s="8"/>
      <c r="L35" s="8"/>
      <c r="M35" s="8"/>
      <c r="N35" s="8"/>
      <c r="O35" s="53" t="b">
        <f t="shared" si="1"/>
        <v>1</v>
      </c>
    </row>
    <row r="36" spans="2:15" ht="30.4" customHeight="1" thickBot="1" x14ac:dyDescent="0.3">
      <c r="C36" s="51" t="s">
        <v>316</v>
      </c>
      <c r="D36" s="83" t="s">
        <v>1085</v>
      </c>
      <c r="E36" s="8">
        <v>4</v>
      </c>
      <c r="F36" s="8"/>
      <c r="G36" s="8"/>
      <c r="H36" s="8"/>
      <c r="I36" s="8">
        <v>1</v>
      </c>
      <c r="J36" s="8">
        <v>3</v>
      </c>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60</v>
      </c>
      <c r="F40" s="52">
        <f t="shared" si="2"/>
        <v>12</v>
      </c>
      <c r="G40" s="52">
        <f t="shared" si="2"/>
        <v>12</v>
      </c>
      <c r="H40" s="52">
        <f t="shared" si="2"/>
        <v>15</v>
      </c>
      <c r="I40" s="52">
        <f t="shared" si="2"/>
        <v>14</v>
      </c>
      <c r="J40" s="52">
        <f t="shared" si="2"/>
        <v>3</v>
      </c>
      <c r="K40" s="52">
        <f t="shared" si="2"/>
        <v>4</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v>
      </c>
      <c r="G41" s="54">
        <f>ROUND(G40/E40,2)</f>
        <v>0.2</v>
      </c>
      <c r="H41" s="54">
        <f>ROUND(H40/E40,2)</f>
        <v>0.25</v>
      </c>
      <c r="I41" s="54">
        <f>ROUND(I40/E40,2)</f>
        <v>0.23</v>
      </c>
      <c r="J41" s="54">
        <f>ROUND(J40/E40,2)</f>
        <v>0.05</v>
      </c>
      <c r="K41" s="54">
        <f>ROUND(K40/E40,2)</f>
        <v>7.0000000000000007E-2</v>
      </c>
      <c r="L41" s="54">
        <f>ROUND(L40/E40,2)</f>
        <v>0</v>
      </c>
      <c r="M41" s="54">
        <f>ROUND(M40/E40,2)</f>
        <v>0</v>
      </c>
      <c r="N41" s="54">
        <f>ROUND(N40/E40,2)</f>
        <v>0</v>
      </c>
      <c r="O41" s="54">
        <f>SUM(F41:N41)</f>
        <v>1</v>
      </c>
    </row>
    <row r="42" spans="2:15" ht="55.9" customHeight="1" x14ac:dyDescent="0.25">
      <c r="C42" s="151" t="s">
        <v>322</v>
      </c>
      <c r="D42" s="151"/>
      <c r="E42" s="151"/>
      <c r="F42" s="7">
        <v>20</v>
      </c>
      <c r="G42" s="7">
        <v>20</v>
      </c>
      <c r="H42" s="7">
        <v>25</v>
      </c>
      <c r="I42" s="7">
        <v>25</v>
      </c>
      <c r="J42" s="7">
        <v>5</v>
      </c>
      <c r="K42" s="7">
        <v>5</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S3.1</v>
      </c>
      <c r="H46" s="59" t="str">
        <f>C14</f>
        <v>S6.1</v>
      </c>
      <c r="I46" s="59" t="str">
        <f>C15</f>
        <v>V1.1</v>
      </c>
      <c r="J46" s="59" t="str">
        <f>C16</f>
        <v>V2.1</v>
      </c>
      <c r="K46" s="59">
        <f>C17</f>
        <v>0</v>
      </c>
      <c r="L46" s="59">
        <f>C18</f>
        <v>0</v>
      </c>
      <c r="M46" s="59">
        <f>C19</f>
        <v>0</v>
      </c>
      <c r="N46" s="60" t="s">
        <v>327</v>
      </c>
    </row>
    <row r="47" spans="2:15" ht="55.15" customHeight="1" x14ac:dyDescent="0.25">
      <c r="C47" s="9" t="s">
        <v>328</v>
      </c>
      <c r="D47" s="10">
        <v>25</v>
      </c>
      <c r="E47" s="8">
        <v>10</v>
      </c>
      <c r="F47" s="8">
        <v>5</v>
      </c>
      <c r="G47" s="8">
        <v>5</v>
      </c>
      <c r="H47" s="8">
        <v>5</v>
      </c>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c r="E49" s="11"/>
      <c r="F49" s="12"/>
      <c r="G49" s="12"/>
      <c r="H49" s="12"/>
      <c r="I49" s="12"/>
      <c r="J49" s="12"/>
      <c r="K49" s="12"/>
      <c r="L49" s="12"/>
      <c r="M49" s="12"/>
      <c r="N49" s="55" t="b">
        <f t="shared" si="3"/>
        <v>1</v>
      </c>
    </row>
    <row r="50" spans="3:14" ht="55.15" customHeight="1" x14ac:dyDescent="0.25">
      <c r="C50" s="9" t="s">
        <v>809</v>
      </c>
      <c r="D50" s="10"/>
      <c r="E50" s="11"/>
      <c r="F50" s="12"/>
      <c r="G50" s="12"/>
      <c r="H50" s="12"/>
      <c r="I50" s="12"/>
      <c r="J50" s="12"/>
      <c r="K50" s="12"/>
      <c r="L50" s="12"/>
      <c r="M50" s="12"/>
      <c r="N50" s="55" t="b">
        <f t="shared" si="3"/>
        <v>1</v>
      </c>
    </row>
    <row r="51" spans="3:14" ht="55.15" customHeight="1" x14ac:dyDescent="0.25">
      <c r="C51" s="9" t="s">
        <v>1086</v>
      </c>
      <c r="D51" s="10">
        <v>20</v>
      </c>
      <c r="E51" s="11"/>
      <c r="F51" s="12"/>
      <c r="G51" s="12"/>
      <c r="H51" s="12">
        <v>10</v>
      </c>
      <c r="I51" s="12">
        <v>5</v>
      </c>
      <c r="J51" s="12">
        <v>5</v>
      </c>
      <c r="K51" s="12"/>
      <c r="L51" s="12"/>
      <c r="M51" s="12"/>
      <c r="N51" s="55" t="b">
        <f t="shared" si="3"/>
        <v>1</v>
      </c>
    </row>
    <row r="52" spans="3:14" ht="55.15" customHeight="1" x14ac:dyDescent="0.25">
      <c r="C52" s="9" t="s">
        <v>504</v>
      </c>
      <c r="D52" s="10">
        <v>50</v>
      </c>
      <c r="E52" s="11">
        <v>5</v>
      </c>
      <c r="F52" s="12">
        <v>15</v>
      </c>
      <c r="G52" s="12">
        <v>20</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20</v>
      </c>
      <c r="F56" s="65">
        <f t="shared" si="5"/>
        <v>20</v>
      </c>
      <c r="G56" s="65">
        <f t="shared" si="5"/>
        <v>25</v>
      </c>
      <c r="H56" s="65">
        <f t="shared" si="5"/>
        <v>25</v>
      </c>
      <c r="I56" s="65">
        <f t="shared" si="5"/>
        <v>5</v>
      </c>
      <c r="J56" s="65">
        <f t="shared" si="5"/>
        <v>5</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599" priority="11">
      <formula>LEN(TRIM(D47))=0</formula>
    </cfRule>
    <cfRule type="cellIs" dxfId="598" priority="12" operator="equal">
      <formula>0</formula>
    </cfRule>
  </conditionalFormatting>
  <conditionalFormatting sqref="E50">
    <cfRule type="containsBlanks" dxfId="597" priority="21">
      <formula>LEN(TRIM(E50))=0</formula>
    </cfRule>
    <cfRule type="cellIs" dxfId="596" priority="22" operator="equal">
      <formula>0</formula>
    </cfRule>
  </conditionalFormatting>
  <conditionalFormatting sqref="E47:M51 E52">
    <cfRule type="containsBlanks" dxfId="595" priority="17">
      <formula>LEN(TRIM(E47))=0</formula>
    </cfRule>
    <cfRule type="cellIs" dxfId="594" priority="18" operator="equal">
      <formula>0</formula>
    </cfRule>
  </conditionalFormatting>
  <conditionalFormatting sqref="E53:M54">
    <cfRule type="containsBlanks" dxfId="593" priority="15">
      <formula>LEN(TRIM(E53))=0</formula>
    </cfRule>
    <cfRule type="cellIs" dxfId="592" priority="16" operator="equal">
      <formula>0</formula>
    </cfRule>
  </conditionalFormatting>
  <conditionalFormatting sqref="E55:M55">
    <cfRule type="containsText" dxfId="591" priority="5" operator="containsText" text="false">
      <formula>NOT(ISERROR(SEARCH("false",E55)))</formula>
    </cfRule>
    <cfRule type="containsText" dxfId="590" priority="6" operator="containsText" text="true">
      <formula>NOT(ISERROR(SEARCH("true",E55)))</formula>
    </cfRule>
  </conditionalFormatting>
  <conditionalFormatting sqref="E26:N39">
    <cfRule type="containsBlanks" dxfId="589" priority="3">
      <formula>LEN(TRIM(E26))=0</formula>
    </cfRule>
    <cfRule type="cellIs" dxfId="588" priority="4" operator="equal">
      <formula>0</formula>
    </cfRule>
  </conditionalFormatting>
  <conditionalFormatting sqref="F48:M48">
    <cfRule type="containsBlanks" dxfId="587" priority="23">
      <formula>LEN(TRIM(F48))=0</formula>
    </cfRule>
    <cfRule type="cellIs" dxfId="586" priority="24" operator="equal">
      <formula>0</formula>
    </cfRule>
  </conditionalFormatting>
  <conditionalFormatting sqref="F50:M52">
    <cfRule type="containsBlanks" dxfId="585" priority="19">
      <formula>LEN(TRIM(F50))=0</formula>
    </cfRule>
    <cfRule type="cellIs" dxfId="584" priority="20" operator="equal">
      <formula>0</formula>
    </cfRule>
  </conditionalFormatting>
  <conditionalFormatting sqref="N47:N54">
    <cfRule type="containsText" dxfId="583" priority="7" operator="containsText" text="false">
      <formula>NOT(ISERROR(SEARCH("false",N47)))</formula>
    </cfRule>
    <cfRule type="containsText" dxfId="582" priority="8" operator="containsText" text="true">
      <formula>NOT(ISERROR(SEARCH("true",N47)))</formula>
    </cfRule>
  </conditionalFormatting>
  <conditionalFormatting sqref="N55">
    <cfRule type="containsBlanks" dxfId="581" priority="13">
      <formula>LEN(TRIM(N55))=0</formula>
    </cfRule>
    <cfRule type="cellIs" dxfId="580" priority="14" operator="equal">
      <formula>0</formula>
    </cfRule>
  </conditionalFormatting>
  <conditionalFormatting sqref="O26:O40">
    <cfRule type="containsText" dxfId="579" priority="9" operator="containsText" text="false">
      <formula>NOT(ISERROR(SEARCH("false",O26)))</formula>
    </cfRule>
    <cfRule type="containsText" dxfId="578" priority="10" operator="containsText" text="true">
      <formula>NOT(ISERROR(SEARCH("true",O26)))</formula>
    </cfRule>
  </conditionalFormatting>
  <conditionalFormatting sqref="O42">
    <cfRule type="cellIs" dxfId="577" priority="1" operator="notEqual">
      <formula>100</formula>
    </cfRule>
    <cfRule type="cellIs" dxfId="576" priority="2" operator="equal">
      <formula>100</formula>
    </cfRule>
  </conditionalFormatting>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B2:AB57"/>
  <sheetViews>
    <sheetView zoomScale="50" zoomScaleNormal="50" workbookViewId="0">
      <selection activeCell="L12" sqref="L12"/>
    </sheetView>
  </sheetViews>
  <sheetFormatPr defaultColWidth="9.140625" defaultRowHeight="15" x14ac:dyDescent="0.25"/>
  <cols>
    <col min="1" max="1" width="9.140625" style="19"/>
    <col min="2" max="2" width="24.85546875" style="19" customWidth="1"/>
    <col min="3" max="3" width="28.140625"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230</v>
      </c>
      <c r="J6" s="43" t="s">
        <v>278</v>
      </c>
      <c r="K6" s="1" t="s">
        <v>102</v>
      </c>
    </row>
    <row r="7" spans="2:26" ht="72.599999999999994" customHeight="1" thickBot="1" x14ac:dyDescent="0.3">
      <c r="B7" s="160"/>
      <c r="C7" s="161"/>
      <c r="D7" s="43" t="s">
        <v>279</v>
      </c>
      <c r="E7" s="1">
        <v>4</v>
      </c>
      <c r="F7" s="43" t="s">
        <v>280</v>
      </c>
      <c r="G7" s="1">
        <v>8</v>
      </c>
      <c r="H7" s="43" t="s">
        <v>281</v>
      </c>
      <c r="I7" s="1">
        <v>2</v>
      </c>
      <c r="J7" s="43" t="s">
        <v>283</v>
      </c>
      <c r="K7" s="1" t="s">
        <v>581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4.5" customHeight="1" x14ac:dyDescent="0.25">
      <c r="B11" s="36"/>
      <c r="C11" s="2" t="s">
        <v>415</v>
      </c>
      <c r="D11" s="78" t="s">
        <v>1087</v>
      </c>
      <c r="E11" s="2" t="s">
        <v>10</v>
      </c>
      <c r="F11" s="3"/>
      <c r="G11" s="17"/>
      <c r="H11" s="17">
        <v>0.6</v>
      </c>
      <c r="I11" s="17">
        <v>1</v>
      </c>
      <c r="J11" s="80" t="s">
        <v>1088</v>
      </c>
      <c r="K11" s="80" t="s">
        <v>1689</v>
      </c>
      <c r="U11" s="3">
        <f>F11</f>
        <v>0</v>
      </c>
      <c r="V11" s="2" t="str">
        <f>C11</f>
        <v>K2.1</v>
      </c>
      <c r="W11" s="2"/>
      <c r="X11" s="17"/>
      <c r="Y11" s="37"/>
      <c r="Z11" s="37"/>
    </row>
    <row r="12" spans="2:26" ht="192" customHeight="1" x14ac:dyDescent="0.25">
      <c r="B12" s="36"/>
      <c r="C12" s="5" t="s">
        <v>507</v>
      </c>
      <c r="D12" s="79" t="s">
        <v>1090</v>
      </c>
      <c r="E12" s="5" t="s">
        <v>10</v>
      </c>
      <c r="F12" s="6"/>
      <c r="G12" s="4"/>
      <c r="H12" s="17">
        <v>0.6</v>
      </c>
      <c r="I12" s="17">
        <v>1</v>
      </c>
      <c r="J12" s="80" t="s">
        <v>1088</v>
      </c>
      <c r="K12" s="80" t="s">
        <v>1690</v>
      </c>
      <c r="U12" s="6">
        <f>F12</f>
        <v>0</v>
      </c>
      <c r="V12" s="2" t="str">
        <f>C12</f>
        <v>K2.2</v>
      </c>
      <c r="W12" s="5"/>
      <c r="X12" s="4"/>
      <c r="Y12" s="38"/>
      <c r="Z12" s="38"/>
    </row>
    <row r="13" spans="2:26" ht="77.25" customHeight="1" x14ac:dyDescent="0.25">
      <c r="B13" s="36"/>
      <c r="C13" s="5" t="s">
        <v>395</v>
      </c>
      <c r="D13" s="79" t="s">
        <v>1092</v>
      </c>
      <c r="E13" s="5" t="s">
        <v>24</v>
      </c>
      <c r="F13" s="6"/>
      <c r="G13" s="4"/>
      <c r="H13" s="17">
        <v>0.6</v>
      </c>
      <c r="I13" s="17">
        <v>1</v>
      </c>
      <c r="J13" s="80" t="s">
        <v>1093</v>
      </c>
      <c r="K13" s="81" t="s">
        <v>1691</v>
      </c>
      <c r="U13" s="6">
        <f>F13</f>
        <v>0</v>
      </c>
      <c r="V13" s="2" t="str">
        <f>C13</f>
        <v>S3.1</v>
      </c>
      <c r="W13" s="5"/>
      <c r="X13" s="4"/>
      <c r="Y13" s="38"/>
      <c r="Z13" s="38"/>
    </row>
    <row r="14" spans="2:26" ht="86.25" customHeight="1" x14ac:dyDescent="0.25">
      <c r="B14" s="36"/>
      <c r="C14" s="5" t="s">
        <v>586</v>
      </c>
      <c r="D14" s="79" t="s">
        <v>1094</v>
      </c>
      <c r="E14" s="5" t="s">
        <v>27</v>
      </c>
      <c r="F14" s="6"/>
      <c r="G14" s="4"/>
      <c r="H14" s="17">
        <v>0.6</v>
      </c>
      <c r="I14" s="17">
        <v>1</v>
      </c>
      <c r="J14" s="80" t="s">
        <v>1088</v>
      </c>
      <c r="K14" s="81" t="s">
        <v>1684</v>
      </c>
      <c r="U14" s="6">
        <f>F14</f>
        <v>0</v>
      </c>
      <c r="V14" s="2" t="str">
        <f>C14</f>
        <v>S5.1</v>
      </c>
      <c r="W14" s="5"/>
      <c r="X14" s="4"/>
      <c r="Y14" s="38"/>
      <c r="Z14" s="38"/>
    </row>
    <row r="15" spans="2:26" ht="58.9" customHeight="1" x14ac:dyDescent="0.25">
      <c r="B15" s="36"/>
      <c r="C15" s="5"/>
      <c r="D15" s="79"/>
      <c r="E15" s="5"/>
      <c r="F15" s="6"/>
      <c r="G15" s="4"/>
      <c r="H15" s="17"/>
      <c r="I15" s="17"/>
      <c r="J15" s="81"/>
      <c r="K15" s="81"/>
      <c r="U15" s="6">
        <f>F15</f>
        <v>0</v>
      </c>
      <c r="V15" s="2">
        <f>C15</f>
        <v>0</v>
      </c>
      <c r="W15" s="5"/>
      <c r="X15" s="4"/>
      <c r="Y15" s="38"/>
      <c r="Z15" s="38"/>
    </row>
    <row r="16" spans="2:26" ht="58.9" customHeight="1" x14ac:dyDescent="0.25">
      <c r="B16" s="36"/>
      <c r="C16" s="5"/>
      <c r="D16" s="24"/>
      <c r="E16" s="5"/>
      <c r="F16" s="6"/>
      <c r="G16" s="4"/>
      <c r="H16" s="4"/>
      <c r="I16" s="4"/>
      <c r="J16" s="82"/>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K2.2</v>
      </c>
      <c r="H25" s="49" t="str">
        <f>C13</f>
        <v>S3.1</v>
      </c>
      <c r="I25" s="49" t="str">
        <f>C14</f>
        <v>S5.1</v>
      </c>
      <c r="J25" s="49">
        <f>C15</f>
        <v>0</v>
      </c>
      <c r="K25" s="49">
        <f>C16</f>
        <v>0</v>
      </c>
      <c r="L25" s="49">
        <f>C17</f>
        <v>0</v>
      </c>
      <c r="M25" s="49">
        <f>C18</f>
        <v>0</v>
      </c>
      <c r="N25" s="49">
        <f>C19</f>
        <v>0</v>
      </c>
      <c r="O25" s="50" t="s">
        <v>305</v>
      </c>
    </row>
    <row r="26" spans="2:26" ht="39.75" customHeight="1" thickBot="1" x14ac:dyDescent="0.3">
      <c r="C26" s="51" t="s">
        <v>306</v>
      </c>
      <c r="D26" s="83" t="s">
        <v>1095</v>
      </c>
      <c r="E26" s="8">
        <v>2</v>
      </c>
      <c r="F26" s="8">
        <v>1</v>
      </c>
      <c r="G26" s="8">
        <v>1</v>
      </c>
      <c r="H26" s="8">
        <v>0</v>
      </c>
      <c r="I26" s="8">
        <v>0</v>
      </c>
      <c r="J26" s="8"/>
      <c r="K26" s="8"/>
      <c r="L26" s="8"/>
      <c r="M26" s="8"/>
      <c r="N26" s="8"/>
      <c r="O26" s="53" t="b">
        <f t="shared" ref="O26:O40" si="0">IF(SUM(F26:N26)=E26,TRUE,"false")</f>
        <v>1</v>
      </c>
    </row>
    <row r="27" spans="2:26" ht="30.4" customHeight="1" thickBot="1" x14ac:dyDescent="0.3">
      <c r="C27" s="51" t="s">
        <v>307</v>
      </c>
      <c r="D27" s="83" t="s">
        <v>1096</v>
      </c>
      <c r="E27" s="8">
        <v>2</v>
      </c>
      <c r="F27" s="8">
        <v>1</v>
      </c>
      <c r="G27" s="8">
        <v>1</v>
      </c>
      <c r="H27" s="8">
        <v>0</v>
      </c>
      <c r="I27" s="8">
        <v>0</v>
      </c>
      <c r="J27" s="8"/>
      <c r="K27" s="8"/>
      <c r="L27" s="8"/>
      <c r="M27" s="8"/>
      <c r="N27" s="8"/>
      <c r="O27" s="53" t="b">
        <f t="shared" si="0"/>
        <v>1</v>
      </c>
    </row>
    <row r="28" spans="2:26" ht="38.25" customHeight="1" thickBot="1" x14ac:dyDescent="0.3">
      <c r="C28" s="51" t="s">
        <v>308</v>
      </c>
      <c r="D28" s="83" t="s">
        <v>1097</v>
      </c>
      <c r="E28" s="8">
        <v>2</v>
      </c>
      <c r="F28" s="8">
        <v>1</v>
      </c>
      <c r="G28" s="8">
        <v>1</v>
      </c>
      <c r="H28" s="8">
        <v>0</v>
      </c>
      <c r="I28" s="8">
        <v>0</v>
      </c>
      <c r="J28" s="8"/>
      <c r="K28" s="8"/>
      <c r="L28" s="8"/>
      <c r="M28" s="8"/>
      <c r="N28" s="8"/>
      <c r="O28" s="53" t="b">
        <f t="shared" si="0"/>
        <v>1</v>
      </c>
    </row>
    <row r="29" spans="2:26" ht="38.25" customHeight="1" thickBot="1" x14ac:dyDescent="0.3">
      <c r="C29" s="51" t="s">
        <v>309</v>
      </c>
      <c r="D29" s="83" t="s">
        <v>1098</v>
      </c>
      <c r="E29" s="8">
        <v>2</v>
      </c>
      <c r="F29" s="8">
        <v>1</v>
      </c>
      <c r="G29" s="8">
        <v>0</v>
      </c>
      <c r="H29" s="8">
        <v>1</v>
      </c>
      <c r="I29" s="8">
        <v>0</v>
      </c>
      <c r="J29" s="8"/>
      <c r="K29" s="8"/>
      <c r="L29" s="8"/>
      <c r="M29" s="8"/>
      <c r="N29" s="8"/>
      <c r="O29" s="53" t="b">
        <f t="shared" si="0"/>
        <v>1</v>
      </c>
    </row>
    <row r="30" spans="2:26" ht="51" customHeight="1" thickBot="1" x14ac:dyDescent="0.3">
      <c r="C30" s="51" t="s">
        <v>310</v>
      </c>
      <c r="D30" s="83" t="s">
        <v>1099</v>
      </c>
      <c r="E30" s="8">
        <v>4</v>
      </c>
      <c r="F30" s="8">
        <v>1</v>
      </c>
      <c r="G30" s="8">
        <v>1</v>
      </c>
      <c r="H30" s="8">
        <v>1</v>
      </c>
      <c r="I30" s="8">
        <v>1</v>
      </c>
      <c r="J30" s="8"/>
      <c r="K30" s="8"/>
      <c r="L30" s="8"/>
      <c r="M30" s="8"/>
      <c r="N30" s="8"/>
      <c r="O30" s="53" t="b">
        <f t="shared" si="0"/>
        <v>1</v>
      </c>
    </row>
    <row r="31" spans="2:26" ht="30.4" customHeight="1" thickBot="1" x14ac:dyDescent="0.3">
      <c r="C31" s="51" t="s">
        <v>311</v>
      </c>
      <c r="D31" s="83" t="s">
        <v>1100</v>
      </c>
      <c r="E31" s="8">
        <v>2</v>
      </c>
      <c r="F31" s="8">
        <v>1</v>
      </c>
      <c r="G31" s="8">
        <v>1</v>
      </c>
      <c r="H31" s="8">
        <v>0</v>
      </c>
      <c r="I31" s="8">
        <v>0</v>
      </c>
      <c r="J31" s="8"/>
      <c r="K31" s="8"/>
      <c r="L31" s="8"/>
      <c r="M31" s="8"/>
      <c r="N31" s="8"/>
      <c r="O31" s="53" t="b">
        <f t="shared" si="0"/>
        <v>1</v>
      </c>
    </row>
    <row r="32" spans="2:26" ht="30.4" customHeight="1" thickBot="1" x14ac:dyDescent="0.3">
      <c r="C32" s="51" t="s">
        <v>312</v>
      </c>
      <c r="D32" s="83" t="s">
        <v>1101</v>
      </c>
      <c r="E32" s="8">
        <v>2</v>
      </c>
      <c r="F32" s="8">
        <v>1</v>
      </c>
      <c r="G32" s="8">
        <v>1</v>
      </c>
      <c r="H32" s="8">
        <v>0</v>
      </c>
      <c r="I32" s="8">
        <v>0</v>
      </c>
      <c r="J32" s="8"/>
      <c r="K32" s="8"/>
      <c r="L32" s="8"/>
      <c r="M32" s="8"/>
      <c r="N32" s="8"/>
      <c r="O32" s="53" t="b">
        <f t="shared" si="0"/>
        <v>1</v>
      </c>
    </row>
    <row r="33" spans="2:15" ht="36" customHeight="1" thickBot="1" x14ac:dyDescent="0.3">
      <c r="C33" s="51" t="s">
        <v>313</v>
      </c>
      <c r="D33" s="83" t="s">
        <v>1102</v>
      </c>
      <c r="E33" s="8">
        <v>4</v>
      </c>
      <c r="F33" s="8">
        <v>1</v>
      </c>
      <c r="G33" s="8">
        <v>1</v>
      </c>
      <c r="H33" s="8">
        <v>1</v>
      </c>
      <c r="I33" s="8">
        <v>1</v>
      </c>
      <c r="J33" s="8"/>
      <c r="K33" s="8"/>
      <c r="L33" s="8"/>
      <c r="M33" s="8"/>
      <c r="N33" s="8"/>
      <c r="O33" s="53" t="b">
        <f t="shared" si="0"/>
        <v>1</v>
      </c>
    </row>
    <row r="34" spans="2:15" ht="32.25" customHeight="1" thickBot="1" x14ac:dyDescent="0.3">
      <c r="C34" s="51" t="s">
        <v>314</v>
      </c>
      <c r="D34" s="83" t="s">
        <v>1103</v>
      </c>
      <c r="E34" s="8">
        <v>2</v>
      </c>
      <c r="F34" s="8">
        <v>0</v>
      </c>
      <c r="G34" s="8">
        <v>1</v>
      </c>
      <c r="H34" s="8">
        <v>0</v>
      </c>
      <c r="I34" s="8">
        <v>1</v>
      </c>
      <c r="J34" s="8"/>
      <c r="K34" s="8"/>
      <c r="L34" s="8"/>
      <c r="M34" s="8"/>
      <c r="N34" s="8"/>
      <c r="O34" s="53" t="b">
        <f t="shared" si="0"/>
        <v>1</v>
      </c>
    </row>
    <row r="35" spans="2:15" ht="33.75" customHeight="1" thickBot="1" x14ac:dyDescent="0.3">
      <c r="C35" s="51" t="s">
        <v>315</v>
      </c>
      <c r="D35" s="83" t="s">
        <v>1104</v>
      </c>
      <c r="E35" s="8">
        <v>4</v>
      </c>
      <c r="F35" s="8">
        <v>1</v>
      </c>
      <c r="G35" s="8">
        <v>1</v>
      </c>
      <c r="H35" s="8">
        <v>1</v>
      </c>
      <c r="I35" s="8">
        <v>1</v>
      </c>
      <c r="J35" s="8"/>
      <c r="K35" s="8"/>
      <c r="L35" s="8"/>
      <c r="M35" s="8"/>
      <c r="N35" s="8"/>
      <c r="O35" s="53" t="b">
        <f t="shared" si="0"/>
        <v>1</v>
      </c>
    </row>
    <row r="36" spans="2:15" ht="36" customHeight="1" thickBot="1" x14ac:dyDescent="0.3">
      <c r="C36" s="51" t="s">
        <v>316</v>
      </c>
      <c r="D36" s="83" t="s">
        <v>1105</v>
      </c>
      <c r="E36" s="8">
        <v>2</v>
      </c>
      <c r="F36" s="8">
        <v>1</v>
      </c>
      <c r="G36" s="8">
        <v>1</v>
      </c>
      <c r="H36" s="8">
        <v>0</v>
      </c>
      <c r="I36" s="8">
        <v>0</v>
      </c>
      <c r="J36" s="8"/>
      <c r="K36" s="8"/>
      <c r="L36" s="8"/>
      <c r="M36" s="8"/>
      <c r="N36" s="8"/>
      <c r="O36" s="53" t="b">
        <f t="shared" si="0"/>
        <v>1</v>
      </c>
    </row>
    <row r="37" spans="2:15" ht="30.4" customHeight="1" thickBot="1" x14ac:dyDescent="0.3">
      <c r="C37" s="51" t="s">
        <v>317</v>
      </c>
      <c r="D37" s="83" t="s">
        <v>1106</v>
      </c>
      <c r="E37" s="8">
        <v>2</v>
      </c>
      <c r="F37" s="8">
        <v>0</v>
      </c>
      <c r="G37" s="8">
        <v>1</v>
      </c>
      <c r="H37" s="8">
        <v>0</v>
      </c>
      <c r="I37" s="8">
        <v>1</v>
      </c>
      <c r="J37" s="8"/>
      <c r="K37" s="8"/>
      <c r="L37" s="8"/>
      <c r="M37" s="8"/>
      <c r="N37" s="8"/>
      <c r="O37" s="53" t="b">
        <f t="shared" si="0"/>
        <v>1</v>
      </c>
    </row>
    <row r="38" spans="2:15" ht="30.4" customHeight="1" thickBot="1" x14ac:dyDescent="0.3">
      <c r="C38" s="51" t="s">
        <v>318</v>
      </c>
      <c r="D38" s="83"/>
      <c r="E38" s="8"/>
      <c r="F38" s="8"/>
      <c r="G38" s="8"/>
      <c r="H38" s="8"/>
      <c r="I38" s="8"/>
      <c r="J38" s="8"/>
      <c r="K38" s="8"/>
      <c r="L38" s="8"/>
      <c r="M38" s="8"/>
      <c r="N38" s="8"/>
      <c r="O38" s="53" t="b">
        <f t="shared" si="0"/>
        <v>1</v>
      </c>
    </row>
    <row r="39" spans="2:15" ht="30.4" customHeight="1" x14ac:dyDescent="0.25">
      <c r="C39" s="51" t="s">
        <v>319</v>
      </c>
      <c r="D39" s="88"/>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10</v>
      </c>
      <c r="G40" s="52">
        <f t="shared" si="1"/>
        <v>11</v>
      </c>
      <c r="H40" s="52">
        <f t="shared" si="1"/>
        <v>4</v>
      </c>
      <c r="I40" s="52">
        <f t="shared" si="1"/>
        <v>5</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0.33</v>
      </c>
      <c r="G41" s="54">
        <f>ROUND(G40/E40,2)</f>
        <v>0.37</v>
      </c>
      <c r="H41" s="54">
        <f>ROUND(H40/E40,2)</f>
        <v>0.13</v>
      </c>
      <c r="I41" s="54">
        <f>ROUND(I40/E40,2)</f>
        <v>0.17</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35</v>
      </c>
      <c r="G42" s="7">
        <v>35</v>
      </c>
      <c r="H42" s="7">
        <v>15</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K2.2</v>
      </c>
      <c r="G46" s="59" t="str">
        <f>C13</f>
        <v>S3.1</v>
      </c>
      <c r="H46" s="59" t="str">
        <f>C14</f>
        <v>S5.1</v>
      </c>
      <c r="I46" s="59">
        <f>C15</f>
        <v>0</v>
      </c>
      <c r="J46" s="59">
        <f>C16</f>
        <v>0</v>
      </c>
      <c r="K46" s="59">
        <f>C17</f>
        <v>0</v>
      </c>
      <c r="L46" s="59">
        <f>C18</f>
        <v>0</v>
      </c>
      <c r="M46" s="59">
        <f>C19</f>
        <v>0</v>
      </c>
      <c r="N46" s="60" t="s">
        <v>327</v>
      </c>
    </row>
    <row r="47" spans="2:15" ht="55.15" customHeight="1" x14ac:dyDescent="0.25">
      <c r="C47" s="9" t="s">
        <v>328</v>
      </c>
      <c r="D47" s="10">
        <v>25</v>
      </c>
      <c r="E47" s="8">
        <v>10</v>
      </c>
      <c r="F47" s="8">
        <v>10</v>
      </c>
      <c r="G47" s="8">
        <v>5</v>
      </c>
      <c r="H47" s="8"/>
      <c r="I47" s="8"/>
      <c r="J47" s="8"/>
      <c r="K47" s="8"/>
      <c r="L47" s="8"/>
      <c r="M47" s="8"/>
      <c r="N47" s="55" t="b">
        <f t="shared" ref="N47:N54" si="2">IF(SUM(E47:M47)=D47,TRUE,"false")</f>
        <v>1</v>
      </c>
    </row>
    <row r="48" spans="2:15" ht="55.15" customHeight="1" x14ac:dyDescent="0.25">
      <c r="C48" s="9" t="s">
        <v>329</v>
      </c>
      <c r="D48" s="10">
        <v>10</v>
      </c>
      <c r="E48" s="11">
        <v>10</v>
      </c>
      <c r="F48" s="12"/>
      <c r="G48" s="12"/>
      <c r="H48" s="12"/>
      <c r="I48" s="12"/>
      <c r="J48" s="12"/>
      <c r="K48" s="12"/>
      <c r="L48" s="12"/>
      <c r="M48" s="12"/>
      <c r="N48" s="55" t="b">
        <f t="shared" si="2"/>
        <v>1</v>
      </c>
    </row>
    <row r="49" spans="3:14" ht="55.15" customHeight="1" x14ac:dyDescent="0.25">
      <c r="C49" s="9" t="s">
        <v>330</v>
      </c>
      <c r="D49" s="10">
        <v>5</v>
      </c>
      <c r="E49" s="11"/>
      <c r="F49" s="12">
        <v>5</v>
      </c>
      <c r="G49" s="12"/>
      <c r="H49" s="12"/>
      <c r="I49" s="12"/>
      <c r="J49" s="12"/>
      <c r="K49" s="12"/>
      <c r="L49" s="12"/>
      <c r="M49" s="12"/>
      <c r="N49" s="55" t="b">
        <f t="shared" si="2"/>
        <v>1</v>
      </c>
    </row>
    <row r="50" spans="3:14" ht="55.15" customHeight="1" x14ac:dyDescent="0.25">
      <c r="C50" s="9" t="s">
        <v>331</v>
      </c>
      <c r="D50" s="10">
        <v>10</v>
      </c>
      <c r="E50" s="11"/>
      <c r="F50" s="12"/>
      <c r="G50" s="12"/>
      <c r="H50" s="12">
        <v>10</v>
      </c>
      <c r="I50" s="12"/>
      <c r="J50" s="12"/>
      <c r="K50" s="12"/>
      <c r="L50" s="12"/>
      <c r="M50" s="12"/>
      <c r="N50" s="55" t="b">
        <f t="shared" si="2"/>
        <v>1</v>
      </c>
    </row>
    <row r="51" spans="3:14" ht="55.15" customHeight="1" x14ac:dyDescent="0.25">
      <c r="C51" s="9" t="s">
        <v>332</v>
      </c>
      <c r="D51" s="10"/>
      <c r="E51" s="11"/>
      <c r="F51" s="12"/>
      <c r="G51" s="12"/>
      <c r="H51" s="12"/>
      <c r="I51" s="12"/>
      <c r="J51" s="12"/>
      <c r="K51" s="12"/>
      <c r="L51" s="12"/>
      <c r="M51" s="12"/>
      <c r="N51" s="55" t="b">
        <f t="shared" si="2"/>
        <v>1</v>
      </c>
    </row>
    <row r="52" spans="3:14" ht="55.15" customHeight="1" x14ac:dyDescent="0.25">
      <c r="C52" s="9" t="s">
        <v>605</v>
      </c>
      <c r="D52" s="10"/>
      <c r="E52" s="11"/>
      <c r="F52" s="12"/>
      <c r="G52" s="12"/>
      <c r="H52" s="12"/>
      <c r="I52" s="12"/>
      <c r="J52" s="12"/>
      <c r="K52" s="12"/>
      <c r="L52" s="12"/>
      <c r="M52" s="12"/>
      <c r="N52" s="55" t="b">
        <f t="shared" si="2"/>
        <v>1</v>
      </c>
    </row>
    <row r="53" spans="3:14" ht="55.15" customHeight="1" x14ac:dyDescent="0.25">
      <c r="C53" s="9" t="s">
        <v>504</v>
      </c>
      <c r="D53" s="10">
        <v>50</v>
      </c>
      <c r="E53" s="11">
        <v>15</v>
      </c>
      <c r="F53" s="12">
        <v>20</v>
      </c>
      <c r="G53" s="12">
        <v>10</v>
      </c>
      <c r="H53" s="12">
        <v>5</v>
      </c>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35</v>
      </c>
      <c r="F56" s="65">
        <f t="shared" si="4"/>
        <v>35</v>
      </c>
      <c r="G56" s="65">
        <f t="shared" si="4"/>
        <v>15</v>
      </c>
      <c r="H56" s="65">
        <f t="shared" si="4"/>
        <v>15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575" priority="11">
      <formula>LEN(TRIM(D47))=0</formula>
    </cfRule>
    <cfRule type="cellIs" dxfId="574" priority="12" operator="equal">
      <formula>0</formula>
    </cfRule>
  </conditionalFormatting>
  <conditionalFormatting sqref="E50">
    <cfRule type="containsBlanks" dxfId="573" priority="21">
      <formula>LEN(TRIM(E50))=0</formula>
    </cfRule>
    <cfRule type="cellIs" dxfId="572" priority="22" operator="equal">
      <formula>0</formula>
    </cfRule>
  </conditionalFormatting>
  <conditionalFormatting sqref="E47:M51 E52">
    <cfRule type="containsBlanks" dxfId="571" priority="17">
      <formula>LEN(TRIM(E47))=0</formula>
    </cfRule>
    <cfRule type="cellIs" dxfId="570" priority="18" operator="equal">
      <formula>0</formula>
    </cfRule>
  </conditionalFormatting>
  <conditionalFormatting sqref="E53:M54">
    <cfRule type="containsBlanks" dxfId="569" priority="15">
      <formula>LEN(TRIM(E53))=0</formula>
    </cfRule>
    <cfRule type="cellIs" dxfId="568" priority="16" operator="equal">
      <formula>0</formula>
    </cfRule>
  </conditionalFormatting>
  <conditionalFormatting sqref="E55:M55">
    <cfRule type="containsText" dxfId="567" priority="5" operator="containsText" text="false">
      <formula>NOT(ISERROR(SEARCH("false",E55)))</formula>
    </cfRule>
    <cfRule type="containsText" dxfId="566" priority="6" operator="containsText" text="true">
      <formula>NOT(ISERROR(SEARCH("true",E55)))</formula>
    </cfRule>
  </conditionalFormatting>
  <conditionalFormatting sqref="E26:N39">
    <cfRule type="containsBlanks" dxfId="565" priority="3">
      <formula>LEN(TRIM(E26))=0</formula>
    </cfRule>
    <cfRule type="cellIs" dxfId="564" priority="4" operator="equal">
      <formula>0</formula>
    </cfRule>
  </conditionalFormatting>
  <conditionalFormatting sqref="F48:M48">
    <cfRule type="containsBlanks" dxfId="563" priority="23">
      <formula>LEN(TRIM(F48))=0</formula>
    </cfRule>
    <cfRule type="cellIs" dxfId="562" priority="24" operator="equal">
      <formula>0</formula>
    </cfRule>
  </conditionalFormatting>
  <conditionalFormatting sqref="F50:M52">
    <cfRule type="containsBlanks" dxfId="561" priority="19">
      <formula>LEN(TRIM(F50))=0</formula>
    </cfRule>
    <cfRule type="cellIs" dxfId="560" priority="20" operator="equal">
      <formula>0</formula>
    </cfRule>
  </conditionalFormatting>
  <conditionalFormatting sqref="N47:N54">
    <cfRule type="containsText" dxfId="559" priority="7" operator="containsText" text="false">
      <formula>NOT(ISERROR(SEARCH("false",N47)))</formula>
    </cfRule>
    <cfRule type="containsText" dxfId="558" priority="8" operator="containsText" text="true">
      <formula>NOT(ISERROR(SEARCH("true",N47)))</formula>
    </cfRule>
  </conditionalFormatting>
  <conditionalFormatting sqref="N55">
    <cfRule type="containsBlanks" dxfId="557" priority="13">
      <formula>LEN(TRIM(N55))=0</formula>
    </cfRule>
    <cfRule type="cellIs" dxfId="556" priority="14" operator="equal">
      <formula>0</formula>
    </cfRule>
  </conditionalFormatting>
  <conditionalFormatting sqref="O26:O40">
    <cfRule type="containsText" dxfId="555" priority="9" operator="containsText" text="false">
      <formula>NOT(ISERROR(SEARCH("false",O26)))</formula>
    </cfRule>
    <cfRule type="containsText" dxfId="554" priority="10" operator="containsText" text="true">
      <formula>NOT(ISERROR(SEARCH("true",O26)))</formula>
    </cfRule>
  </conditionalFormatting>
  <conditionalFormatting sqref="O42">
    <cfRule type="cellIs" dxfId="553" priority="1" operator="notEqual">
      <formula>100</formula>
    </cfRule>
    <cfRule type="cellIs" dxfId="552" priority="2" operator="equal">
      <formula>100</formula>
    </cfRule>
  </conditionalFormatting>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B2:AB57"/>
  <sheetViews>
    <sheetView zoomScale="50" zoomScaleNormal="50" workbookViewId="0">
      <selection activeCell="E17" sqref="E1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7.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234</v>
      </c>
      <c r="J6" s="43" t="s">
        <v>278</v>
      </c>
      <c r="K6" s="1" t="s">
        <v>104</v>
      </c>
    </row>
    <row r="7" spans="2:26" ht="72.599999999999994" customHeight="1" thickBot="1" x14ac:dyDescent="0.3">
      <c r="B7" s="160"/>
      <c r="C7" s="161"/>
      <c r="D7" s="43" t="s">
        <v>279</v>
      </c>
      <c r="E7" s="1">
        <v>4</v>
      </c>
      <c r="F7" s="43" t="s">
        <v>280</v>
      </c>
      <c r="G7" s="1">
        <v>8</v>
      </c>
      <c r="H7" s="43" t="s">
        <v>281</v>
      </c>
      <c r="I7" s="1">
        <v>2</v>
      </c>
      <c r="J7" s="43" t="s">
        <v>283</v>
      </c>
      <c r="K7" s="1" t="s">
        <v>1741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81.599999999999994" customHeight="1" x14ac:dyDescent="0.25">
      <c r="B11" s="36"/>
      <c r="C11" s="2" t="s">
        <v>297</v>
      </c>
      <c r="D11" s="78" t="s">
        <v>1121</v>
      </c>
      <c r="E11" s="2" t="s">
        <v>7</v>
      </c>
      <c r="F11" s="3"/>
      <c r="G11" s="17"/>
      <c r="H11" s="17">
        <v>0.6</v>
      </c>
      <c r="I11" s="17">
        <v>1</v>
      </c>
      <c r="J11" s="80" t="s">
        <v>790</v>
      </c>
      <c r="K11" s="80" t="s">
        <v>643</v>
      </c>
      <c r="U11" s="3">
        <f>F11</f>
        <v>0</v>
      </c>
      <c r="V11" s="2" t="str">
        <f t="shared" ref="V11:V19" si="0">C11</f>
        <v>K1.1</v>
      </c>
      <c r="W11" s="2"/>
      <c r="X11" s="17"/>
      <c r="Y11" s="37"/>
      <c r="Z11" s="37"/>
    </row>
    <row r="12" spans="2:26" ht="81" customHeight="1" x14ac:dyDescent="0.25">
      <c r="B12" s="36"/>
      <c r="C12" s="5" t="s">
        <v>298</v>
      </c>
      <c r="D12" s="79" t="s">
        <v>897</v>
      </c>
      <c r="E12" s="5" t="s">
        <v>7</v>
      </c>
      <c r="F12" s="6"/>
      <c r="G12" s="4"/>
      <c r="H12" s="17">
        <v>0.6</v>
      </c>
      <c r="I12" s="17">
        <v>1</v>
      </c>
      <c r="J12" s="80" t="s">
        <v>790</v>
      </c>
      <c r="K12" s="80" t="s">
        <v>643</v>
      </c>
      <c r="U12" s="6">
        <f>F12</f>
        <v>0</v>
      </c>
      <c r="V12" s="2" t="str">
        <f t="shared" si="0"/>
        <v>K1.2</v>
      </c>
      <c r="W12" s="5"/>
      <c r="X12" s="4"/>
      <c r="Y12" s="38"/>
      <c r="Z12" s="38"/>
    </row>
    <row r="13" spans="2:26" ht="58.9" customHeight="1" x14ac:dyDescent="0.25">
      <c r="B13" s="36"/>
      <c r="C13" s="5" t="s">
        <v>644</v>
      </c>
      <c r="D13" s="79" t="s">
        <v>1726</v>
      </c>
      <c r="E13" s="5" t="s">
        <v>18</v>
      </c>
      <c r="F13" s="6"/>
      <c r="G13" s="4"/>
      <c r="H13" s="17">
        <v>0.6</v>
      </c>
      <c r="I13" s="17">
        <v>1</v>
      </c>
      <c r="J13" s="81" t="s">
        <v>899</v>
      </c>
      <c r="K13" s="81" t="s">
        <v>900</v>
      </c>
      <c r="U13" s="6">
        <f>F13</f>
        <v>0</v>
      </c>
      <c r="V13" s="2" t="str">
        <f t="shared" si="0"/>
        <v>S1.1</v>
      </c>
      <c r="W13" s="5"/>
      <c r="X13" s="4"/>
      <c r="Y13" s="38"/>
      <c r="Z13" s="38"/>
    </row>
    <row r="14" spans="2:26" ht="58.9" customHeight="1" x14ac:dyDescent="0.25">
      <c r="B14" s="36"/>
      <c r="C14" s="5" t="s">
        <v>395</v>
      </c>
      <c r="D14" s="79" t="s">
        <v>1122</v>
      </c>
      <c r="E14" s="5" t="s">
        <v>24</v>
      </c>
      <c r="F14" s="6"/>
      <c r="G14" s="4"/>
      <c r="H14" s="17">
        <v>0.6</v>
      </c>
      <c r="I14" s="17">
        <v>1</v>
      </c>
      <c r="J14" s="81" t="s">
        <v>794</v>
      </c>
      <c r="K14" s="81" t="s">
        <v>900</v>
      </c>
      <c r="U14" s="6">
        <f>F14</f>
        <v>0</v>
      </c>
      <c r="V14" s="2" t="str">
        <f t="shared" si="0"/>
        <v>S3.1</v>
      </c>
      <c r="W14" s="5"/>
      <c r="X14" s="4"/>
      <c r="Y14" s="38"/>
      <c r="Z14" s="38"/>
    </row>
    <row r="15" spans="2:26" ht="58.9" customHeight="1" x14ac:dyDescent="0.25">
      <c r="B15" s="36"/>
      <c r="C15" s="5" t="s">
        <v>567</v>
      </c>
      <c r="D15" s="79" t="s">
        <v>1737</v>
      </c>
      <c r="E15" s="5" t="s">
        <v>48</v>
      </c>
      <c r="F15" s="6"/>
      <c r="G15" s="4"/>
      <c r="H15" s="17">
        <v>0.6</v>
      </c>
      <c r="I15" s="17">
        <v>1</v>
      </c>
      <c r="J15" s="81" t="s">
        <v>1123</v>
      </c>
      <c r="K15" s="81" t="s">
        <v>1124</v>
      </c>
      <c r="U15" s="6">
        <f>F15</f>
        <v>0</v>
      </c>
      <c r="V15" s="2" t="str">
        <f t="shared" si="0"/>
        <v>V2.1</v>
      </c>
      <c r="W15" s="5"/>
      <c r="X15" s="4"/>
      <c r="Y15" s="38"/>
      <c r="Z15" s="38"/>
    </row>
    <row r="16" spans="2:26" ht="58.9" customHeight="1" x14ac:dyDescent="0.25">
      <c r="B16" s="36"/>
      <c r="C16" s="5"/>
      <c r="D16" s="24"/>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S3.1</v>
      </c>
      <c r="J25" s="49" t="str">
        <f>C15</f>
        <v>V2.1</v>
      </c>
      <c r="K25" s="49">
        <f>C16</f>
        <v>0</v>
      </c>
      <c r="L25" s="49">
        <f>C17</f>
        <v>0</v>
      </c>
      <c r="M25" s="49">
        <f>C18</f>
        <v>0</v>
      </c>
      <c r="N25" s="49">
        <f>C19</f>
        <v>0</v>
      </c>
      <c r="O25" s="50" t="s">
        <v>305</v>
      </c>
    </row>
    <row r="26" spans="2:26" ht="30.4" customHeight="1" thickBot="1" x14ac:dyDescent="0.3">
      <c r="C26" s="51" t="s">
        <v>306</v>
      </c>
      <c r="D26" s="83" t="s">
        <v>1125</v>
      </c>
      <c r="E26" s="8">
        <v>4</v>
      </c>
      <c r="F26" s="8">
        <v>1</v>
      </c>
      <c r="G26" s="8">
        <v>1</v>
      </c>
      <c r="H26" s="8">
        <v>1</v>
      </c>
      <c r="I26" s="8">
        <v>1</v>
      </c>
      <c r="J26" s="8"/>
      <c r="K26" s="8"/>
      <c r="L26" s="8"/>
      <c r="M26" s="8"/>
      <c r="N26" s="8"/>
      <c r="O26" s="53" t="b">
        <f t="shared" ref="O26:O40" si="1">IF(SUM(F26:N26)=E26,TRUE,"false")</f>
        <v>1</v>
      </c>
    </row>
    <row r="27" spans="2:26" ht="30.4" customHeight="1" thickBot="1" x14ac:dyDescent="0.3">
      <c r="C27" s="51" t="s">
        <v>307</v>
      </c>
      <c r="D27" s="83" t="s">
        <v>1126</v>
      </c>
      <c r="E27" s="8">
        <v>4</v>
      </c>
      <c r="F27" s="8">
        <v>1</v>
      </c>
      <c r="G27" s="8">
        <v>1</v>
      </c>
      <c r="H27" s="8">
        <v>1</v>
      </c>
      <c r="I27" s="8">
        <v>1</v>
      </c>
      <c r="J27" s="8"/>
      <c r="K27" s="8"/>
      <c r="L27" s="8"/>
      <c r="M27" s="8"/>
      <c r="N27" s="8"/>
      <c r="O27" s="53" t="b">
        <f t="shared" si="1"/>
        <v>1</v>
      </c>
    </row>
    <row r="28" spans="2:26" ht="30.4" customHeight="1" thickBot="1" x14ac:dyDescent="0.3">
      <c r="C28" s="51" t="s">
        <v>308</v>
      </c>
      <c r="D28" s="83" t="s">
        <v>1127</v>
      </c>
      <c r="E28" s="8">
        <v>4</v>
      </c>
      <c r="F28" s="8">
        <v>1</v>
      </c>
      <c r="G28" s="8">
        <v>1</v>
      </c>
      <c r="H28" s="8">
        <v>1</v>
      </c>
      <c r="I28" s="8">
        <v>1</v>
      </c>
      <c r="J28" s="8"/>
      <c r="K28" s="8"/>
      <c r="L28" s="8"/>
      <c r="M28" s="8"/>
      <c r="N28" s="8"/>
      <c r="O28" s="53" t="b">
        <f t="shared" si="1"/>
        <v>1</v>
      </c>
    </row>
    <row r="29" spans="2:26" ht="30.4" customHeight="1" thickBot="1" x14ac:dyDescent="0.3">
      <c r="C29" s="51" t="s">
        <v>309</v>
      </c>
      <c r="D29" s="83" t="s">
        <v>1128</v>
      </c>
      <c r="E29" s="8">
        <v>4</v>
      </c>
      <c r="F29" s="8">
        <v>1</v>
      </c>
      <c r="G29" s="8">
        <v>1</v>
      </c>
      <c r="H29" s="8">
        <v>1</v>
      </c>
      <c r="I29" s="8">
        <v>1</v>
      </c>
      <c r="J29" s="8"/>
      <c r="K29" s="8"/>
      <c r="L29" s="8"/>
      <c r="M29" s="8"/>
      <c r="N29" s="8"/>
      <c r="O29" s="53" t="b">
        <f t="shared" si="1"/>
        <v>1</v>
      </c>
    </row>
    <row r="30" spans="2:26" ht="30.4" customHeight="1" thickBot="1" x14ac:dyDescent="0.3">
      <c r="C30" s="51" t="s">
        <v>310</v>
      </c>
      <c r="D30" s="83" t="s">
        <v>1129</v>
      </c>
      <c r="E30" s="8">
        <v>4</v>
      </c>
      <c r="F30" s="8">
        <v>1</v>
      </c>
      <c r="G30" s="8">
        <v>1</v>
      </c>
      <c r="H30" s="8">
        <v>2</v>
      </c>
      <c r="I30" s="8"/>
      <c r="J30" s="8"/>
      <c r="K30" s="8"/>
      <c r="L30" s="8"/>
      <c r="M30" s="8"/>
      <c r="N30" s="8"/>
      <c r="O30" s="53" t="b">
        <f t="shared" si="1"/>
        <v>1</v>
      </c>
    </row>
    <row r="31" spans="2:26" ht="30.4" customHeight="1" thickBot="1" x14ac:dyDescent="0.3">
      <c r="C31" s="51" t="s">
        <v>311</v>
      </c>
      <c r="D31" s="83" t="s">
        <v>1130</v>
      </c>
      <c r="E31" s="8">
        <v>4</v>
      </c>
      <c r="F31" s="8">
        <v>1</v>
      </c>
      <c r="G31" s="8">
        <v>1</v>
      </c>
      <c r="H31" s="8">
        <v>1</v>
      </c>
      <c r="I31" s="8"/>
      <c r="J31" s="8">
        <v>1</v>
      </c>
      <c r="K31" s="8"/>
      <c r="L31" s="8"/>
      <c r="M31" s="8"/>
      <c r="N31" s="8"/>
      <c r="O31" s="53" t="b">
        <f t="shared" si="1"/>
        <v>1</v>
      </c>
    </row>
    <row r="32" spans="2:26" ht="30.4" customHeight="1" thickBot="1" x14ac:dyDescent="0.3">
      <c r="C32" s="51" t="s">
        <v>312</v>
      </c>
      <c r="D32" s="83" t="s">
        <v>1131</v>
      </c>
      <c r="E32" s="8">
        <v>4</v>
      </c>
      <c r="F32" s="8">
        <v>2</v>
      </c>
      <c r="G32" s="8"/>
      <c r="H32" s="8">
        <v>1</v>
      </c>
      <c r="I32" s="8"/>
      <c r="J32" s="8">
        <v>1</v>
      </c>
      <c r="K32" s="8"/>
      <c r="L32" s="8"/>
      <c r="M32" s="8"/>
      <c r="N32" s="8"/>
      <c r="O32" s="53" t="b">
        <f t="shared" si="1"/>
        <v>1</v>
      </c>
    </row>
    <row r="33" spans="2:15" ht="30.4" customHeight="1" thickBot="1" x14ac:dyDescent="0.3">
      <c r="C33" s="51" t="s">
        <v>313</v>
      </c>
      <c r="D33" s="83" t="s">
        <v>1132</v>
      </c>
      <c r="E33" s="8">
        <v>2</v>
      </c>
      <c r="F33" s="8"/>
      <c r="G33" s="8"/>
      <c r="H33" s="8">
        <v>1</v>
      </c>
      <c r="I33" s="8"/>
      <c r="J33" s="8">
        <v>1</v>
      </c>
      <c r="K33" s="8"/>
      <c r="L33" s="8"/>
      <c r="M33" s="8"/>
      <c r="N33" s="8"/>
      <c r="O33" s="53" t="b">
        <f t="shared" si="1"/>
        <v>1</v>
      </c>
    </row>
    <row r="34" spans="2:15" ht="30.4" customHeight="1" thickBot="1" x14ac:dyDescent="0.3">
      <c r="C34" s="51" t="s">
        <v>314</v>
      </c>
      <c r="D34" s="83"/>
      <c r="E34" s="8"/>
      <c r="F34" s="8"/>
      <c r="G34" s="8"/>
      <c r="H34" s="8"/>
      <c r="I34" s="8"/>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8</v>
      </c>
      <c r="G40" s="52">
        <f t="shared" si="2"/>
        <v>6</v>
      </c>
      <c r="H40" s="52">
        <f t="shared" si="2"/>
        <v>9</v>
      </c>
      <c r="I40" s="52">
        <f t="shared" si="2"/>
        <v>4</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0.27</v>
      </c>
      <c r="G41" s="54">
        <f>ROUND(G40/E40,2)</f>
        <v>0.2</v>
      </c>
      <c r="H41" s="54">
        <f>ROUND(H40/E40,2)</f>
        <v>0.3</v>
      </c>
      <c r="I41" s="54">
        <f>ROUND(I40/E40,2)</f>
        <v>0.13</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30</v>
      </c>
      <c r="I42" s="7">
        <v>15</v>
      </c>
      <c r="J42" s="7">
        <v>10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S3.1</v>
      </c>
      <c r="I46" s="59" t="str">
        <f>C15</f>
        <v>V2.1</v>
      </c>
      <c r="J46" s="59">
        <f>C16</f>
        <v>0</v>
      </c>
      <c r="K46" s="59">
        <f>C17</f>
        <v>0</v>
      </c>
      <c r="L46" s="59">
        <f>C18</f>
        <v>0</v>
      </c>
      <c r="M46" s="59">
        <f>C19</f>
        <v>0</v>
      </c>
      <c r="N46" s="60" t="s">
        <v>327</v>
      </c>
    </row>
    <row r="47" spans="2:15" ht="55.15" customHeight="1" x14ac:dyDescent="0.25">
      <c r="C47" s="9" t="s">
        <v>328</v>
      </c>
      <c r="D47" s="10">
        <v>25</v>
      </c>
      <c r="E47" s="8">
        <v>10</v>
      </c>
      <c r="F47" s="8">
        <v>5</v>
      </c>
      <c r="G47" s="8">
        <v>5</v>
      </c>
      <c r="H47" s="8">
        <v>5</v>
      </c>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v>10</v>
      </c>
      <c r="G49" s="12"/>
      <c r="H49" s="12"/>
      <c r="I49" s="12"/>
      <c r="J49" s="12"/>
      <c r="K49" s="12"/>
      <c r="L49" s="12"/>
      <c r="M49" s="12"/>
      <c r="N49" s="55" t="b">
        <f t="shared" si="3"/>
        <v>1</v>
      </c>
    </row>
    <row r="50" spans="3:14" ht="55.15" customHeight="1" x14ac:dyDescent="0.25">
      <c r="C50" s="9" t="s">
        <v>809</v>
      </c>
      <c r="D50" s="10"/>
      <c r="E50" s="11"/>
      <c r="F50" s="12"/>
      <c r="G50" s="12"/>
      <c r="H50" s="12"/>
      <c r="I50" s="12"/>
      <c r="J50" s="12"/>
      <c r="K50" s="12"/>
      <c r="L50" s="12"/>
      <c r="M50" s="12"/>
      <c r="N50" s="55" t="b">
        <f t="shared" si="3"/>
        <v>1</v>
      </c>
    </row>
    <row r="51" spans="3:14" ht="55.15" customHeight="1" x14ac:dyDescent="0.25">
      <c r="C51" s="9" t="s">
        <v>1133</v>
      </c>
      <c r="D51" s="10">
        <v>10</v>
      </c>
      <c r="E51" s="11"/>
      <c r="F51" s="12"/>
      <c r="G51" s="12"/>
      <c r="H51" s="12"/>
      <c r="I51" s="12">
        <v>10</v>
      </c>
      <c r="J51" s="12"/>
      <c r="K51" s="12"/>
      <c r="L51" s="12"/>
      <c r="M51" s="12"/>
      <c r="N51" s="55" t="b">
        <f t="shared" si="3"/>
        <v>1</v>
      </c>
    </row>
    <row r="52" spans="3:14" ht="55.15" customHeight="1" x14ac:dyDescent="0.25">
      <c r="C52" s="9" t="s">
        <v>504</v>
      </c>
      <c r="D52" s="10">
        <v>50</v>
      </c>
      <c r="E52" s="11">
        <v>10</v>
      </c>
      <c r="F52" s="12">
        <v>5</v>
      </c>
      <c r="G52" s="12">
        <v>25</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30</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551" priority="11">
      <formula>LEN(TRIM(D47))=0</formula>
    </cfRule>
    <cfRule type="cellIs" dxfId="550" priority="12" operator="equal">
      <formula>0</formula>
    </cfRule>
  </conditionalFormatting>
  <conditionalFormatting sqref="E50">
    <cfRule type="containsBlanks" dxfId="549" priority="21">
      <formula>LEN(TRIM(E50))=0</formula>
    </cfRule>
    <cfRule type="cellIs" dxfId="548" priority="22" operator="equal">
      <formula>0</formula>
    </cfRule>
  </conditionalFormatting>
  <conditionalFormatting sqref="E47:M51 E52">
    <cfRule type="containsBlanks" dxfId="547" priority="17">
      <formula>LEN(TRIM(E47))=0</formula>
    </cfRule>
    <cfRule type="cellIs" dxfId="546" priority="18" operator="equal">
      <formula>0</formula>
    </cfRule>
  </conditionalFormatting>
  <conditionalFormatting sqref="E53:M54">
    <cfRule type="containsBlanks" dxfId="545" priority="15">
      <formula>LEN(TRIM(E53))=0</formula>
    </cfRule>
    <cfRule type="cellIs" dxfId="544" priority="16" operator="equal">
      <formula>0</formula>
    </cfRule>
  </conditionalFormatting>
  <conditionalFormatting sqref="E55:M55">
    <cfRule type="containsText" dxfId="543" priority="5" operator="containsText" text="false">
      <formula>NOT(ISERROR(SEARCH("false",E55)))</formula>
    </cfRule>
    <cfRule type="containsText" dxfId="542" priority="6" operator="containsText" text="true">
      <formula>NOT(ISERROR(SEARCH("true",E55)))</formula>
    </cfRule>
  </conditionalFormatting>
  <conditionalFormatting sqref="E26:N39">
    <cfRule type="containsBlanks" dxfId="541" priority="3">
      <formula>LEN(TRIM(E26))=0</formula>
    </cfRule>
    <cfRule type="cellIs" dxfId="540" priority="4" operator="equal">
      <formula>0</formula>
    </cfRule>
  </conditionalFormatting>
  <conditionalFormatting sqref="F48:M48">
    <cfRule type="containsBlanks" dxfId="539" priority="23">
      <formula>LEN(TRIM(F48))=0</formula>
    </cfRule>
    <cfRule type="cellIs" dxfId="538" priority="24" operator="equal">
      <formula>0</formula>
    </cfRule>
  </conditionalFormatting>
  <conditionalFormatting sqref="F50:M52">
    <cfRule type="containsBlanks" dxfId="537" priority="19">
      <formula>LEN(TRIM(F50))=0</formula>
    </cfRule>
    <cfRule type="cellIs" dxfId="536" priority="20" operator="equal">
      <formula>0</formula>
    </cfRule>
  </conditionalFormatting>
  <conditionalFormatting sqref="N47:N54">
    <cfRule type="containsText" dxfId="535" priority="7" operator="containsText" text="false">
      <formula>NOT(ISERROR(SEARCH("false",N47)))</formula>
    </cfRule>
    <cfRule type="containsText" dxfId="534" priority="8" operator="containsText" text="true">
      <formula>NOT(ISERROR(SEARCH("true",N47)))</formula>
    </cfRule>
  </conditionalFormatting>
  <conditionalFormatting sqref="N55">
    <cfRule type="containsBlanks" dxfId="533" priority="13">
      <formula>LEN(TRIM(N55))=0</formula>
    </cfRule>
    <cfRule type="cellIs" dxfId="532" priority="14" operator="equal">
      <formula>0</formula>
    </cfRule>
  </conditionalFormatting>
  <conditionalFormatting sqref="O26:O40">
    <cfRule type="containsText" dxfId="531" priority="9" operator="containsText" text="false">
      <formula>NOT(ISERROR(SEARCH("false",O26)))</formula>
    </cfRule>
    <cfRule type="containsText" dxfId="530" priority="10" operator="containsText" text="true">
      <formula>NOT(ISERROR(SEARCH("true",O26)))</formula>
    </cfRule>
  </conditionalFormatting>
  <conditionalFormatting sqref="O42">
    <cfRule type="cellIs" dxfId="529" priority="1" operator="notEqual">
      <formula>100</formula>
    </cfRule>
    <cfRule type="cellIs" dxfId="528" priority="2" operator="equal">
      <formula>100</formula>
    </cfRule>
  </conditionalFormatting>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B2:AB57"/>
  <sheetViews>
    <sheetView zoomScale="50" zoomScaleNormal="50" workbookViewId="0">
      <selection activeCell="E7" sqref="E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236</v>
      </c>
      <c r="J6" s="43" t="s">
        <v>278</v>
      </c>
      <c r="K6" s="1" t="s">
        <v>105</v>
      </c>
    </row>
    <row r="7" spans="2:26" ht="72.599999999999994" customHeight="1" thickBot="1" x14ac:dyDescent="0.3">
      <c r="B7" s="160"/>
      <c r="C7" s="161"/>
      <c r="D7" s="43" t="s">
        <v>279</v>
      </c>
      <c r="E7" s="1">
        <v>4</v>
      </c>
      <c r="F7" s="43" t="s">
        <v>280</v>
      </c>
      <c r="G7" s="1">
        <v>8</v>
      </c>
      <c r="H7" s="43" t="s">
        <v>281</v>
      </c>
      <c r="I7" s="1">
        <v>2</v>
      </c>
      <c r="J7" s="43" t="s">
        <v>283</v>
      </c>
      <c r="K7" s="1" t="s">
        <v>912</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17" customHeight="1" x14ac:dyDescent="0.25">
      <c r="B11" s="36"/>
      <c r="C11" s="129" t="s">
        <v>560</v>
      </c>
      <c r="D11" s="130" t="s">
        <v>913</v>
      </c>
      <c r="E11" s="129" t="s">
        <v>13</v>
      </c>
      <c r="F11" s="131"/>
      <c r="G11" s="132"/>
      <c r="H11" s="132">
        <v>0.6</v>
      </c>
      <c r="I11" s="132">
        <v>1</v>
      </c>
      <c r="J11" s="133" t="s">
        <v>790</v>
      </c>
      <c r="K11" s="133" t="s">
        <v>643</v>
      </c>
      <c r="U11" s="3">
        <f>F11</f>
        <v>0</v>
      </c>
      <c r="V11" s="2" t="str">
        <f t="shared" ref="V11:V19" si="0">C11</f>
        <v>K3.1</v>
      </c>
      <c r="W11" s="2"/>
      <c r="X11" s="17"/>
      <c r="Y11" s="37"/>
      <c r="Z11" s="37"/>
    </row>
    <row r="12" spans="2:26" ht="172.5" customHeight="1" x14ac:dyDescent="0.25">
      <c r="B12" s="36"/>
      <c r="C12" s="134" t="s">
        <v>342</v>
      </c>
      <c r="D12" s="135" t="s">
        <v>1134</v>
      </c>
      <c r="E12" s="134" t="s">
        <v>22</v>
      </c>
      <c r="F12" s="136"/>
      <c r="G12" s="137"/>
      <c r="H12" s="132">
        <v>0.6</v>
      </c>
      <c r="I12" s="132">
        <v>1</v>
      </c>
      <c r="J12" s="133" t="s">
        <v>915</v>
      </c>
      <c r="K12" s="133" t="s">
        <v>818</v>
      </c>
      <c r="U12" s="6">
        <f>F12</f>
        <v>0</v>
      </c>
      <c r="V12" s="2" t="str">
        <f t="shared" si="0"/>
        <v>S2.1</v>
      </c>
      <c r="W12" s="5"/>
      <c r="X12" s="4"/>
      <c r="Y12" s="38"/>
      <c r="Z12" s="38"/>
    </row>
    <row r="13" spans="2:26" ht="58.9" customHeight="1" x14ac:dyDescent="0.25">
      <c r="B13" s="36"/>
      <c r="C13" s="134" t="s">
        <v>752</v>
      </c>
      <c r="D13" s="135" t="s">
        <v>1135</v>
      </c>
      <c r="E13" s="134" t="s">
        <v>35</v>
      </c>
      <c r="F13" s="136"/>
      <c r="G13" s="137"/>
      <c r="H13" s="132">
        <v>0.6</v>
      </c>
      <c r="I13" s="132">
        <v>1</v>
      </c>
      <c r="J13" s="138" t="s">
        <v>1597</v>
      </c>
      <c r="K13" s="138" t="s">
        <v>818</v>
      </c>
      <c r="U13" s="6">
        <f>F13</f>
        <v>0</v>
      </c>
      <c r="V13" s="2" t="str">
        <f t="shared" si="0"/>
        <v>S4.1</v>
      </c>
      <c r="W13" s="5"/>
      <c r="X13" s="4"/>
      <c r="Y13" s="38"/>
      <c r="Z13" s="38"/>
    </row>
    <row r="14" spans="2:26" ht="58.9" customHeight="1" x14ac:dyDescent="0.25">
      <c r="B14" s="36"/>
      <c r="C14" s="134" t="s">
        <v>445</v>
      </c>
      <c r="D14" s="135" t="s">
        <v>1136</v>
      </c>
      <c r="E14" s="134" t="s">
        <v>31</v>
      </c>
      <c r="F14" s="136"/>
      <c r="G14" s="137"/>
      <c r="H14" s="132">
        <v>0.6</v>
      </c>
      <c r="I14" s="132">
        <v>1</v>
      </c>
      <c r="J14" s="138" t="s">
        <v>1594</v>
      </c>
      <c r="K14" s="138" t="s">
        <v>818</v>
      </c>
      <c r="U14" s="6">
        <f>F14</f>
        <v>0</v>
      </c>
      <c r="V14" s="2" t="str">
        <f t="shared" si="0"/>
        <v>S7.1</v>
      </c>
      <c r="W14" s="5"/>
      <c r="X14" s="4"/>
      <c r="Y14" s="38"/>
      <c r="Z14" s="38"/>
    </row>
    <row r="15" spans="2:26" ht="58.9" customHeight="1" x14ac:dyDescent="0.25">
      <c r="B15" s="36"/>
      <c r="C15" s="134" t="s">
        <v>567</v>
      </c>
      <c r="D15" s="135" t="s">
        <v>1137</v>
      </c>
      <c r="E15" s="134" t="s">
        <v>48</v>
      </c>
      <c r="F15" s="136"/>
      <c r="G15" s="137"/>
      <c r="H15" s="132">
        <v>0.6</v>
      </c>
      <c r="I15" s="132">
        <v>1</v>
      </c>
      <c r="J15" s="138" t="s">
        <v>1138</v>
      </c>
      <c r="K15" s="138" t="s">
        <v>1673</v>
      </c>
      <c r="U15" s="6">
        <f>F15</f>
        <v>0</v>
      </c>
      <c r="V15" s="2" t="str">
        <f t="shared" si="0"/>
        <v>V2.1</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K3.1</v>
      </c>
      <c r="G25" s="49" t="str">
        <f>C12</f>
        <v>S2.1</v>
      </c>
      <c r="H25" s="49" t="str">
        <f>C13</f>
        <v>S4.1</v>
      </c>
      <c r="I25" s="49" t="str">
        <f>C14</f>
        <v>S7.1</v>
      </c>
      <c r="J25" s="49" t="str">
        <f>C15</f>
        <v>V2.1</v>
      </c>
      <c r="K25" s="49">
        <f>C16</f>
        <v>0</v>
      </c>
      <c r="L25" s="49">
        <f>C17</f>
        <v>0</v>
      </c>
      <c r="M25" s="49">
        <f>C18</f>
        <v>0</v>
      </c>
      <c r="N25" s="49">
        <f>C19</f>
        <v>0</v>
      </c>
      <c r="O25" s="50" t="s">
        <v>305</v>
      </c>
    </row>
    <row r="26" spans="2:26" ht="30.4" customHeight="1" thickBot="1" x14ac:dyDescent="0.3">
      <c r="C26" s="51" t="s">
        <v>306</v>
      </c>
      <c r="D26" s="83" t="s">
        <v>1139</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1140</v>
      </c>
      <c r="E27" s="8">
        <v>2</v>
      </c>
      <c r="F27" s="8">
        <v>1</v>
      </c>
      <c r="G27" s="8">
        <v>1</v>
      </c>
      <c r="H27" s="8"/>
      <c r="I27" s="8"/>
      <c r="J27" s="8"/>
      <c r="K27" s="8"/>
      <c r="L27" s="8"/>
      <c r="M27" s="8"/>
      <c r="N27" s="8"/>
      <c r="O27" s="53" t="b">
        <f t="shared" si="1"/>
        <v>1</v>
      </c>
    </row>
    <row r="28" spans="2:26" ht="30.4" customHeight="1" thickBot="1" x14ac:dyDescent="0.3">
      <c r="C28" s="51" t="s">
        <v>308</v>
      </c>
      <c r="D28" s="83" t="s">
        <v>1141</v>
      </c>
      <c r="E28" s="8">
        <v>2</v>
      </c>
      <c r="F28" s="8">
        <v>1</v>
      </c>
      <c r="G28" s="8"/>
      <c r="H28" s="8"/>
      <c r="I28" s="8">
        <v>1</v>
      </c>
      <c r="J28" s="8"/>
      <c r="K28" s="8"/>
      <c r="L28" s="8"/>
      <c r="M28" s="8"/>
      <c r="N28" s="8"/>
      <c r="O28" s="53" t="b">
        <f t="shared" si="1"/>
        <v>1</v>
      </c>
    </row>
    <row r="29" spans="2:26" ht="30.4" customHeight="1" thickBot="1" x14ac:dyDescent="0.3">
      <c r="C29" s="51" t="s">
        <v>309</v>
      </c>
      <c r="D29" s="83" t="s">
        <v>1142</v>
      </c>
      <c r="E29" s="8">
        <v>2</v>
      </c>
      <c r="F29" s="8"/>
      <c r="G29" s="8"/>
      <c r="H29" s="8">
        <v>1</v>
      </c>
      <c r="I29" s="8">
        <v>1</v>
      </c>
      <c r="J29" s="8"/>
      <c r="K29" s="8"/>
      <c r="L29" s="8"/>
      <c r="M29" s="8"/>
      <c r="N29" s="8"/>
      <c r="O29" s="53" t="b">
        <f t="shared" si="1"/>
        <v>1</v>
      </c>
    </row>
    <row r="30" spans="2:26" ht="30.4" customHeight="1" thickBot="1" x14ac:dyDescent="0.3">
      <c r="C30" s="51" t="s">
        <v>310</v>
      </c>
      <c r="D30" s="83" t="s">
        <v>1143</v>
      </c>
      <c r="E30" s="8">
        <v>2</v>
      </c>
      <c r="F30" s="8"/>
      <c r="G30" s="8"/>
      <c r="H30" s="8">
        <v>1</v>
      </c>
      <c r="I30" s="8">
        <v>1</v>
      </c>
      <c r="J30" s="8"/>
      <c r="K30" s="8"/>
      <c r="L30" s="8"/>
      <c r="M30" s="8"/>
      <c r="N30" s="8"/>
      <c r="O30" s="53" t="b">
        <f t="shared" si="1"/>
        <v>1</v>
      </c>
    </row>
    <row r="31" spans="2:26" ht="30.4" customHeight="1" thickBot="1" x14ac:dyDescent="0.3">
      <c r="C31" s="51" t="s">
        <v>311</v>
      </c>
      <c r="D31" s="83" t="s">
        <v>1144</v>
      </c>
      <c r="E31" s="8">
        <v>2</v>
      </c>
      <c r="F31" s="8"/>
      <c r="G31" s="8"/>
      <c r="H31" s="8">
        <v>1</v>
      </c>
      <c r="I31" s="8">
        <v>1</v>
      </c>
      <c r="J31" s="8"/>
      <c r="K31" s="8"/>
      <c r="L31" s="8"/>
      <c r="M31" s="8"/>
      <c r="N31" s="8"/>
      <c r="O31" s="53" t="b">
        <f t="shared" si="1"/>
        <v>1</v>
      </c>
    </row>
    <row r="32" spans="2:26" ht="30.4" customHeight="1" thickBot="1" x14ac:dyDescent="0.3">
      <c r="C32" s="51" t="s">
        <v>312</v>
      </c>
      <c r="D32" s="83" t="s">
        <v>1145</v>
      </c>
      <c r="E32" s="8">
        <v>2</v>
      </c>
      <c r="F32" s="8">
        <v>1</v>
      </c>
      <c r="G32" s="8"/>
      <c r="H32" s="8">
        <v>1</v>
      </c>
      <c r="I32" s="8"/>
      <c r="J32" s="8"/>
      <c r="K32" s="8"/>
      <c r="L32" s="8"/>
      <c r="M32" s="8"/>
      <c r="N32" s="8"/>
      <c r="O32" s="53" t="b">
        <f t="shared" si="1"/>
        <v>1</v>
      </c>
    </row>
    <row r="33" spans="2:15" ht="30.4" customHeight="1" thickBot="1" x14ac:dyDescent="0.3">
      <c r="C33" s="51" t="s">
        <v>313</v>
      </c>
      <c r="D33" s="83" t="s">
        <v>1146</v>
      </c>
      <c r="E33" s="8">
        <v>2</v>
      </c>
      <c r="F33" s="8"/>
      <c r="G33" s="8"/>
      <c r="H33" s="8">
        <v>1</v>
      </c>
      <c r="I33" s="8">
        <v>1</v>
      </c>
      <c r="J33" s="8"/>
      <c r="K33" s="8"/>
      <c r="L33" s="8"/>
      <c r="M33" s="8"/>
      <c r="N33" s="8"/>
      <c r="O33" s="53" t="b">
        <f t="shared" si="1"/>
        <v>1</v>
      </c>
    </row>
    <row r="34" spans="2:15" ht="30.4" customHeight="1" thickBot="1" x14ac:dyDescent="0.3">
      <c r="C34" s="51" t="s">
        <v>314</v>
      </c>
      <c r="D34" s="83" t="s">
        <v>1147</v>
      </c>
      <c r="E34" s="8">
        <v>4</v>
      </c>
      <c r="F34" s="8">
        <v>1</v>
      </c>
      <c r="G34" s="8">
        <v>2</v>
      </c>
      <c r="H34" s="8">
        <v>1</v>
      </c>
      <c r="I34" s="8"/>
      <c r="J34" s="8"/>
      <c r="K34" s="8"/>
      <c r="L34" s="8"/>
      <c r="M34" s="8"/>
      <c r="N34" s="8"/>
      <c r="O34" s="53" t="b">
        <f t="shared" si="1"/>
        <v>1</v>
      </c>
    </row>
    <row r="35" spans="2:15" ht="30.4" customHeight="1" thickBot="1" x14ac:dyDescent="0.3">
      <c r="C35" s="51" t="s">
        <v>315</v>
      </c>
      <c r="D35" s="83" t="s">
        <v>1148</v>
      </c>
      <c r="E35" s="8">
        <v>2</v>
      </c>
      <c r="F35" s="8"/>
      <c r="G35" s="8"/>
      <c r="H35" s="8">
        <v>1</v>
      </c>
      <c r="I35" s="8">
        <v>1</v>
      </c>
      <c r="J35" s="8"/>
      <c r="K35" s="8"/>
      <c r="L35" s="8"/>
      <c r="M35" s="8"/>
      <c r="N35" s="8"/>
      <c r="O35" s="53" t="b">
        <f t="shared" si="1"/>
        <v>1</v>
      </c>
    </row>
    <row r="36" spans="2:15" ht="30.4" customHeight="1" thickBot="1" x14ac:dyDescent="0.3">
      <c r="C36" s="51" t="s">
        <v>316</v>
      </c>
      <c r="D36" s="83" t="s">
        <v>1149</v>
      </c>
      <c r="E36" s="8">
        <v>4</v>
      </c>
      <c r="F36" s="8">
        <v>1</v>
      </c>
      <c r="G36" s="8">
        <v>1</v>
      </c>
      <c r="H36" s="8">
        <v>1</v>
      </c>
      <c r="I36" s="8"/>
      <c r="J36" s="8">
        <v>1</v>
      </c>
      <c r="K36" s="8"/>
      <c r="L36" s="8"/>
      <c r="M36" s="8"/>
      <c r="N36" s="8"/>
      <c r="O36" s="53" t="b">
        <f t="shared" si="1"/>
        <v>1</v>
      </c>
    </row>
    <row r="37" spans="2:15" ht="30.4" customHeight="1" thickBot="1" x14ac:dyDescent="0.3">
      <c r="C37" s="51" t="s">
        <v>317</v>
      </c>
      <c r="D37" s="83" t="s">
        <v>1150</v>
      </c>
      <c r="E37" s="8">
        <v>4</v>
      </c>
      <c r="F37" s="8"/>
      <c r="G37" s="8">
        <v>1</v>
      </c>
      <c r="H37" s="8"/>
      <c r="I37" s="8">
        <v>1</v>
      </c>
      <c r="J37" s="8">
        <v>2</v>
      </c>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6</v>
      </c>
      <c r="G40" s="52">
        <f t="shared" si="2"/>
        <v>6</v>
      </c>
      <c r="H40" s="52">
        <f t="shared" si="2"/>
        <v>8</v>
      </c>
      <c r="I40" s="52">
        <f t="shared" si="2"/>
        <v>7</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v>
      </c>
      <c r="G41" s="54">
        <f>ROUND(G40/E40,2)</f>
        <v>0.2</v>
      </c>
      <c r="H41" s="54">
        <f>ROUND(H40/E40,2)</f>
        <v>0.27</v>
      </c>
      <c r="I41" s="54">
        <f>ROUND(I40/E40,2)</f>
        <v>0.23</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7">
        <v>20</v>
      </c>
      <c r="G42" s="7">
        <v>20</v>
      </c>
      <c r="H42" s="7">
        <v>25</v>
      </c>
      <c r="I42" s="7">
        <v>25</v>
      </c>
      <c r="J42" s="7">
        <v>10</v>
      </c>
      <c r="K42" s="7">
        <v>0</v>
      </c>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K3.1</v>
      </c>
      <c r="F46" s="59" t="str">
        <f>C12</f>
        <v>S2.1</v>
      </c>
      <c r="G46" s="59" t="str">
        <f>C13</f>
        <v>S4.1</v>
      </c>
      <c r="H46" s="59" t="str">
        <f>C14</f>
        <v>S7.1</v>
      </c>
      <c r="I46" s="59" t="str">
        <f>C15</f>
        <v>V2.1</v>
      </c>
      <c r="J46" s="59">
        <f>C16</f>
        <v>0</v>
      </c>
      <c r="K46" s="59">
        <f>C17</f>
        <v>0</v>
      </c>
      <c r="L46" s="59">
        <f>C18</f>
        <v>0</v>
      </c>
      <c r="M46" s="59">
        <f>C19</f>
        <v>0</v>
      </c>
      <c r="N46" s="60" t="s">
        <v>327</v>
      </c>
    </row>
    <row r="47" spans="2:15" ht="55.15" customHeight="1" x14ac:dyDescent="0.25">
      <c r="C47" s="9" t="s">
        <v>328</v>
      </c>
      <c r="D47" s="10"/>
      <c r="E47" s="8"/>
      <c r="F47" s="8"/>
      <c r="G47" s="8"/>
      <c r="H47" s="8"/>
      <c r="I47" s="8"/>
      <c r="J47" s="8"/>
      <c r="K47" s="8"/>
      <c r="L47" s="8"/>
      <c r="M47" s="8"/>
      <c r="N47" s="55" t="b">
        <f t="shared" ref="N47:N54" si="3">IF(SUM(E47:M47)=D47,TRUE,"false")</f>
        <v>1</v>
      </c>
    </row>
    <row r="48" spans="2:15" ht="55.15" customHeight="1" x14ac:dyDescent="0.25">
      <c r="C48" s="9" t="s">
        <v>329</v>
      </c>
      <c r="D48" s="10">
        <v>10</v>
      </c>
      <c r="E48" s="11">
        <v>10</v>
      </c>
      <c r="F48" s="12"/>
      <c r="G48" s="12"/>
      <c r="H48" s="12"/>
      <c r="I48" s="12"/>
      <c r="J48" s="12"/>
      <c r="K48" s="12"/>
      <c r="L48" s="12"/>
      <c r="M48" s="12"/>
      <c r="N48" s="55" t="b">
        <f t="shared" si="3"/>
        <v>1</v>
      </c>
    </row>
    <row r="49" spans="3:14" ht="55.15" customHeight="1" x14ac:dyDescent="0.25">
      <c r="C49" s="9" t="s">
        <v>330</v>
      </c>
      <c r="D49" s="10">
        <v>10</v>
      </c>
      <c r="E49" s="11">
        <v>10</v>
      </c>
      <c r="F49" s="12"/>
      <c r="G49" s="12"/>
      <c r="H49" s="12"/>
      <c r="I49" s="12"/>
      <c r="J49" s="12"/>
      <c r="K49" s="12"/>
      <c r="L49" s="12"/>
      <c r="M49" s="12"/>
      <c r="N49" s="55" t="b">
        <f t="shared" si="3"/>
        <v>1</v>
      </c>
    </row>
    <row r="50" spans="3:14" ht="55.15" customHeight="1" x14ac:dyDescent="0.25">
      <c r="C50" s="9" t="s">
        <v>931</v>
      </c>
      <c r="D50" s="10">
        <v>20</v>
      </c>
      <c r="E50" s="11"/>
      <c r="F50" s="12"/>
      <c r="G50" s="12">
        <v>15</v>
      </c>
      <c r="H50" s="12">
        <v>5</v>
      </c>
      <c r="I50" s="12"/>
      <c r="J50" s="12"/>
      <c r="K50" s="12"/>
      <c r="L50" s="12"/>
      <c r="M50" s="12"/>
      <c r="N50" s="55" t="b">
        <f t="shared" si="3"/>
        <v>1</v>
      </c>
    </row>
    <row r="51" spans="3:14" ht="55.15" customHeight="1" x14ac:dyDescent="0.25">
      <c r="C51" s="9" t="s">
        <v>607</v>
      </c>
      <c r="D51" s="10">
        <v>10</v>
      </c>
      <c r="E51" s="11"/>
      <c r="F51" s="12"/>
      <c r="G51" s="12"/>
      <c r="H51" s="12"/>
      <c r="I51" s="12">
        <v>10</v>
      </c>
      <c r="J51" s="12"/>
      <c r="K51" s="12"/>
      <c r="L51" s="12"/>
      <c r="M51" s="12"/>
      <c r="N51" s="55" t="b">
        <f t="shared" si="3"/>
        <v>1</v>
      </c>
    </row>
    <row r="52" spans="3:14" ht="55.15" customHeight="1" x14ac:dyDescent="0.25">
      <c r="C52" s="9" t="s">
        <v>932</v>
      </c>
      <c r="D52" s="10">
        <v>50</v>
      </c>
      <c r="E52" s="11"/>
      <c r="F52" s="12">
        <v>20</v>
      </c>
      <c r="G52" s="12">
        <v>10</v>
      </c>
      <c r="H52" s="12">
        <v>20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20</v>
      </c>
      <c r="F56" s="65">
        <f t="shared" si="5"/>
        <v>20</v>
      </c>
      <c r="G56" s="65">
        <f t="shared" si="5"/>
        <v>25</v>
      </c>
      <c r="H56" s="65">
        <f t="shared" si="5"/>
        <v>25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527" priority="11">
      <formula>LEN(TRIM(D47))=0</formula>
    </cfRule>
    <cfRule type="cellIs" dxfId="526" priority="12" operator="equal">
      <formula>0</formula>
    </cfRule>
  </conditionalFormatting>
  <conditionalFormatting sqref="E50">
    <cfRule type="containsBlanks" dxfId="525" priority="21">
      <formula>LEN(TRIM(E50))=0</formula>
    </cfRule>
    <cfRule type="cellIs" dxfId="524" priority="22" operator="equal">
      <formula>0</formula>
    </cfRule>
  </conditionalFormatting>
  <conditionalFormatting sqref="E47:M51 E52">
    <cfRule type="containsBlanks" dxfId="523" priority="17">
      <formula>LEN(TRIM(E47))=0</formula>
    </cfRule>
    <cfRule type="cellIs" dxfId="522" priority="18" operator="equal">
      <formula>0</formula>
    </cfRule>
  </conditionalFormatting>
  <conditionalFormatting sqref="E53:M54">
    <cfRule type="containsBlanks" dxfId="521" priority="15">
      <formula>LEN(TRIM(E53))=0</formula>
    </cfRule>
    <cfRule type="cellIs" dxfId="520" priority="16" operator="equal">
      <formula>0</formula>
    </cfRule>
  </conditionalFormatting>
  <conditionalFormatting sqref="E55:M55">
    <cfRule type="containsText" dxfId="519" priority="5" operator="containsText" text="false">
      <formula>NOT(ISERROR(SEARCH("false",E55)))</formula>
    </cfRule>
    <cfRule type="containsText" dxfId="518" priority="6" operator="containsText" text="true">
      <formula>NOT(ISERROR(SEARCH("true",E55)))</formula>
    </cfRule>
  </conditionalFormatting>
  <conditionalFormatting sqref="E26:N39">
    <cfRule type="containsBlanks" dxfId="517" priority="3">
      <formula>LEN(TRIM(E26))=0</formula>
    </cfRule>
    <cfRule type="cellIs" dxfId="516" priority="4" operator="equal">
      <formula>0</formula>
    </cfRule>
  </conditionalFormatting>
  <conditionalFormatting sqref="F48:M48">
    <cfRule type="containsBlanks" dxfId="515" priority="23">
      <formula>LEN(TRIM(F48))=0</formula>
    </cfRule>
    <cfRule type="cellIs" dxfId="514" priority="24" operator="equal">
      <formula>0</formula>
    </cfRule>
  </conditionalFormatting>
  <conditionalFormatting sqref="F50:M52">
    <cfRule type="containsBlanks" dxfId="513" priority="19">
      <formula>LEN(TRIM(F50))=0</formula>
    </cfRule>
    <cfRule type="cellIs" dxfId="512" priority="20" operator="equal">
      <formula>0</formula>
    </cfRule>
  </conditionalFormatting>
  <conditionalFormatting sqref="N47:N54">
    <cfRule type="containsText" dxfId="511" priority="7" operator="containsText" text="false">
      <formula>NOT(ISERROR(SEARCH("false",N47)))</formula>
    </cfRule>
    <cfRule type="containsText" dxfId="510" priority="8" operator="containsText" text="true">
      <formula>NOT(ISERROR(SEARCH("true",N47)))</formula>
    </cfRule>
  </conditionalFormatting>
  <conditionalFormatting sqref="N55">
    <cfRule type="containsBlanks" dxfId="509" priority="13">
      <formula>LEN(TRIM(N55))=0</formula>
    </cfRule>
    <cfRule type="cellIs" dxfId="508" priority="14" operator="equal">
      <formula>0</formula>
    </cfRule>
  </conditionalFormatting>
  <conditionalFormatting sqref="O26:O40">
    <cfRule type="containsText" dxfId="507" priority="9" operator="containsText" text="false">
      <formula>NOT(ISERROR(SEARCH("false",O26)))</formula>
    </cfRule>
    <cfRule type="containsText" dxfId="506" priority="10" operator="containsText" text="true">
      <formula>NOT(ISERROR(SEARCH("true",O26)))</formula>
    </cfRule>
  </conditionalFormatting>
  <conditionalFormatting sqref="O42">
    <cfRule type="cellIs" dxfId="505" priority="1" operator="notEqual">
      <formula>100</formula>
    </cfRule>
    <cfRule type="cellIs" dxfId="504" priority="2" operator="equal">
      <formula>100</formula>
    </cfRule>
  </conditionalFormatting>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B2:AB57"/>
  <sheetViews>
    <sheetView zoomScale="50" zoomScaleNormal="50" workbookViewId="0">
      <selection activeCell="D12" sqref="D12"/>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8.855468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238</v>
      </c>
      <c r="J6" s="43" t="s">
        <v>278</v>
      </c>
      <c r="K6" s="1" t="s">
        <v>106</v>
      </c>
    </row>
    <row r="7" spans="2:26" ht="72.599999999999994" customHeight="1" thickBot="1" x14ac:dyDescent="0.3">
      <c r="B7" s="160"/>
      <c r="C7" s="161"/>
      <c r="D7" s="43" t="s">
        <v>279</v>
      </c>
      <c r="E7" s="1">
        <v>4</v>
      </c>
      <c r="F7" s="43" t="s">
        <v>280</v>
      </c>
      <c r="G7" s="1">
        <v>8</v>
      </c>
      <c r="H7" s="43" t="s">
        <v>281</v>
      </c>
      <c r="I7" s="1">
        <v>2</v>
      </c>
      <c r="J7" s="43" t="s">
        <v>283</v>
      </c>
      <c r="K7" s="1" t="s">
        <v>1151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2" t="s">
        <v>297</v>
      </c>
      <c r="D11" s="78" t="s">
        <v>1719</v>
      </c>
      <c r="E11" s="2" t="s">
        <v>7</v>
      </c>
      <c r="F11" s="3"/>
      <c r="G11" s="17"/>
      <c r="H11" s="17">
        <v>0.6</v>
      </c>
      <c r="I11" s="17">
        <v>1</v>
      </c>
      <c r="J11" s="80" t="s">
        <v>790</v>
      </c>
      <c r="K11" s="80" t="s">
        <v>643</v>
      </c>
      <c r="U11" s="3">
        <f>F11</f>
        <v>0</v>
      </c>
      <c r="V11" s="2" t="str">
        <f t="shared" ref="V11:V19" si="0">C11</f>
        <v>K1.1</v>
      </c>
      <c r="W11" s="2"/>
      <c r="X11" s="17"/>
      <c r="Y11" s="37"/>
      <c r="Z11" s="37"/>
    </row>
    <row r="12" spans="2:26" ht="172.5" customHeight="1" x14ac:dyDescent="0.25">
      <c r="B12" s="36"/>
      <c r="C12" s="5" t="s">
        <v>298</v>
      </c>
      <c r="D12" s="79" t="s">
        <v>1152</v>
      </c>
      <c r="E12" s="5" t="s">
        <v>7</v>
      </c>
      <c r="F12" s="6"/>
      <c r="G12" s="4"/>
      <c r="H12" s="17">
        <v>0.6</v>
      </c>
      <c r="I12" s="17">
        <v>1</v>
      </c>
      <c r="J12" s="80" t="s">
        <v>1153</v>
      </c>
      <c r="K12" s="80" t="s">
        <v>643</v>
      </c>
      <c r="U12" s="6">
        <f>F12</f>
        <v>0</v>
      </c>
      <c r="V12" s="2" t="str">
        <f t="shared" si="0"/>
        <v>K1.2</v>
      </c>
      <c r="W12" s="5"/>
      <c r="X12" s="4"/>
      <c r="Y12" s="38"/>
      <c r="Z12" s="38"/>
    </row>
    <row r="13" spans="2:26" ht="58.9" customHeight="1" x14ac:dyDescent="0.25">
      <c r="B13" s="36"/>
      <c r="C13" s="5" t="s">
        <v>644</v>
      </c>
      <c r="D13" s="79" t="s">
        <v>1154</v>
      </c>
      <c r="E13" s="5" t="s">
        <v>18</v>
      </c>
      <c r="F13" s="6"/>
      <c r="G13" s="4"/>
      <c r="H13" s="17">
        <v>0.6</v>
      </c>
      <c r="I13" s="17">
        <v>1</v>
      </c>
      <c r="J13" s="81" t="s">
        <v>899</v>
      </c>
      <c r="K13" s="81" t="s">
        <v>900</v>
      </c>
      <c r="U13" s="6">
        <f>F13</f>
        <v>0</v>
      </c>
      <c r="V13" s="2" t="str">
        <f t="shared" si="0"/>
        <v>S1.1</v>
      </c>
      <c r="W13" s="5"/>
      <c r="X13" s="4"/>
      <c r="Y13" s="38"/>
      <c r="Z13" s="38"/>
    </row>
    <row r="14" spans="2:26" ht="58.9" customHeight="1" x14ac:dyDescent="0.25">
      <c r="B14" s="36"/>
      <c r="C14" s="5" t="s">
        <v>441</v>
      </c>
      <c r="D14" s="79" t="s">
        <v>1674</v>
      </c>
      <c r="E14" s="5" t="s">
        <v>39</v>
      </c>
      <c r="F14" s="6"/>
      <c r="G14" s="4"/>
      <c r="H14" s="17">
        <v>0.6</v>
      </c>
      <c r="I14" s="17">
        <v>1</v>
      </c>
      <c r="J14" s="81" t="s">
        <v>1155</v>
      </c>
      <c r="K14" s="81" t="s">
        <v>1156</v>
      </c>
      <c r="U14" s="6">
        <f>F14</f>
        <v>0</v>
      </c>
      <c r="V14" s="2" t="str">
        <f t="shared" si="0"/>
        <v>S6.1</v>
      </c>
      <c r="W14" s="5"/>
      <c r="X14" s="4"/>
      <c r="Y14" s="38"/>
      <c r="Z14" s="38"/>
    </row>
    <row r="15" spans="2:26" ht="58.9" customHeight="1" x14ac:dyDescent="0.25">
      <c r="B15" s="36"/>
      <c r="C15" s="5" t="s">
        <v>567</v>
      </c>
      <c r="D15" s="79" t="s">
        <v>1157</v>
      </c>
      <c r="E15" s="5" t="s">
        <v>48</v>
      </c>
      <c r="F15" s="6"/>
      <c r="G15" s="4"/>
      <c r="H15" s="17">
        <v>0.6</v>
      </c>
      <c r="I15" s="17">
        <v>1</v>
      </c>
      <c r="J15" s="81" t="s">
        <v>1158</v>
      </c>
      <c r="K15" s="81" t="s">
        <v>1159</v>
      </c>
      <c r="U15" s="6">
        <f>F15</f>
        <v>0</v>
      </c>
      <c r="V15" s="2" t="str">
        <f t="shared" si="0"/>
        <v>V2.1</v>
      </c>
      <c r="W15" s="5"/>
      <c r="X15" s="4"/>
      <c r="Y15" s="38"/>
      <c r="Z15" s="38"/>
    </row>
    <row r="16" spans="2:26" ht="58.9" customHeight="1" x14ac:dyDescent="0.25">
      <c r="B16" s="36"/>
      <c r="C16" s="5"/>
      <c r="D16" s="24"/>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S6.1</v>
      </c>
      <c r="J25" s="49" t="str">
        <f>C15</f>
        <v>V2.1</v>
      </c>
      <c r="K25" s="49">
        <f>C16</f>
        <v>0</v>
      </c>
      <c r="L25" s="49">
        <f>C17</f>
        <v>0</v>
      </c>
      <c r="M25" s="49">
        <f>C18</f>
        <v>0</v>
      </c>
      <c r="N25" s="49">
        <f>C19</f>
        <v>0</v>
      </c>
      <c r="O25" s="50" t="s">
        <v>305</v>
      </c>
    </row>
    <row r="26" spans="2:26" ht="30.4" customHeight="1" thickBot="1" x14ac:dyDescent="0.3">
      <c r="C26" s="51" t="s">
        <v>306</v>
      </c>
      <c r="D26" s="83" t="s">
        <v>1160</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1161</v>
      </c>
      <c r="E27" s="8">
        <v>2</v>
      </c>
      <c r="F27" s="8"/>
      <c r="G27" s="8">
        <v>1</v>
      </c>
      <c r="H27" s="8">
        <v>1</v>
      </c>
      <c r="I27" s="8"/>
      <c r="J27" s="8"/>
      <c r="K27" s="8"/>
      <c r="L27" s="8"/>
      <c r="M27" s="8"/>
      <c r="N27" s="8"/>
      <c r="O27" s="53" t="b">
        <f t="shared" si="1"/>
        <v>1</v>
      </c>
    </row>
    <row r="28" spans="2:26" ht="30.4" customHeight="1" thickBot="1" x14ac:dyDescent="0.3">
      <c r="C28" s="51" t="s">
        <v>308</v>
      </c>
      <c r="D28" s="83" t="s">
        <v>1162</v>
      </c>
      <c r="E28" s="8">
        <v>4</v>
      </c>
      <c r="F28" s="8">
        <v>1</v>
      </c>
      <c r="G28" s="8">
        <v>1</v>
      </c>
      <c r="H28" s="8">
        <v>1</v>
      </c>
      <c r="I28" s="8"/>
      <c r="J28" s="8">
        <v>1</v>
      </c>
      <c r="K28" s="8"/>
      <c r="L28" s="8"/>
      <c r="M28" s="8"/>
      <c r="N28" s="8"/>
      <c r="O28" s="53" t="b">
        <f t="shared" si="1"/>
        <v>1</v>
      </c>
    </row>
    <row r="29" spans="2:26" ht="30.4" customHeight="1" thickBot="1" x14ac:dyDescent="0.3">
      <c r="C29" s="51" t="s">
        <v>309</v>
      </c>
      <c r="D29" s="83" t="s">
        <v>1163</v>
      </c>
      <c r="E29" s="8">
        <v>2</v>
      </c>
      <c r="F29" s="8">
        <v>1</v>
      </c>
      <c r="G29" s="8"/>
      <c r="H29" s="8">
        <v>1</v>
      </c>
      <c r="I29" s="8"/>
      <c r="J29" s="8"/>
      <c r="K29" s="8"/>
      <c r="L29" s="8"/>
      <c r="M29" s="8"/>
      <c r="N29" s="8"/>
      <c r="O29" s="53" t="b">
        <f t="shared" si="1"/>
        <v>1</v>
      </c>
    </row>
    <row r="30" spans="2:26" ht="30.4" customHeight="1" thickBot="1" x14ac:dyDescent="0.3">
      <c r="C30" s="51" t="s">
        <v>310</v>
      </c>
      <c r="D30" s="83" t="s">
        <v>1164</v>
      </c>
      <c r="E30" s="8">
        <v>4</v>
      </c>
      <c r="F30" s="8">
        <v>1</v>
      </c>
      <c r="G30" s="8">
        <v>1</v>
      </c>
      <c r="H30" s="8">
        <v>1</v>
      </c>
      <c r="I30" s="8">
        <v>1</v>
      </c>
      <c r="J30" s="8"/>
      <c r="K30" s="8"/>
      <c r="L30" s="8"/>
      <c r="M30" s="8"/>
      <c r="N30" s="8"/>
      <c r="O30" s="53" t="b">
        <f t="shared" si="1"/>
        <v>1</v>
      </c>
    </row>
    <row r="31" spans="2:26" ht="30.4" customHeight="1" thickBot="1" x14ac:dyDescent="0.3">
      <c r="C31" s="51" t="s">
        <v>311</v>
      </c>
      <c r="D31" s="83" t="s">
        <v>1165</v>
      </c>
      <c r="E31" s="8">
        <v>4</v>
      </c>
      <c r="F31" s="8">
        <v>1</v>
      </c>
      <c r="G31" s="8"/>
      <c r="H31" s="8">
        <v>1</v>
      </c>
      <c r="I31" s="8">
        <v>1</v>
      </c>
      <c r="J31" s="8">
        <v>1</v>
      </c>
      <c r="K31" s="8"/>
      <c r="L31" s="8"/>
      <c r="M31" s="8"/>
      <c r="N31" s="8"/>
      <c r="O31" s="53" t="b">
        <f t="shared" si="1"/>
        <v>1</v>
      </c>
    </row>
    <row r="32" spans="2:26" ht="30.4" customHeight="1" thickBot="1" x14ac:dyDescent="0.3">
      <c r="C32" s="51" t="s">
        <v>312</v>
      </c>
      <c r="D32" s="83" t="s">
        <v>1166</v>
      </c>
      <c r="E32" s="8">
        <v>4</v>
      </c>
      <c r="F32" s="8"/>
      <c r="G32" s="8">
        <v>1</v>
      </c>
      <c r="H32" s="8">
        <v>1</v>
      </c>
      <c r="I32" s="8">
        <v>1</v>
      </c>
      <c r="J32" s="8">
        <v>1</v>
      </c>
      <c r="K32" s="8"/>
      <c r="L32" s="8"/>
      <c r="M32" s="8"/>
      <c r="N32" s="8"/>
      <c r="O32" s="53" t="b">
        <f t="shared" si="1"/>
        <v>1</v>
      </c>
    </row>
    <row r="33" spans="2:15" ht="30.4" customHeight="1" thickBot="1" x14ac:dyDescent="0.3">
      <c r="C33" s="51" t="s">
        <v>313</v>
      </c>
      <c r="D33" s="83" t="s">
        <v>1167</v>
      </c>
      <c r="E33" s="8">
        <v>4</v>
      </c>
      <c r="F33" s="8">
        <v>1</v>
      </c>
      <c r="G33" s="8">
        <v>1</v>
      </c>
      <c r="H33" s="8">
        <v>1</v>
      </c>
      <c r="I33" s="8">
        <v>1</v>
      </c>
      <c r="J33" s="8"/>
      <c r="K33" s="8"/>
      <c r="L33" s="8"/>
      <c r="M33" s="8"/>
      <c r="N33" s="8"/>
      <c r="O33" s="53" t="b">
        <f t="shared" si="1"/>
        <v>1</v>
      </c>
    </row>
    <row r="34" spans="2:15" ht="30.4" customHeight="1" thickBot="1" x14ac:dyDescent="0.3">
      <c r="C34" s="51" t="s">
        <v>314</v>
      </c>
      <c r="D34" s="83" t="s">
        <v>1168</v>
      </c>
      <c r="E34" s="8">
        <v>4</v>
      </c>
      <c r="F34" s="8">
        <v>1</v>
      </c>
      <c r="G34" s="8"/>
      <c r="H34" s="8">
        <v>2</v>
      </c>
      <c r="I34" s="8">
        <v>1</v>
      </c>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7</v>
      </c>
      <c r="G40" s="52">
        <f t="shared" si="2"/>
        <v>6</v>
      </c>
      <c r="H40" s="52">
        <f t="shared" si="2"/>
        <v>9</v>
      </c>
      <c r="I40" s="52">
        <f t="shared" si="2"/>
        <v>5</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0.23</v>
      </c>
      <c r="G41" s="54">
        <f>ROUND(G40/E40,2)</f>
        <v>0.2</v>
      </c>
      <c r="H41" s="54">
        <f>ROUND(H40/E40,2)</f>
        <v>0.3</v>
      </c>
      <c r="I41" s="54">
        <f>ROUND(I40/E40,2)</f>
        <v>0.17</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30</v>
      </c>
      <c r="I42" s="7">
        <v>15</v>
      </c>
      <c r="J42" s="7">
        <v>10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S6.1</v>
      </c>
      <c r="I46" s="59" t="str">
        <f>C15</f>
        <v>V2.1</v>
      </c>
      <c r="J46" s="59">
        <f>C16</f>
        <v>0</v>
      </c>
      <c r="K46" s="59">
        <f>C17</f>
        <v>0</v>
      </c>
      <c r="L46" s="59">
        <f>C18</f>
        <v>0</v>
      </c>
      <c r="M46" s="59">
        <f>C19</f>
        <v>0</v>
      </c>
      <c r="N46" s="60" t="s">
        <v>327</v>
      </c>
    </row>
    <row r="47" spans="2:15" ht="55.15" customHeight="1" x14ac:dyDescent="0.25">
      <c r="C47" s="9" t="s">
        <v>328</v>
      </c>
      <c r="D47" s="10">
        <v>25</v>
      </c>
      <c r="E47" s="8">
        <v>10</v>
      </c>
      <c r="F47" s="8">
        <v>5</v>
      </c>
      <c r="G47" s="8">
        <v>5</v>
      </c>
      <c r="H47" s="8">
        <v>5</v>
      </c>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10</v>
      </c>
      <c r="E49" s="11"/>
      <c r="F49" s="12">
        <v>10</v>
      </c>
      <c r="G49" s="12"/>
      <c r="H49" s="12"/>
      <c r="I49" s="12"/>
      <c r="J49" s="12"/>
      <c r="K49" s="12"/>
      <c r="L49" s="12"/>
      <c r="M49" s="12"/>
      <c r="N49" s="55" t="b">
        <f t="shared" si="3"/>
        <v>1</v>
      </c>
    </row>
    <row r="50" spans="3:14" ht="55.15" customHeight="1" x14ac:dyDescent="0.25">
      <c r="C50" s="9" t="s">
        <v>809</v>
      </c>
      <c r="D50" s="10"/>
      <c r="E50" s="11"/>
      <c r="F50" s="12"/>
      <c r="G50" s="12"/>
      <c r="H50" s="12"/>
      <c r="I50" s="12"/>
      <c r="J50" s="12"/>
      <c r="K50" s="12"/>
      <c r="L50" s="12"/>
      <c r="M50" s="12"/>
      <c r="N50" s="55" t="b">
        <f t="shared" si="3"/>
        <v>1</v>
      </c>
    </row>
    <row r="51" spans="3:14" ht="55.15" customHeight="1" x14ac:dyDescent="0.25">
      <c r="C51" s="9" t="s">
        <v>1133</v>
      </c>
      <c r="D51" s="10">
        <v>10</v>
      </c>
      <c r="E51" s="11"/>
      <c r="F51" s="12"/>
      <c r="G51" s="12"/>
      <c r="H51" s="12"/>
      <c r="I51" s="12">
        <v>10</v>
      </c>
      <c r="J51" s="12"/>
      <c r="K51" s="12"/>
      <c r="L51" s="12"/>
      <c r="M51" s="12"/>
      <c r="N51" s="55" t="b">
        <f t="shared" si="3"/>
        <v>1</v>
      </c>
    </row>
    <row r="52" spans="3:14" ht="55.15" customHeight="1" x14ac:dyDescent="0.25">
      <c r="C52" s="9" t="s">
        <v>504</v>
      </c>
      <c r="D52" s="10">
        <v>50</v>
      </c>
      <c r="E52" s="11">
        <v>10</v>
      </c>
      <c r="F52" s="12">
        <v>5</v>
      </c>
      <c r="G52" s="12">
        <v>25</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30</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503" priority="11">
      <formula>LEN(TRIM(D47))=0</formula>
    </cfRule>
    <cfRule type="cellIs" dxfId="502" priority="12" operator="equal">
      <formula>0</formula>
    </cfRule>
  </conditionalFormatting>
  <conditionalFormatting sqref="E50">
    <cfRule type="containsBlanks" dxfId="501" priority="21">
      <formula>LEN(TRIM(E50))=0</formula>
    </cfRule>
    <cfRule type="cellIs" dxfId="500" priority="22" operator="equal">
      <formula>0</formula>
    </cfRule>
  </conditionalFormatting>
  <conditionalFormatting sqref="E47:M51 E52">
    <cfRule type="containsBlanks" dxfId="499" priority="17">
      <formula>LEN(TRIM(E47))=0</formula>
    </cfRule>
    <cfRule type="cellIs" dxfId="498" priority="18" operator="equal">
      <formula>0</formula>
    </cfRule>
  </conditionalFormatting>
  <conditionalFormatting sqref="E53:M54">
    <cfRule type="containsBlanks" dxfId="497" priority="15">
      <formula>LEN(TRIM(E53))=0</formula>
    </cfRule>
    <cfRule type="cellIs" dxfId="496" priority="16" operator="equal">
      <formula>0</formula>
    </cfRule>
  </conditionalFormatting>
  <conditionalFormatting sqref="E55:M55">
    <cfRule type="containsText" dxfId="495" priority="5" operator="containsText" text="false">
      <formula>NOT(ISERROR(SEARCH("false",E55)))</formula>
    </cfRule>
    <cfRule type="containsText" dxfId="494" priority="6" operator="containsText" text="true">
      <formula>NOT(ISERROR(SEARCH("true",E55)))</formula>
    </cfRule>
  </conditionalFormatting>
  <conditionalFormatting sqref="E26:N39">
    <cfRule type="containsBlanks" dxfId="493" priority="3">
      <formula>LEN(TRIM(E26))=0</formula>
    </cfRule>
    <cfRule type="cellIs" dxfId="492" priority="4" operator="equal">
      <formula>0</formula>
    </cfRule>
  </conditionalFormatting>
  <conditionalFormatting sqref="F48:M48">
    <cfRule type="containsBlanks" dxfId="491" priority="23">
      <formula>LEN(TRIM(F48))=0</formula>
    </cfRule>
    <cfRule type="cellIs" dxfId="490" priority="24" operator="equal">
      <formula>0</formula>
    </cfRule>
  </conditionalFormatting>
  <conditionalFormatting sqref="F50:M52">
    <cfRule type="containsBlanks" dxfId="489" priority="19">
      <formula>LEN(TRIM(F50))=0</formula>
    </cfRule>
    <cfRule type="cellIs" dxfId="488" priority="20" operator="equal">
      <formula>0</formula>
    </cfRule>
  </conditionalFormatting>
  <conditionalFormatting sqref="N47:N54">
    <cfRule type="containsText" dxfId="487" priority="7" operator="containsText" text="false">
      <formula>NOT(ISERROR(SEARCH("false",N47)))</formula>
    </cfRule>
    <cfRule type="containsText" dxfId="486" priority="8" operator="containsText" text="true">
      <formula>NOT(ISERROR(SEARCH("true",N47)))</formula>
    </cfRule>
  </conditionalFormatting>
  <conditionalFormatting sqref="N55">
    <cfRule type="containsBlanks" dxfId="485" priority="13">
      <formula>LEN(TRIM(N55))=0</formula>
    </cfRule>
    <cfRule type="cellIs" dxfId="484" priority="14" operator="equal">
      <formula>0</formula>
    </cfRule>
  </conditionalFormatting>
  <conditionalFormatting sqref="O26:O40">
    <cfRule type="containsText" dxfId="483" priority="9" operator="containsText" text="false">
      <formula>NOT(ISERROR(SEARCH("false",O26)))</formula>
    </cfRule>
    <cfRule type="containsText" dxfId="482" priority="10" operator="containsText" text="true">
      <formula>NOT(ISERROR(SEARCH("true",O26)))</formula>
    </cfRule>
  </conditionalFormatting>
  <conditionalFormatting sqref="O42">
    <cfRule type="cellIs" dxfId="481" priority="1" operator="notEqual">
      <formula>100</formula>
    </cfRule>
    <cfRule type="cellIs" dxfId="480" priority="2" operator="equal">
      <formula>100</formula>
    </cfRule>
  </conditionalFormatting>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sheetPr>
  <dimension ref="B2:AB57"/>
  <sheetViews>
    <sheetView zoomScale="50" zoomScaleNormal="50" workbookViewId="0">
      <selection activeCell="K9" sqref="K9"/>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8.7109375" style="19" bestFit="1"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244</v>
      </c>
      <c r="J6" s="43" t="s">
        <v>278</v>
      </c>
      <c r="K6" s="1" t="s">
        <v>109</v>
      </c>
    </row>
    <row r="7" spans="2:26" ht="72.599999999999994" customHeight="1" thickBot="1" x14ac:dyDescent="0.3">
      <c r="B7" s="160"/>
      <c r="C7" s="161"/>
      <c r="D7" s="43" t="s">
        <v>279</v>
      </c>
      <c r="E7" s="1">
        <v>4</v>
      </c>
      <c r="F7" s="43" t="s">
        <v>280</v>
      </c>
      <c r="G7" s="1" t="s">
        <v>1739</v>
      </c>
      <c r="H7" s="43" t="s">
        <v>281</v>
      </c>
      <c r="I7" s="1">
        <v>2</v>
      </c>
      <c r="J7" s="43" t="s">
        <v>283</v>
      </c>
      <c r="K7" s="1" t="s">
        <v>895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32" customHeight="1" x14ac:dyDescent="0.25">
      <c r="B11" s="36"/>
      <c r="C11" s="2" t="s">
        <v>560</v>
      </c>
      <c r="D11" s="78" t="s">
        <v>1209</v>
      </c>
      <c r="E11" s="2" t="s">
        <v>13</v>
      </c>
      <c r="F11" s="3"/>
      <c r="G11" s="17"/>
      <c r="H11" s="17">
        <v>0.6</v>
      </c>
      <c r="I11" s="17">
        <v>1</v>
      </c>
      <c r="J11" s="80" t="s">
        <v>964</v>
      </c>
      <c r="K11" s="80" t="s">
        <v>965</v>
      </c>
      <c r="U11" s="3">
        <f>F11</f>
        <v>0</v>
      </c>
      <c r="V11" s="2" t="str">
        <f t="shared" ref="V11:V19" si="0">C11</f>
        <v>K3.1</v>
      </c>
      <c r="W11" s="2"/>
      <c r="X11" s="17"/>
      <c r="Y11" s="37"/>
      <c r="Z11" s="37"/>
    </row>
    <row r="12" spans="2:26" ht="126" customHeight="1" x14ac:dyDescent="0.25">
      <c r="B12" s="36"/>
      <c r="C12" s="5" t="s">
        <v>644</v>
      </c>
      <c r="D12" s="79" t="s">
        <v>1728</v>
      </c>
      <c r="E12" s="5" t="s">
        <v>18</v>
      </c>
      <c r="F12" s="6"/>
      <c r="G12" s="4"/>
      <c r="H12" s="17">
        <v>0.6</v>
      </c>
      <c r="I12" s="17">
        <v>1</v>
      </c>
      <c r="J12" s="80" t="s">
        <v>1607</v>
      </c>
      <c r="K12" s="80" t="s">
        <v>1602</v>
      </c>
      <c r="U12" s="6">
        <f>F12</f>
        <v>0</v>
      </c>
      <c r="V12" s="2" t="str">
        <f t="shared" si="0"/>
        <v>S1.1</v>
      </c>
      <c r="W12" s="5"/>
      <c r="X12" s="4"/>
      <c r="Y12" s="38"/>
      <c r="Z12" s="38"/>
    </row>
    <row r="13" spans="2:26" ht="58.9" customHeight="1" x14ac:dyDescent="0.25">
      <c r="B13" s="36"/>
      <c r="C13" s="5" t="s">
        <v>752</v>
      </c>
      <c r="D13" s="79" t="s">
        <v>1210</v>
      </c>
      <c r="E13" s="5" t="s">
        <v>35</v>
      </c>
      <c r="F13" s="6"/>
      <c r="G13" s="4"/>
      <c r="H13" s="17">
        <v>0.6</v>
      </c>
      <c r="I13" s="17">
        <v>1</v>
      </c>
      <c r="J13" s="81" t="s">
        <v>840</v>
      </c>
      <c r="K13" s="81" t="s">
        <v>1608</v>
      </c>
      <c r="U13" s="6">
        <f>F13</f>
        <v>0</v>
      </c>
      <c r="V13" s="2" t="str">
        <f t="shared" si="0"/>
        <v>S4.1</v>
      </c>
      <c r="W13" s="5"/>
      <c r="X13" s="4"/>
      <c r="Y13" s="38"/>
      <c r="Z13" s="38"/>
    </row>
    <row r="14" spans="2:26" ht="58.9" customHeight="1" x14ac:dyDescent="0.25">
      <c r="B14" s="36"/>
      <c r="C14" s="5" t="s">
        <v>441</v>
      </c>
      <c r="D14" s="79" t="s">
        <v>1211</v>
      </c>
      <c r="E14" s="5" t="s">
        <v>39</v>
      </c>
      <c r="F14" s="6"/>
      <c r="G14" s="4"/>
      <c r="H14" s="17">
        <v>0.6</v>
      </c>
      <c r="I14" s="17">
        <v>1</v>
      </c>
      <c r="J14" s="81" t="s">
        <v>968</v>
      </c>
      <c r="K14" s="81" t="s">
        <v>1609</v>
      </c>
      <c r="U14" s="6">
        <f>F14</f>
        <v>0</v>
      </c>
      <c r="V14" s="2" t="str">
        <f t="shared" si="0"/>
        <v>S6.1</v>
      </c>
      <c r="W14" s="5"/>
      <c r="X14" s="4"/>
      <c r="Y14" s="38"/>
      <c r="Z14" s="38"/>
    </row>
    <row r="15" spans="2:26" ht="58.9" customHeight="1" x14ac:dyDescent="0.25">
      <c r="B15" s="36"/>
      <c r="C15" s="5" t="s">
        <v>300</v>
      </c>
      <c r="D15" s="79" t="s">
        <v>1212</v>
      </c>
      <c r="E15" s="5" t="s">
        <v>44</v>
      </c>
      <c r="F15" s="6"/>
      <c r="G15" s="4"/>
      <c r="H15" s="17">
        <v>0.6</v>
      </c>
      <c r="I15" s="17">
        <v>1</v>
      </c>
      <c r="J15" s="81" t="s">
        <v>1605</v>
      </c>
      <c r="K15" s="81" t="s">
        <v>1602</v>
      </c>
      <c r="U15" s="6">
        <f>F15</f>
        <v>0</v>
      </c>
      <c r="V15" s="2" t="str">
        <f t="shared" si="0"/>
        <v>V1.1</v>
      </c>
      <c r="W15" s="5"/>
      <c r="X15" s="4"/>
      <c r="Y15" s="38"/>
      <c r="Z15" s="38"/>
    </row>
    <row r="16" spans="2:26" ht="58.9" customHeight="1" x14ac:dyDescent="0.25">
      <c r="B16" s="36"/>
      <c r="C16" s="5" t="s">
        <v>567</v>
      </c>
      <c r="D16" s="79" t="s">
        <v>1213</v>
      </c>
      <c r="E16" s="5" t="s">
        <v>48</v>
      </c>
      <c r="F16" s="6"/>
      <c r="G16" s="4"/>
      <c r="H16" s="4">
        <v>0.6</v>
      </c>
      <c r="I16" s="4">
        <v>1</v>
      </c>
      <c r="J16" s="81" t="s">
        <v>1605</v>
      </c>
      <c r="K16" s="84" t="s">
        <v>1602</v>
      </c>
      <c r="U16" s="6"/>
      <c r="V16" s="2" t="str">
        <f t="shared" si="0"/>
        <v>V2.1</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K3.1</v>
      </c>
      <c r="G25" s="49" t="str">
        <f>C12</f>
        <v>S1.1</v>
      </c>
      <c r="H25" s="49" t="str">
        <f>C13</f>
        <v>S4.1</v>
      </c>
      <c r="I25" s="49" t="str">
        <f>C14</f>
        <v>S6.1</v>
      </c>
      <c r="J25" s="49" t="str">
        <f>C15</f>
        <v>V1.1</v>
      </c>
      <c r="K25" s="49" t="str">
        <f>C16</f>
        <v>V2.1</v>
      </c>
      <c r="L25" s="49">
        <f>C17</f>
        <v>0</v>
      </c>
      <c r="M25" s="49">
        <f>C18</f>
        <v>0</v>
      </c>
      <c r="N25" s="49">
        <f>C19</f>
        <v>0</v>
      </c>
      <c r="O25" s="50" t="s">
        <v>305</v>
      </c>
    </row>
    <row r="26" spans="2:26" ht="30.4" customHeight="1" thickBot="1" x14ac:dyDescent="0.3">
      <c r="C26" s="51" t="s">
        <v>306</v>
      </c>
      <c r="D26" s="83" t="s">
        <v>1214</v>
      </c>
      <c r="E26" s="8">
        <v>40</v>
      </c>
      <c r="F26" s="8">
        <v>10</v>
      </c>
      <c r="G26" s="8">
        <v>10</v>
      </c>
      <c r="H26" s="8">
        <v>10</v>
      </c>
      <c r="I26" s="8"/>
      <c r="J26" s="8">
        <v>10</v>
      </c>
      <c r="K26" s="8"/>
      <c r="L26" s="8"/>
      <c r="M26" s="8"/>
      <c r="N26" s="8"/>
      <c r="O26" s="53" t="b">
        <f t="shared" ref="O26:O40" si="1">IF(SUM(F26:N26)=E26,TRUE,"false")</f>
        <v>1</v>
      </c>
    </row>
    <row r="27" spans="2:26" ht="30.4" customHeight="1" thickBot="1" x14ac:dyDescent="0.3">
      <c r="C27" s="51" t="s">
        <v>307</v>
      </c>
      <c r="D27" s="83" t="s">
        <v>1215</v>
      </c>
      <c r="E27" s="8">
        <v>42</v>
      </c>
      <c r="F27" s="8"/>
      <c r="G27" s="8">
        <v>10</v>
      </c>
      <c r="H27" s="8">
        <v>10</v>
      </c>
      <c r="I27" s="8">
        <v>10</v>
      </c>
      <c r="J27" s="8">
        <v>12</v>
      </c>
      <c r="K27" s="8"/>
      <c r="L27" s="8"/>
      <c r="M27" s="8"/>
      <c r="N27" s="8"/>
      <c r="O27" s="53" t="b">
        <f t="shared" si="1"/>
        <v>1</v>
      </c>
    </row>
    <row r="28" spans="2:26" ht="30.4" customHeight="1" thickBot="1" x14ac:dyDescent="0.3">
      <c r="C28" s="51" t="s">
        <v>308</v>
      </c>
      <c r="D28" s="83" t="s">
        <v>1216</v>
      </c>
      <c r="E28" s="8">
        <v>42</v>
      </c>
      <c r="F28" s="8"/>
      <c r="G28" s="8"/>
      <c r="H28" s="8"/>
      <c r="I28" s="8">
        <v>10</v>
      </c>
      <c r="J28" s="8">
        <v>22</v>
      </c>
      <c r="K28" s="8">
        <v>10</v>
      </c>
      <c r="L28" s="8"/>
      <c r="M28" s="8"/>
      <c r="N28" s="8"/>
      <c r="O28" s="53" t="b">
        <f t="shared" si="1"/>
        <v>1</v>
      </c>
    </row>
    <row r="29" spans="2:26" ht="30.4" customHeight="1" thickBot="1" x14ac:dyDescent="0.3">
      <c r="C29" s="51" t="s">
        <v>309</v>
      </c>
      <c r="D29" s="83" t="s">
        <v>1217</v>
      </c>
      <c r="E29" s="8">
        <v>42</v>
      </c>
      <c r="F29" s="8">
        <v>20</v>
      </c>
      <c r="G29" s="8">
        <v>6</v>
      </c>
      <c r="H29" s="8"/>
      <c r="I29" s="8">
        <v>5</v>
      </c>
      <c r="J29" s="8">
        <v>5</v>
      </c>
      <c r="K29" s="8">
        <v>6</v>
      </c>
      <c r="L29" s="8"/>
      <c r="M29" s="8"/>
      <c r="N29" s="8"/>
      <c r="O29" s="53" t="b">
        <f t="shared" si="1"/>
        <v>1</v>
      </c>
    </row>
    <row r="30" spans="2:26" ht="30.4" customHeight="1" thickBot="1" x14ac:dyDescent="0.3">
      <c r="C30" s="51" t="s">
        <v>310</v>
      </c>
      <c r="D30" s="83" t="s">
        <v>1218</v>
      </c>
      <c r="E30" s="8">
        <v>42</v>
      </c>
      <c r="F30" s="8"/>
      <c r="G30" s="8">
        <v>10</v>
      </c>
      <c r="H30" s="8">
        <v>10</v>
      </c>
      <c r="I30" s="8">
        <v>10</v>
      </c>
      <c r="J30" s="8"/>
      <c r="K30" s="8">
        <v>12</v>
      </c>
      <c r="L30" s="8"/>
      <c r="M30" s="8"/>
      <c r="N30" s="8"/>
      <c r="O30" s="53" t="b">
        <f t="shared" si="1"/>
        <v>1</v>
      </c>
    </row>
    <row r="31" spans="2:26" ht="30.4" customHeight="1" thickBot="1" x14ac:dyDescent="0.3">
      <c r="C31" s="51" t="s">
        <v>311</v>
      </c>
      <c r="D31" s="83" t="s">
        <v>1219</v>
      </c>
      <c r="E31" s="8">
        <v>42</v>
      </c>
      <c r="F31" s="8"/>
      <c r="G31" s="8"/>
      <c r="H31" s="8">
        <v>10</v>
      </c>
      <c r="I31" s="8">
        <v>12</v>
      </c>
      <c r="J31" s="8">
        <v>20</v>
      </c>
      <c r="K31" s="8"/>
      <c r="L31" s="8"/>
      <c r="M31" s="8"/>
      <c r="N31" s="8"/>
      <c r="O31" s="53" t="b">
        <f t="shared" si="1"/>
        <v>1</v>
      </c>
    </row>
    <row r="32" spans="2:26" ht="30.4" customHeight="1" thickBot="1" x14ac:dyDescent="0.3">
      <c r="C32" s="51" t="s">
        <v>312</v>
      </c>
      <c r="D32" s="83"/>
      <c r="E32" s="8"/>
      <c r="F32" s="8"/>
      <c r="G32" s="8"/>
      <c r="H32" s="8"/>
      <c r="I32" s="8"/>
      <c r="J32" s="8"/>
      <c r="K32" s="8"/>
      <c r="L32" s="8"/>
      <c r="M32" s="8"/>
      <c r="N32" s="8"/>
      <c r="O32" s="53" t="b">
        <f t="shared" si="1"/>
        <v>1</v>
      </c>
    </row>
    <row r="33" spans="2:15" ht="30.4" customHeight="1" thickBot="1" x14ac:dyDescent="0.3">
      <c r="C33" s="51" t="s">
        <v>313</v>
      </c>
      <c r="D33" s="83"/>
      <c r="E33" s="8"/>
      <c r="F33" s="8"/>
      <c r="G33" s="8"/>
      <c r="H33" s="8"/>
      <c r="I33" s="8"/>
      <c r="J33" s="8"/>
      <c r="K33" s="8"/>
      <c r="L33" s="8"/>
      <c r="M33" s="8"/>
      <c r="N33" s="8"/>
      <c r="O33" s="53" t="b">
        <f t="shared" si="1"/>
        <v>1</v>
      </c>
    </row>
    <row r="34" spans="2:15" ht="30.4" customHeight="1" thickBot="1" x14ac:dyDescent="0.3">
      <c r="C34" s="51" t="s">
        <v>314</v>
      </c>
      <c r="D34" s="83"/>
      <c r="E34" s="8"/>
      <c r="F34" s="8"/>
      <c r="G34" s="8"/>
      <c r="H34" s="8"/>
      <c r="I34" s="8"/>
      <c r="J34" s="8"/>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250</v>
      </c>
      <c r="F40" s="52">
        <f t="shared" si="2"/>
        <v>30</v>
      </c>
      <c r="G40" s="52">
        <f t="shared" si="2"/>
        <v>36</v>
      </c>
      <c r="H40" s="52">
        <f t="shared" si="2"/>
        <v>40</v>
      </c>
      <c r="I40" s="52">
        <f t="shared" si="2"/>
        <v>47</v>
      </c>
      <c r="J40" s="52">
        <f t="shared" si="2"/>
        <v>69</v>
      </c>
      <c r="K40" s="52">
        <f t="shared" si="2"/>
        <v>28</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0.12</v>
      </c>
      <c r="G41" s="54">
        <f>ROUND(G40/E40,2)</f>
        <v>0.14000000000000001</v>
      </c>
      <c r="H41" s="54">
        <f>ROUND(H40/E40,2)</f>
        <v>0.16</v>
      </c>
      <c r="I41" s="54">
        <f>ROUND(I40/E40,2)</f>
        <v>0.19</v>
      </c>
      <c r="J41" s="54">
        <f>ROUND(J40/E40,2)</f>
        <v>0.28000000000000003</v>
      </c>
      <c r="K41" s="54">
        <f>ROUND(K40/E40,2)</f>
        <v>0.11</v>
      </c>
      <c r="L41" s="54">
        <f>ROUND(L40/E40,2)</f>
        <v>0</v>
      </c>
      <c r="M41" s="54">
        <f>ROUND(M40/E40,2)</f>
        <v>0</v>
      </c>
      <c r="N41" s="54">
        <f>ROUND(N40/E40,2)</f>
        <v>0</v>
      </c>
      <c r="O41" s="54">
        <f>SUM(F41:N41)</f>
        <v>1.0000000000000002</v>
      </c>
    </row>
    <row r="42" spans="2:15" ht="55.9" customHeight="1" x14ac:dyDescent="0.25">
      <c r="C42" s="151" t="s">
        <v>322</v>
      </c>
      <c r="D42" s="151"/>
      <c r="E42" s="151"/>
      <c r="F42" s="7">
        <v>10</v>
      </c>
      <c r="G42" s="7">
        <v>15</v>
      </c>
      <c r="H42" s="7">
        <v>15</v>
      </c>
      <c r="I42" s="7">
        <v>20</v>
      </c>
      <c r="J42" s="7">
        <v>30</v>
      </c>
      <c r="K42" s="7">
        <v>10</v>
      </c>
      <c r="L42" s="7">
        <v>0</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K3.1</v>
      </c>
      <c r="F46" s="59" t="str">
        <f>C12</f>
        <v>S1.1</v>
      </c>
      <c r="G46" s="59" t="str">
        <f>C13</f>
        <v>S4.1</v>
      </c>
      <c r="H46" s="59" t="str">
        <f>C14</f>
        <v>S6.1</v>
      </c>
      <c r="I46" s="59" t="str">
        <f>C15</f>
        <v>V1.1</v>
      </c>
      <c r="J46" s="59" t="str">
        <f>C16</f>
        <v>V2.1</v>
      </c>
      <c r="K46" s="59">
        <f>C17</f>
        <v>0</v>
      </c>
      <c r="L46" s="59">
        <f>C18</f>
        <v>0</v>
      </c>
      <c r="M46" s="59">
        <f>C19</f>
        <v>0</v>
      </c>
      <c r="N46" s="60" t="s">
        <v>327</v>
      </c>
    </row>
    <row r="47" spans="2:15" ht="55.15" customHeight="1" x14ac:dyDescent="0.25">
      <c r="C47" s="9" t="s">
        <v>976</v>
      </c>
      <c r="D47" s="10">
        <v>30</v>
      </c>
      <c r="E47" s="8"/>
      <c r="F47" s="8"/>
      <c r="G47" s="8">
        <v>5</v>
      </c>
      <c r="H47" s="8">
        <v>15</v>
      </c>
      <c r="I47" s="8">
        <v>10</v>
      </c>
      <c r="J47" s="8"/>
      <c r="K47" s="8"/>
      <c r="L47" s="8"/>
      <c r="M47" s="8"/>
      <c r="N47" s="55" t="b">
        <f t="shared" ref="N47:N54" si="3">IF(SUM(E47:M47)=D47,TRUE,"false")</f>
        <v>1</v>
      </c>
    </row>
    <row r="48" spans="2:15" ht="55.15" customHeight="1" x14ac:dyDescent="0.25">
      <c r="C48" s="9" t="s">
        <v>977</v>
      </c>
      <c r="D48" s="10">
        <v>40</v>
      </c>
      <c r="E48" s="11"/>
      <c r="F48" s="12"/>
      <c r="G48" s="12">
        <v>10</v>
      </c>
      <c r="H48" s="12"/>
      <c r="I48" s="12">
        <v>20</v>
      </c>
      <c r="J48" s="12">
        <v>10</v>
      </c>
      <c r="K48" s="12"/>
      <c r="L48" s="12"/>
      <c r="M48" s="12"/>
      <c r="N48" s="55" t="b">
        <f t="shared" si="3"/>
        <v>1</v>
      </c>
    </row>
    <row r="49" spans="3:14" ht="55.15" customHeight="1" x14ac:dyDescent="0.25">
      <c r="C49" s="9" t="s">
        <v>412</v>
      </c>
      <c r="D49" s="10">
        <v>10</v>
      </c>
      <c r="E49" s="11">
        <v>5</v>
      </c>
      <c r="F49" s="12">
        <v>5</v>
      </c>
      <c r="G49" s="12"/>
      <c r="H49" s="12"/>
      <c r="I49" s="12"/>
      <c r="J49" s="12"/>
      <c r="K49" s="12"/>
      <c r="L49" s="12"/>
      <c r="M49" s="12"/>
      <c r="N49" s="55" t="b">
        <f t="shared" si="3"/>
        <v>1</v>
      </c>
    </row>
    <row r="50" spans="3:14" ht="55.15" customHeight="1" x14ac:dyDescent="0.25">
      <c r="C50" s="9" t="s">
        <v>978</v>
      </c>
      <c r="D50" s="10">
        <v>20</v>
      </c>
      <c r="E50" s="11">
        <v>5</v>
      </c>
      <c r="F50" s="12">
        <v>10</v>
      </c>
      <c r="G50" s="12"/>
      <c r="H50" s="12">
        <v>5</v>
      </c>
      <c r="I50" s="12"/>
      <c r="J50" s="12"/>
      <c r="K50" s="12"/>
      <c r="L50" s="12"/>
      <c r="M50" s="12"/>
      <c r="N50" s="55" t="b">
        <f t="shared" si="3"/>
        <v>1</v>
      </c>
    </row>
    <row r="51" spans="3:14" ht="55.15" customHeight="1" x14ac:dyDescent="0.25">
      <c r="C51" s="9"/>
      <c r="D51" s="10"/>
      <c r="E51" s="11"/>
      <c r="F51" s="12"/>
      <c r="G51" s="12"/>
      <c r="H51" s="12"/>
      <c r="I51" s="12"/>
      <c r="J51" s="12"/>
      <c r="K51" s="12"/>
      <c r="L51" s="12"/>
      <c r="M51" s="12"/>
      <c r="N51" s="55" t="b">
        <f t="shared" si="3"/>
        <v>1</v>
      </c>
    </row>
    <row r="52" spans="3:14" ht="55.15" customHeight="1" x14ac:dyDescent="0.25">
      <c r="C52" s="9"/>
      <c r="D52" s="10"/>
      <c r="E52" s="11"/>
      <c r="F52" s="12"/>
      <c r="G52" s="12"/>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10</v>
      </c>
      <c r="F56" s="65">
        <f t="shared" si="5"/>
        <v>15</v>
      </c>
      <c r="G56" s="65">
        <f t="shared" si="5"/>
        <v>15</v>
      </c>
      <c r="H56" s="65">
        <f t="shared" si="5"/>
        <v>20</v>
      </c>
      <c r="I56" s="65">
        <f t="shared" si="5"/>
        <v>30</v>
      </c>
      <c r="J56" s="65">
        <f t="shared" si="5"/>
        <v>10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479" priority="11">
      <formula>LEN(TRIM(D47))=0</formula>
    </cfRule>
    <cfRule type="cellIs" dxfId="478" priority="12" operator="equal">
      <formula>0</formula>
    </cfRule>
  </conditionalFormatting>
  <conditionalFormatting sqref="E50">
    <cfRule type="containsBlanks" dxfId="477" priority="21">
      <formula>LEN(TRIM(E50))=0</formula>
    </cfRule>
    <cfRule type="cellIs" dxfId="476" priority="22" operator="equal">
      <formula>0</formula>
    </cfRule>
  </conditionalFormatting>
  <conditionalFormatting sqref="E47:M51 E52">
    <cfRule type="containsBlanks" dxfId="475" priority="17">
      <formula>LEN(TRIM(E47))=0</formula>
    </cfRule>
    <cfRule type="cellIs" dxfId="474" priority="18" operator="equal">
      <formula>0</formula>
    </cfRule>
  </conditionalFormatting>
  <conditionalFormatting sqref="E53:M54">
    <cfRule type="containsBlanks" dxfId="473" priority="15">
      <formula>LEN(TRIM(E53))=0</formula>
    </cfRule>
    <cfRule type="cellIs" dxfId="472" priority="16" operator="equal">
      <formula>0</formula>
    </cfRule>
  </conditionalFormatting>
  <conditionalFormatting sqref="E55:M55">
    <cfRule type="containsText" dxfId="471" priority="5" operator="containsText" text="false">
      <formula>NOT(ISERROR(SEARCH("false",E55)))</formula>
    </cfRule>
    <cfRule type="containsText" dxfId="470" priority="6" operator="containsText" text="true">
      <formula>NOT(ISERROR(SEARCH("true",E55)))</formula>
    </cfRule>
  </conditionalFormatting>
  <conditionalFormatting sqref="E26:N39">
    <cfRule type="containsBlanks" dxfId="469" priority="3">
      <formula>LEN(TRIM(E26))=0</formula>
    </cfRule>
    <cfRule type="cellIs" dxfId="468" priority="4" operator="equal">
      <formula>0</formula>
    </cfRule>
  </conditionalFormatting>
  <conditionalFormatting sqref="F48:M48">
    <cfRule type="containsBlanks" dxfId="467" priority="23">
      <formula>LEN(TRIM(F48))=0</formula>
    </cfRule>
    <cfRule type="cellIs" dxfId="466" priority="24" operator="equal">
      <formula>0</formula>
    </cfRule>
  </conditionalFormatting>
  <conditionalFormatting sqref="F50:M52">
    <cfRule type="containsBlanks" dxfId="465" priority="19">
      <formula>LEN(TRIM(F50))=0</formula>
    </cfRule>
    <cfRule type="cellIs" dxfId="464" priority="20" operator="equal">
      <formula>0</formula>
    </cfRule>
  </conditionalFormatting>
  <conditionalFormatting sqref="N47:N54">
    <cfRule type="containsText" dxfId="463" priority="7" operator="containsText" text="false">
      <formula>NOT(ISERROR(SEARCH("false",N47)))</formula>
    </cfRule>
    <cfRule type="containsText" dxfId="462" priority="8" operator="containsText" text="true">
      <formula>NOT(ISERROR(SEARCH("true",N47)))</formula>
    </cfRule>
  </conditionalFormatting>
  <conditionalFormatting sqref="N55">
    <cfRule type="containsBlanks" dxfId="461" priority="13">
      <formula>LEN(TRIM(N55))=0</formula>
    </cfRule>
    <cfRule type="cellIs" dxfId="460" priority="14" operator="equal">
      <formula>0</formula>
    </cfRule>
  </conditionalFormatting>
  <conditionalFormatting sqref="O26:O40">
    <cfRule type="containsText" dxfId="459" priority="9" operator="containsText" text="false">
      <formula>NOT(ISERROR(SEARCH("false",O26)))</formula>
    </cfRule>
    <cfRule type="containsText" dxfId="458" priority="10" operator="containsText" text="true">
      <formula>NOT(ISERROR(SEARCH("true",O26)))</formula>
    </cfRule>
  </conditionalFormatting>
  <conditionalFormatting sqref="O42">
    <cfRule type="cellIs" dxfId="457" priority="1" operator="notEqual">
      <formula>100</formula>
    </cfRule>
    <cfRule type="cellIs" dxfId="456" priority="2" operator="equal">
      <formula>100</formula>
    </cfRule>
  </conditionalFormatting>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sheetPr>
  <dimension ref="B2:AB57"/>
  <sheetViews>
    <sheetView zoomScale="50" zoomScaleNormal="50" workbookViewId="0">
      <selection activeCell="M12" sqref="M12"/>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9.14062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246</v>
      </c>
      <c r="J6" s="43" t="s">
        <v>278</v>
      </c>
      <c r="K6" s="1" t="s">
        <v>110</v>
      </c>
    </row>
    <row r="7" spans="2:26" ht="72.599999999999994" customHeight="1" thickBot="1" x14ac:dyDescent="0.3">
      <c r="B7" s="160"/>
      <c r="C7" s="161"/>
      <c r="D7" s="43" t="s">
        <v>279</v>
      </c>
      <c r="E7" s="1">
        <v>5</v>
      </c>
      <c r="F7" s="43" t="s">
        <v>280</v>
      </c>
      <c r="G7" s="1">
        <v>9</v>
      </c>
      <c r="H7" s="43" t="s">
        <v>281</v>
      </c>
      <c r="I7" s="1">
        <v>2</v>
      </c>
      <c r="J7" s="43" t="s">
        <v>283</v>
      </c>
      <c r="K7" s="1" t="s">
        <v>1220</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129" t="s">
        <v>297</v>
      </c>
      <c r="D11" s="130" t="s">
        <v>1720</v>
      </c>
      <c r="E11" s="129" t="s">
        <v>7</v>
      </c>
      <c r="F11" s="131"/>
      <c r="G11" s="132"/>
      <c r="H11" s="132">
        <v>0.6</v>
      </c>
      <c r="I11" s="132">
        <v>1</v>
      </c>
      <c r="J11" s="133" t="s">
        <v>1221</v>
      </c>
      <c r="K11" s="133" t="s">
        <v>1222</v>
      </c>
      <c r="U11" s="3">
        <f>F11</f>
        <v>0</v>
      </c>
      <c r="V11" s="2" t="str">
        <f t="shared" ref="V11:V19" si="0">C11</f>
        <v>K1.1</v>
      </c>
      <c r="W11" s="2"/>
      <c r="X11" s="17"/>
      <c r="Y11" s="37"/>
      <c r="Z11" s="37"/>
    </row>
    <row r="12" spans="2:26" ht="172.5" customHeight="1" x14ac:dyDescent="0.25">
      <c r="B12" s="36"/>
      <c r="C12" s="134" t="s">
        <v>644</v>
      </c>
      <c r="D12" s="135" t="s">
        <v>1223</v>
      </c>
      <c r="E12" s="134" t="s">
        <v>18</v>
      </c>
      <c r="F12" s="136"/>
      <c r="G12" s="137"/>
      <c r="H12" s="132">
        <v>0.6</v>
      </c>
      <c r="I12" s="132">
        <v>1</v>
      </c>
      <c r="J12" s="133" t="s">
        <v>1224</v>
      </c>
      <c r="K12" s="133" t="s">
        <v>900</v>
      </c>
      <c r="U12" s="6">
        <f>F12</f>
        <v>0</v>
      </c>
      <c r="V12" s="2" t="str">
        <f t="shared" si="0"/>
        <v>S1.1</v>
      </c>
      <c r="W12" s="5"/>
      <c r="X12" s="4"/>
      <c r="Y12" s="38"/>
      <c r="Z12" s="38"/>
    </row>
    <row r="13" spans="2:26" ht="58.9" customHeight="1" x14ac:dyDescent="0.25">
      <c r="B13" s="36"/>
      <c r="C13" s="134" t="s">
        <v>1225</v>
      </c>
      <c r="D13" s="135" t="s">
        <v>1226</v>
      </c>
      <c r="E13" s="134" t="s">
        <v>27</v>
      </c>
      <c r="F13" s="136"/>
      <c r="G13" s="137"/>
      <c r="H13" s="132">
        <v>0.6</v>
      </c>
      <c r="I13" s="132">
        <v>1</v>
      </c>
      <c r="J13" s="138" t="s">
        <v>1227</v>
      </c>
      <c r="K13" s="138" t="s">
        <v>818</v>
      </c>
      <c r="U13" s="6">
        <f>F13</f>
        <v>0</v>
      </c>
      <c r="V13" s="2" t="str">
        <f t="shared" si="0"/>
        <v>S5. 1</v>
      </c>
      <c r="W13" s="5"/>
      <c r="X13" s="4"/>
      <c r="Y13" s="38"/>
      <c r="Z13" s="38"/>
    </row>
    <row r="14" spans="2:26" ht="58.9" customHeight="1" x14ac:dyDescent="0.25">
      <c r="B14" s="36"/>
      <c r="C14" s="134" t="s">
        <v>441</v>
      </c>
      <c r="D14" s="135" t="s">
        <v>1228</v>
      </c>
      <c r="E14" s="134" t="s">
        <v>39</v>
      </c>
      <c r="F14" s="136"/>
      <c r="G14" s="137"/>
      <c r="H14" s="132">
        <v>0.6</v>
      </c>
      <c r="I14" s="132">
        <v>1</v>
      </c>
      <c r="J14" s="138" t="s">
        <v>1229</v>
      </c>
      <c r="K14" s="138" t="s">
        <v>1230</v>
      </c>
      <c r="U14" s="6">
        <f>F14</f>
        <v>0</v>
      </c>
      <c r="V14" s="2" t="str">
        <f t="shared" si="0"/>
        <v>S6.1</v>
      </c>
      <c r="W14" s="5"/>
      <c r="X14" s="4"/>
      <c r="Y14" s="38"/>
      <c r="Z14" s="38"/>
    </row>
    <row r="15" spans="2:26" ht="58.9" customHeight="1" x14ac:dyDescent="0.25">
      <c r="B15" s="36"/>
      <c r="C15" s="134" t="s">
        <v>300</v>
      </c>
      <c r="D15" s="135" t="s">
        <v>1231</v>
      </c>
      <c r="E15" s="134" t="s">
        <v>44</v>
      </c>
      <c r="F15" s="136"/>
      <c r="G15" s="137"/>
      <c r="H15" s="132">
        <v>0.6</v>
      </c>
      <c r="I15" s="132">
        <v>1</v>
      </c>
      <c r="J15" s="138" t="s">
        <v>1232</v>
      </c>
      <c r="K15" s="138" t="s">
        <v>818</v>
      </c>
      <c r="U15" s="6">
        <f>F15</f>
        <v>0</v>
      </c>
      <c r="V15" s="2" t="str">
        <f t="shared" si="0"/>
        <v>V1.1</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S1.1</v>
      </c>
      <c r="H25" s="49" t="str">
        <f>C13</f>
        <v>S5. 1</v>
      </c>
      <c r="I25" s="49" t="str">
        <f>C14</f>
        <v>S6.1</v>
      </c>
      <c r="J25" s="49" t="str">
        <f>C15</f>
        <v>V1.1</v>
      </c>
      <c r="K25" s="49">
        <f>C16</f>
        <v>0</v>
      </c>
      <c r="L25" s="49">
        <f>C17</f>
        <v>0</v>
      </c>
      <c r="M25" s="49">
        <f>C18</f>
        <v>0</v>
      </c>
      <c r="N25" s="49">
        <f>C19</f>
        <v>0</v>
      </c>
      <c r="O25" s="50" t="s">
        <v>305</v>
      </c>
    </row>
    <row r="26" spans="2:26" ht="30.4" customHeight="1" thickBot="1" x14ac:dyDescent="0.3">
      <c r="C26" s="51" t="s">
        <v>306</v>
      </c>
      <c r="D26" s="83" t="s">
        <v>1233</v>
      </c>
      <c r="E26" s="8">
        <v>2</v>
      </c>
      <c r="F26" s="8">
        <v>2</v>
      </c>
      <c r="G26" s="8"/>
      <c r="H26" s="8"/>
      <c r="I26" s="8"/>
      <c r="J26" s="8"/>
      <c r="K26" s="8"/>
      <c r="L26" s="8"/>
      <c r="M26" s="8"/>
      <c r="N26" s="8"/>
      <c r="O26" s="53" t="b">
        <f t="shared" ref="O26:O40" si="1">IF(SUM(F26:N26)=E26,TRUE,"false")</f>
        <v>1</v>
      </c>
    </row>
    <row r="27" spans="2:26" ht="30.4" customHeight="1" thickBot="1" x14ac:dyDescent="0.3">
      <c r="C27" s="51" t="s">
        <v>307</v>
      </c>
      <c r="D27" s="83" t="s">
        <v>1234</v>
      </c>
      <c r="E27" s="8">
        <v>2</v>
      </c>
      <c r="F27" s="8">
        <v>1</v>
      </c>
      <c r="G27" s="8">
        <v>1</v>
      </c>
      <c r="H27" s="8"/>
      <c r="I27" s="8"/>
      <c r="J27" s="8"/>
      <c r="K27" s="8"/>
      <c r="L27" s="8"/>
      <c r="M27" s="8"/>
      <c r="N27" s="8"/>
      <c r="O27" s="53" t="b">
        <f t="shared" si="1"/>
        <v>1</v>
      </c>
    </row>
    <row r="28" spans="2:26" ht="30.4" customHeight="1" thickBot="1" x14ac:dyDescent="0.3">
      <c r="C28" s="51" t="s">
        <v>308</v>
      </c>
      <c r="D28" s="83" t="s">
        <v>1235</v>
      </c>
      <c r="E28" s="8">
        <v>2</v>
      </c>
      <c r="F28" s="8">
        <v>1</v>
      </c>
      <c r="G28" s="8">
        <v>1</v>
      </c>
      <c r="H28" s="8"/>
      <c r="I28" s="8"/>
      <c r="J28" s="8"/>
      <c r="K28" s="8"/>
      <c r="L28" s="8"/>
      <c r="M28" s="8"/>
      <c r="N28" s="8"/>
      <c r="O28" s="53" t="b">
        <f t="shared" si="1"/>
        <v>1</v>
      </c>
    </row>
    <row r="29" spans="2:26" ht="30.4" customHeight="1" thickBot="1" x14ac:dyDescent="0.3">
      <c r="C29" s="51" t="s">
        <v>309</v>
      </c>
      <c r="D29" s="83" t="s">
        <v>1236</v>
      </c>
      <c r="E29" s="8">
        <v>2</v>
      </c>
      <c r="F29" s="8"/>
      <c r="G29" s="8"/>
      <c r="H29" s="8"/>
      <c r="I29" s="8">
        <v>2</v>
      </c>
      <c r="J29" s="8"/>
      <c r="K29" s="8"/>
      <c r="L29" s="8"/>
      <c r="M29" s="8"/>
      <c r="N29" s="8"/>
      <c r="O29" s="53" t="b">
        <f t="shared" si="1"/>
        <v>1</v>
      </c>
    </row>
    <row r="30" spans="2:26" ht="30.4" customHeight="1" thickBot="1" x14ac:dyDescent="0.3">
      <c r="C30" s="51" t="s">
        <v>310</v>
      </c>
      <c r="D30" s="83" t="s">
        <v>1237</v>
      </c>
      <c r="E30" s="8">
        <v>2</v>
      </c>
      <c r="F30" s="8">
        <v>2</v>
      </c>
      <c r="G30" s="8"/>
      <c r="H30" s="8"/>
      <c r="I30" s="8"/>
      <c r="J30" s="8"/>
      <c r="K30" s="8"/>
      <c r="L30" s="8"/>
      <c r="M30" s="8"/>
      <c r="N30" s="8"/>
      <c r="O30" s="53" t="b">
        <f t="shared" si="1"/>
        <v>1</v>
      </c>
    </row>
    <row r="31" spans="2:26" ht="30.4" customHeight="1" thickBot="1" x14ac:dyDescent="0.3">
      <c r="C31" s="51" t="s">
        <v>311</v>
      </c>
      <c r="D31" s="83" t="s">
        <v>1238</v>
      </c>
      <c r="E31" s="8">
        <v>2</v>
      </c>
      <c r="F31" s="8"/>
      <c r="G31" s="8">
        <v>1</v>
      </c>
      <c r="H31" s="8">
        <v>1</v>
      </c>
      <c r="I31" s="8"/>
      <c r="J31" s="8"/>
      <c r="K31" s="8"/>
      <c r="L31" s="8"/>
      <c r="M31" s="8"/>
      <c r="N31" s="8"/>
      <c r="O31" s="53" t="b">
        <f t="shared" si="1"/>
        <v>1</v>
      </c>
    </row>
    <row r="32" spans="2:26" ht="30.4" customHeight="1" thickBot="1" x14ac:dyDescent="0.3">
      <c r="C32" s="51" t="s">
        <v>312</v>
      </c>
      <c r="D32" s="83" t="s">
        <v>1239</v>
      </c>
      <c r="E32" s="8">
        <v>2</v>
      </c>
      <c r="F32" s="8"/>
      <c r="G32" s="8">
        <v>1</v>
      </c>
      <c r="H32" s="8">
        <v>1</v>
      </c>
      <c r="I32" s="8"/>
      <c r="J32" s="8"/>
      <c r="K32" s="8"/>
      <c r="L32" s="8"/>
      <c r="M32" s="8"/>
      <c r="N32" s="8"/>
      <c r="O32" s="53" t="b">
        <f t="shared" si="1"/>
        <v>1</v>
      </c>
    </row>
    <row r="33" spans="2:15" ht="30.4" customHeight="1" thickBot="1" x14ac:dyDescent="0.3">
      <c r="C33" s="51" t="s">
        <v>313</v>
      </c>
      <c r="D33" s="83" t="s">
        <v>1240</v>
      </c>
      <c r="E33" s="8">
        <v>2</v>
      </c>
      <c r="F33" s="8">
        <v>1</v>
      </c>
      <c r="G33" s="8"/>
      <c r="H33" s="8"/>
      <c r="I33" s="8">
        <v>1</v>
      </c>
      <c r="J33" s="8"/>
      <c r="K33" s="8"/>
      <c r="L33" s="8"/>
      <c r="M33" s="8"/>
      <c r="N33" s="8"/>
      <c r="O33" s="53" t="b">
        <f t="shared" si="1"/>
        <v>1</v>
      </c>
    </row>
    <row r="34" spans="2:15" ht="30.4" customHeight="1" thickBot="1" x14ac:dyDescent="0.3">
      <c r="C34" s="51" t="s">
        <v>314</v>
      </c>
      <c r="D34" s="83" t="s">
        <v>1241</v>
      </c>
      <c r="E34" s="8">
        <v>2</v>
      </c>
      <c r="F34" s="8">
        <v>1</v>
      </c>
      <c r="G34" s="8"/>
      <c r="H34" s="8"/>
      <c r="I34" s="8"/>
      <c r="J34" s="8">
        <v>1</v>
      </c>
      <c r="K34" s="8"/>
      <c r="L34" s="8"/>
      <c r="M34" s="8"/>
      <c r="N34" s="8"/>
      <c r="O34" s="53" t="b">
        <f t="shared" si="1"/>
        <v>1</v>
      </c>
    </row>
    <row r="35" spans="2:15" ht="30.4" customHeight="1" thickBot="1" x14ac:dyDescent="0.3">
      <c r="C35" s="51" t="s">
        <v>315</v>
      </c>
      <c r="D35" s="83" t="s">
        <v>1242</v>
      </c>
      <c r="E35" s="8">
        <v>2</v>
      </c>
      <c r="F35" s="8">
        <v>1</v>
      </c>
      <c r="G35" s="8">
        <v>1</v>
      </c>
      <c r="H35" s="8"/>
      <c r="I35" s="8"/>
      <c r="J35" s="8"/>
      <c r="K35" s="8"/>
      <c r="L35" s="8"/>
      <c r="M35" s="8"/>
      <c r="N35" s="8"/>
      <c r="O35" s="53" t="b">
        <f t="shared" si="1"/>
        <v>1</v>
      </c>
    </row>
    <row r="36" spans="2:15" ht="30.4" customHeight="1" thickBot="1" x14ac:dyDescent="0.3">
      <c r="C36" s="51" t="s">
        <v>316</v>
      </c>
      <c r="D36" s="83" t="s">
        <v>1243</v>
      </c>
      <c r="E36" s="8">
        <v>2</v>
      </c>
      <c r="F36" s="8"/>
      <c r="G36" s="8"/>
      <c r="H36" s="8">
        <v>1</v>
      </c>
      <c r="I36" s="8">
        <v>1</v>
      </c>
      <c r="J36" s="8"/>
      <c r="K36" s="8"/>
      <c r="L36" s="8"/>
      <c r="M36" s="8"/>
      <c r="N36" s="8"/>
      <c r="O36" s="53" t="b">
        <f t="shared" si="1"/>
        <v>1</v>
      </c>
    </row>
    <row r="37" spans="2:15" ht="30.4" customHeight="1" thickBot="1" x14ac:dyDescent="0.3">
      <c r="C37" s="51" t="s">
        <v>317</v>
      </c>
      <c r="D37" s="83" t="s">
        <v>1244</v>
      </c>
      <c r="E37" s="8">
        <v>8</v>
      </c>
      <c r="F37" s="8">
        <v>3</v>
      </c>
      <c r="G37" s="8">
        <v>2</v>
      </c>
      <c r="H37" s="8"/>
      <c r="I37" s="8">
        <v>1</v>
      </c>
      <c r="J37" s="8">
        <v>2</v>
      </c>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12</v>
      </c>
      <c r="G40" s="52">
        <f t="shared" si="2"/>
        <v>7</v>
      </c>
      <c r="H40" s="52">
        <f t="shared" si="2"/>
        <v>3</v>
      </c>
      <c r="I40" s="52">
        <f t="shared" si="2"/>
        <v>5</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0.4</v>
      </c>
      <c r="G41" s="54">
        <f>ROUND(G40/E40,2)</f>
        <v>0.23</v>
      </c>
      <c r="H41" s="54">
        <f>ROUND(H40/E40,2)</f>
        <v>0.1</v>
      </c>
      <c r="I41" s="54">
        <f>ROUND(I40/E40,2)</f>
        <v>0.17</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7">
        <v>40</v>
      </c>
      <c r="G42" s="7">
        <v>25</v>
      </c>
      <c r="H42" s="7">
        <v>10</v>
      </c>
      <c r="I42" s="7">
        <v>15</v>
      </c>
      <c r="J42" s="7">
        <v>10</v>
      </c>
      <c r="K42" s="7"/>
      <c r="L42" s="7">
        <v>0</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S1.1</v>
      </c>
      <c r="G46" s="59" t="str">
        <f>C13</f>
        <v>S5. 1</v>
      </c>
      <c r="H46" s="59" t="str">
        <f>C14</f>
        <v>S6.1</v>
      </c>
      <c r="I46" s="59" t="str">
        <f>C15</f>
        <v>V1.1</v>
      </c>
      <c r="J46" s="59">
        <f>C16</f>
        <v>0</v>
      </c>
      <c r="K46" s="59">
        <f>C17</f>
        <v>0</v>
      </c>
      <c r="L46" s="59">
        <f>C18</f>
        <v>0</v>
      </c>
      <c r="M46" s="59">
        <f>C19</f>
        <v>0</v>
      </c>
      <c r="N46" s="60" t="s">
        <v>327</v>
      </c>
    </row>
    <row r="47" spans="2:15" ht="55.15" customHeight="1" x14ac:dyDescent="0.25">
      <c r="C47" s="9" t="s">
        <v>328</v>
      </c>
      <c r="D47" s="10">
        <v>25</v>
      </c>
      <c r="E47" s="8">
        <v>15</v>
      </c>
      <c r="F47" s="8">
        <v>10</v>
      </c>
      <c r="G47" s="8"/>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c r="E49" s="11"/>
      <c r="F49" s="12"/>
      <c r="G49" s="12"/>
      <c r="H49" s="12"/>
      <c r="I49" s="12"/>
      <c r="J49" s="12"/>
      <c r="K49" s="12"/>
      <c r="L49" s="12"/>
      <c r="M49" s="12"/>
      <c r="N49" s="55" t="b">
        <f t="shared" si="3"/>
        <v>1</v>
      </c>
    </row>
    <row r="50" spans="3:14" ht="55.15" customHeight="1" x14ac:dyDescent="0.25">
      <c r="C50" s="9" t="s">
        <v>818</v>
      </c>
      <c r="D50" s="10">
        <v>10</v>
      </c>
      <c r="E50" s="11"/>
      <c r="F50" s="12"/>
      <c r="G50" s="12">
        <v>5</v>
      </c>
      <c r="H50" s="12"/>
      <c r="I50" s="12">
        <v>5</v>
      </c>
      <c r="J50" s="12"/>
      <c r="K50" s="12"/>
      <c r="L50" s="12"/>
      <c r="M50" s="12"/>
      <c r="N50" s="55" t="b">
        <f t="shared" si="3"/>
        <v>1</v>
      </c>
    </row>
    <row r="51" spans="3:14" ht="55.15" customHeight="1" x14ac:dyDescent="0.25">
      <c r="C51" s="9" t="s">
        <v>332</v>
      </c>
      <c r="D51" s="10">
        <v>10</v>
      </c>
      <c r="E51" s="11"/>
      <c r="F51" s="12"/>
      <c r="G51" s="12"/>
      <c r="H51" s="12">
        <v>10</v>
      </c>
      <c r="I51" s="12"/>
      <c r="J51" s="12"/>
      <c r="K51" s="12"/>
      <c r="L51" s="12"/>
      <c r="M51" s="12"/>
      <c r="N51" s="55" t="b">
        <f t="shared" si="3"/>
        <v>1</v>
      </c>
    </row>
    <row r="52" spans="3:14" ht="55.15" customHeight="1" x14ac:dyDescent="0.25">
      <c r="C52" s="9" t="s">
        <v>504</v>
      </c>
      <c r="D52" s="10">
        <v>50</v>
      </c>
      <c r="E52" s="11">
        <v>20</v>
      </c>
      <c r="F52" s="12">
        <v>15</v>
      </c>
      <c r="G52" s="12">
        <v>5</v>
      </c>
      <c r="H52" s="12">
        <v>5</v>
      </c>
      <c r="I52" s="12">
        <v>5</v>
      </c>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40</v>
      </c>
      <c r="F56" s="65">
        <f t="shared" si="5"/>
        <v>25</v>
      </c>
      <c r="G56" s="65">
        <f t="shared" si="5"/>
        <v>10</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455" priority="11">
      <formula>LEN(TRIM(D47))=0</formula>
    </cfRule>
    <cfRule type="cellIs" dxfId="454" priority="12" operator="equal">
      <formula>0</formula>
    </cfRule>
  </conditionalFormatting>
  <conditionalFormatting sqref="E50">
    <cfRule type="containsBlanks" dxfId="453" priority="21">
      <formula>LEN(TRIM(E50))=0</formula>
    </cfRule>
    <cfRule type="cellIs" dxfId="452" priority="22" operator="equal">
      <formula>0</formula>
    </cfRule>
  </conditionalFormatting>
  <conditionalFormatting sqref="E47:M51 E52">
    <cfRule type="containsBlanks" dxfId="451" priority="17">
      <formula>LEN(TRIM(E47))=0</formula>
    </cfRule>
    <cfRule type="cellIs" dxfId="450" priority="18" operator="equal">
      <formula>0</formula>
    </cfRule>
  </conditionalFormatting>
  <conditionalFormatting sqref="E53:M54">
    <cfRule type="containsBlanks" dxfId="449" priority="15">
      <formula>LEN(TRIM(E53))=0</formula>
    </cfRule>
    <cfRule type="cellIs" dxfId="448" priority="16" operator="equal">
      <formula>0</formula>
    </cfRule>
  </conditionalFormatting>
  <conditionalFormatting sqref="E55:M55">
    <cfRule type="containsText" dxfId="447" priority="5" operator="containsText" text="false">
      <formula>NOT(ISERROR(SEARCH("false",E55)))</formula>
    </cfRule>
    <cfRule type="containsText" dxfId="446" priority="6" operator="containsText" text="true">
      <formula>NOT(ISERROR(SEARCH("true",E55)))</formula>
    </cfRule>
  </conditionalFormatting>
  <conditionalFormatting sqref="E26:N39">
    <cfRule type="containsBlanks" dxfId="445" priority="3">
      <formula>LEN(TRIM(E26))=0</formula>
    </cfRule>
    <cfRule type="cellIs" dxfId="444" priority="4" operator="equal">
      <formula>0</formula>
    </cfRule>
  </conditionalFormatting>
  <conditionalFormatting sqref="F48:M48">
    <cfRule type="containsBlanks" dxfId="443" priority="23">
      <formula>LEN(TRIM(F48))=0</formula>
    </cfRule>
    <cfRule type="cellIs" dxfId="442" priority="24" operator="equal">
      <formula>0</formula>
    </cfRule>
  </conditionalFormatting>
  <conditionalFormatting sqref="F50:M52">
    <cfRule type="containsBlanks" dxfId="441" priority="19">
      <formula>LEN(TRIM(F50))=0</formula>
    </cfRule>
    <cfRule type="cellIs" dxfId="440" priority="20" operator="equal">
      <formula>0</formula>
    </cfRule>
  </conditionalFormatting>
  <conditionalFormatting sqref="N47:N54">
    <cfRule type="containsText" dxfId="439" priority="7" operator="containsText" text="false">
      <formula>NOT(ISERROR(SEARCH("false",N47)))</formula>
    </cfRule>
    <cfRule type="containsText" dxfId="438" priority="8" operator="containsText" text="true">
      <formula>NOT(ISERROR(SEARCH("true",N47)))</formula>
    </cfRule>
  </conditionalFormatting>
  <conditionalFormatting sqref="N55">
    <cfRule type="containsBlanks" dxfId="437" priority="13">
      <formula>LEN(TRIM(N55))=0</formula>
    </cfRule>
    <cfRule type="cellIs" dxfId="436" priority="14" operator="equal">
      <formula>0</formula>
    </cfRule>
  </conditionalFormatting>
  <conditionalFormatting sqref="O26:O40">
    <cfRule type="containsText" dxfId="435" priority="9" operator="containsText" text="false">
      <formula>NOT(ISERROR(SEARCH("false",O26)))</formula>
    </cfRule>
    <cfRule type="containsText" dxfId="434" priority="10" operator="containsText" text="true">
      <formula>NOT(ISERROR(SEARCH("true",O26)))</formula>
    </cfRule>
  </conditionalFormatting>
  <conditionalFormatting sqref="O42">
    <cfRule type="cellIs" dxfId="433" priority="1" operator="notEqual">
      <formula>100</formula>
    </cfRule>
    <cfRule type="cellIs" dxfId="432" priority="2" operator="equal">
      <formula>100</formula>
    </cfRule>
  </conditionalFormatting>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00B050"/>
  </sheetPr>
  <dimension ref="B2:AB57"/>
  <sheetViews>
    <sheetView zoomScale="51" zoomScaleNormal="51"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248</v>
      </c>
      <c r="J6" s="43" t="s">
        <v>278</v>
      </c>
      <c r="K6" s="1" t="s">
        <v>111</v>
      </c>
    </row>
    <row r="7" spans="2:26" ht="72.599999999999994" customHeight="1" thickBot="1" x14ac:dyDescent="0.3">
      <c r="B7" s="160"/>
      <c r="C7" s="161"/>
      <c r="D7" s="43" t="s">
        <v>279</v>
      </c>
      <c r="E7" s="1">
        <v>5</v>
      </c>
      <c r="F7" s="43" t="s">
        <v>280</v>
      </c>
      <c r="G7" s="1">
        <v>9</v>
      </c>
      <c r="H7" s="43" t="s">
        <v>281</v>
      </c>
      <c r="I7" s="1">
        <v>2</v>
      </c>
      <c r="J7" s="43" t="s">
        <v>283</v>
      </c>
      <c r="K7" s="1" t="s">
        <v>895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2" t="s">
        <v>1245</v>
      </c>
      <c r="D11" s="78" t="s">
        <v>1246</v>
      </c>
      <c r="E11" s="2" t="s">
        <v>13</v>
      </c>
      <c r="F11" s="3"/>
      <c r="G11" s="17"/>
      <c r="H11" s="17">
        <v>0.6</v>
      </c>
      <c r="I11" s="17">
        <v>1</v>
      </c>
      <c r="J11" s="80" t="s">
        <v>1247</v>
      </c>
      <c r="K11" s="80" t="s">
        <v>1248</v>
      </c>
      <c r="U11" s="3">
        <f>F11</f>
        <v>0</v>
      </c>
      <c r="V11" s="2" t="str">
        <f t="shared" ref="V11:V19" si="0">C11</f>
        <v>K3 .1</v>
      </c>
      <c r="W11" s="2"/>
      <c r="X11" s="17"/>
      <c r="Y11" s="37"/>
      <c r="Z11" s="37"/>
    </row>
    <row r="12" spans="2:26" ht="172.5" customHeight="1" x14ac:dyDescent="0.25">
      <c r="B12" s="36"/>
      <c r="C12" s="5" t="s">
        <v>644</v>
      </c>
      <c r="D12" s="79" t="s">
        <v>1249</v>
      </c>
      <c r="E12" s="5" t="s">
        <v>18</v>
      </c>
      <c r="F12" s="6"/>
      <c r="G12" s="4"/>
      <c r="H12" s="17">
        <v>0.6</v>
      </c>
      <c r="I12" s="17">
        <v>1</v>
      </c>
      <c r="J12" s="80" t="s">
        <v>1250</v>
      </c>
      <c r="K12" s="80" t="s">
        <v>1251</v>
      </c>
      <c r="U12" s="6">
        <f>F12</f>
        <v>0</v>
      </c>
      <c r="V12" s="2" t="str">
        <f t="shared" si="0"/>
        <v>S1.1</v>
      </c>
      <c r="W12" s="5"/>
      <c r="X12" s="4"/>
      <c r="Y12" s="38"/>
      <c r="Z12" s="38"/>
    </row>
    <row r="13" spans="2:26" ht="58.9" customHeight="1" x14ac:dyDescent="0.25">
      <c r="B13" s="36"/>
      <c r="C13" s="5" t="s">
        <v>1225</v>
      </c>
      <c r="D13" s="79" t="s">
        <v>1656</v>
      </c>
      <c r="E13" s="5" t="s">
        <v>27</v>
      </c>
      <c r="F13" s="6"/>
      <c r="G13" s="4"/>
      <c r="H13" s="17">
        <v>0.6</v>
      </c>
      <c r="I13" s="17">
        <v>1</v>
      </c>
      <c r="J13" s="81" t="s">
        <v>1252</v>
      </c>
      <c r="K13" s="81" t="s">
        <v>818</v>
      </c>
      <c r="U13" s="6">
        <f>F13</f>
        <v>0</v>
      </c>
      <c r="V13" s="2" t="str">
        <f t="shared" si="0"/>
        <v>S5. 1</v>
      </c>
      <c r="W13" s="5"/>
      <c r="X13" s="4"/>
      <c r="Y13" s="38"/>
      <c r="Z13" s="38"/>
    </row>
    <row r="14" spans="2:26" ht="58.9" customHeight="1" x14ac:dyDescent="0.25">
      <c r="B14" s="36"/>
      <c r="C14" s="5" t="s">
        <v>300</v>
      </c>
      <c r="D14" s="79" t="s">
        <v>1253</v>
      </c>
      <c r="E14" s="5" t="s">
        <v>44</v>
      </c>
      <c r="F14" s="6"/>
      <c r="G14" s="4"/>
      <c r="H14" s="17">
        <v>0.6</v>
      </c>
      <c r="I14" s="17">
        <v>1</v>
      </c>
      <c r="J14" s="81" t="s">
        <v>1254</v>
      </c>
      <c r="K14" s="81" t="s">
        <v>1255</v>
      </c>
      <c r="U14" s="6">
        <f>F14</f>
        <v>0</v>
      </c>
      <c r="V14" s="2" t="str">
        <f t="shared" si="0"/>
        <v>V1.1</v>
      </c>
      <c r="W14" s="5"/>
      <c r="X14" s="4"/>
      <c r="Y14" s="38"/>
      <c r="Z14" s="38"/>
    </row>
    <row r="15" spans="2:26" ht="58.9" customHeight="1" x14ac:dyDescent="0.25">
      <c r="B15" s="36"/>
      <c r="C15" s="5"/>
      <c r="D15" s="79"/>
      <c r="E15" s="5"/>
      <c r="F15" s="6"/>
      <c r="G15" s="4"/>
      <c r="H15" s="17"/>
      <c r="I15" s="17"/>
      <c r="J15" s="81"/>
      <c r="K15" s="81"/>
      <c r="U15" s="6">
        <f>F15</f>
        <v>0</v>
      </c>
      <c r="V15" s="2">
        <f t="shared" si="0"/>
        <v>0</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K3 .1</v>
      </c>
      <c r="G25" s="49" t="str">
        <f>C12</f>
        <v>S1.1</v>
      </c>
      <c r="H25" s="49" t="str">
        <f>C13</f>
        <v>S5. 1</v>
      </c>
      <c r="I25" s="49" t="str">
        <f>C14</f>
        <v>V1.1</v>
      </c>
      <c r="J25" s="49">
        <f>C15</f>
        <v>0</v>
      </c>
      <c r="K25" s="49">
        <f>C16</f>
        <v>0</v>
      </c>
      <c r="L25" s="49">
        <f>C17</f>
        <v>0</v>
      </c>
      <c r="M25" s="49">
        <f>C18</f>
        <v>0</v>
      </c>
      <c r="N25" s="49">
        <f>C19</f>
        <v>0</v>
      </c>
      <c r="O25" s="50" t="s">
        <v>305</v>
      </c>
    </row>
    <row r="26" spans="2:26" ht="30.4" customHeight="1" thickBot="1" x14ac:dyDescent="0.3">
      <c r="C26" s="51" t="s">
        <v>306</v>
      </c>
      <c r="D26" s="83" t="s">
        <v>1256</v>
      </c>
      <c r="E26" s="8">
        <v>1</v>
      </c>
      <c r="F26" s="8">
        <v>1</v>
      </c>
      <c r="G26" s="8"/>
      <c r="H26" s="8"/>
      <c r="I26" s="8"/>
      <c r="J26" s="8"/>
      <c r="K26" s="8"/>
      <c r="L26" s="8"/>
      <c r="M26" s="8"/>
      <c r="N26" s="8"/>
      <c r="O26" s="53" t="b">
        <f t="shared" ref="O26:O40" si="1">IF(SUM(F26:N26)=E26,TRUE,"false")</f>
        <v>1</v>
      </c>
    </row>
    <row r="27" spans="2:26" ht="30.4" customHeight="1" thickBot="1" x14ac:dyDescent="0.3">
      <c r="C27" s="51" t="s">
        <v>307</v>
      </c>
      <c r="D27" s="83" t="s">
        <v>1257</v>
      </c>
      <c r="E27" s="8">
        <v>5</v>
      </c>
      <c r="F27" s="8">
        <v>2</v>
      </c>
      <c r="G27" s="8">
        <v>1</v>
      </c>
      <c r="H27" s="8">
        <v>1</v>
      </c>
      <c r="I27" s="8">
        <v>1</v>
      </c>
      <c r="J27" s="8"/>
      <c r="K27" s="8"/>
      <c r="L27" s="8"/>
      <c r="M27" s="8"/>
      <c r="N27" s="8"/>
      <c r="O27" s="53" t="b">
        <f t="shared" si="1"/>
        <v>1</v>
      </c>
    </row>
    <row r="28" spans="2:26" ht="30.4" customHeight="1" thickBot="1" x14ac:dyDescent="0.3">
      <c r="C28" s="51" t="s">
        <v>308</v>
      </c>
      <c r="D28" s="83" t="s">
        <v>1258</v>
      </c>
      <c r="E28" s="8">
        <v>4</v>
      </c>
      <c r="F28" s="8">
        <v>2</v>
      </c>
      <c r="G28" s="8">
        <v>1</v>
      </c>
      <c r="H28" s="8">
        <v>1</v>
      </c>
      <c r="I28" s="8"/>
      <c r="J28" s="8"/>
      <c r="K28" s="8"/>
      <c r="L28" s="8"/>
      <c r="M28" s="8"/>
      <c r="N28" s="8"/>
      <c r="O28" s="53" t="b">
        <f t="shared" si="1"/>
        <v>1</v>
      </c>
    </row>
    <row r="29" spans="2:26" ht="30.4" customHeight="1" thickBot="1" x14ac:dyDescent="0.3">
      <c r="C29" s="51" t="s">
        <v>309</v>
      </c>
      <c r="D29" s="83" t="s">
        <v>1259</v>
      </c>
      <c r="E29" s="8">
        <v>4</v>
      </c>
      <c r="F29" s="8">
        <v>2</v>
      </c>
      <c r="G29" s="8">
        <v>1</v>
      </c>
      <c r="H29" s="8">
        <v>1</v>
      </c>
      <c r="I29" s="8"/>
      <c r="J29" s="8"/>
      <c r="K29" s="8"/>
      <c r="L29" s="8"/>
      <c r="M29" s="8"/>
      <c r="N29" s="8"/>
      <c r="O29" s="53" t="b">
        <f t="shared" si="1"/>
        <v>1</v>
      </c>
    </row>
    <row r="30" spans="2:26" ht="30.4" customHeight="1" thickBot="1" x14ac:dyDescent="0.3">
      <c r="C30" s="51" t="s">
        <v>310</v>
      </c>
      <c r="D30" s="83" t="s">
        <v>1260</v>
      </c>
      <c r="E30" s="8">
        <v>4</v>
      </c>
      <c r="F30" s="8">
        <v>2</v>
      </c>
      <c r="G30" s="8"/>
      <c r="H30" s="8">
        <v>1</v>
      </c>
      <c r="I30" s="8">
        <v>1</v>
      </c>
      <c r="J30" s="8"/>
      <c r="K30" s="8"/>
      <c r="L30" s="8"/>
      <c r="M30" s="8"/>
      <c r="N30" s="8"/>
      <c r="O30" s="53" t="b">
        <f t="shared" si="1"/>
        <v>1</v>
      </c>
    </row>
    <row r="31" spans="2:26" ht="30.4" customHeight="1" thickBot="1" x14ac:dyDescent="0.3">
      <c r="C31" s="51" t="s">
        <v>311</v>
      </c>
      <c r="D31" s="83" t="s">
        <v>1261</v>
      </c>
      <c r="E31" s="8">
        <v>2</v>
      </c>
      <c r="F31" s="8">
        <v>1</v>
      </c>
      <c r="G31" s="8">
        <v>1</v>
      </c>
      <c r="H31" s="8"/>
      <c r="I31" s="8"/>
      <c r="J31" s="8"/>
      <c r="K31" s="8"/>
      <c r="L31" s="8"/>
      <c r="M31" s="8"/>
      <c r="N31" s="8"/>
      <c r="O31" s="53" t="b">
        <f t="shared" si="1"/>
        <v>1</v>
      </c>
    </row>
    <row r="32" spans="2:26" ht="30.4" customHeight="1" thickBot="1" x14ac:dyDescent="0.3">
      <c r="C32" s="51" t="s">
        <v>312</v>
      </c>
      <c r="D32" s="83" t="s">
        <v>1262</v>
      </c>
      <c r="E32" s="8">
        <v>2</v>
      </c>
      <c r="F32" s="8">
        <v>1</v>
      </c>
      <c r="G32" s="8"/>
      <c r="H32" s="8">
        <v>1</v>
      </c>
      <c r="I32" s="8"/>
      <c r="J32" s="8"/>
      <c r="K32" s="8"/>
      <c r="L32" s="8"/>
      <c r="M32" s="8"/>
      <c r="N32" s="8"/>
      <c r="O32" s="53" t="b">
        <f t="shared" si="1"/>
        <v>1</v>
      </c>
    </row>
    <row r="33" spans="2:15" ht="30.4" customHeight="1" thickBot="1" x14ac:dyDescent="0.3">
      <c r="C33" s="51" t="s">
        <v>313</v>
      </c>
      <c r="D33" s="83" t="s">
        <v>1263</v>
      </c>
      <c r="E33" s="8">
        <v>4</v>
      </c>
      <c r="F33" s="8">
        <v>2</v>
      </c>
      <c r="G33" s="8">
        <v>1</v>
      </c>
      <c r="H33" s="8"/>
      <c r="I33" s="8">
        <v>1</v>
      </c>
      <c r="J33" s="8"/>
      <c r="K33" s="8"/>
      <c r="L33" s="8"/>
      <c r="M33" s="8"/>
      <c r="N33" s="8"/>
      <c r="O33" s="53" t="b">
        <f t="shared" si="1"/>
        <v>1</v>
      </c>
    </row>
    <row r="34" spans="2:15" ht="30.4" customHeight="1" thickBot="1" x14ac:dyDescent="0.3">
      <c r="C34" s="51" t="s">
        <v>314</v>
      </c>
      <c r="D34" s="83" t="s">
        <v>1264</v>
      </c>
      <c r="E34" s="8">
        <v>2</v>
      </c>
      <c r="F34" s="8">
        <v>1</v>
      </c>
      <c r="G34" s="8"/>
      <c r="H34" s="8">
        <v>1</v>
      </c>
      <c r="I34" s="8"/>
      <c r="J34" s="8"/>
      <c r="K34" s="8"/>
      <c r="L34" s="8"/>
      <c r="M34" s="8"/>
      <c r="N34" s="8"/>
      <c r="O34" s="53" t="b">
        <f t="shared" si="1"/>
        <v>1</v>
      </c>
    </row>
    <row r="35" spans="2:15" ht="30.4" customHeight="1" thickBot="1" x14ac:dyDescent="0.3">
      <c r="C35" s="51" t="s">
        <v>315</v>
      </c>
      <c r="D35" s="83" t="s">
        <v>1265</v>
      </c>
      <c r="E35" s="8">
        <v>2</v>
      </c>
      <c r="F35" s="8">
        <v>1</v>
      </c>
      <c r="G35" s="8">
        <v>1</v>
      </c>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30</v>
      </c>
      <c r="F40" s="52">
        <f t="shared" si="2"/>
        <v>15</v>
      </c>
      <c r="G40" s="52">
        <f t="shared" si="2"/>
        <v>6</v>
      </c>
      <c r="H40" s="52">
        <f t="shared" si="2"/>
        <v>6</v>
      </c>
      <c r="I40" s="52">
        <f t="shared" si="2"/>
        <v>3</v>
      </c>
      <c r="J40" s="52">
        <f t="shared" si="2"/>
        <v>0</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0.5</v>
      </c>
      <c r="G41" s="54">
        <f>ROUND(G40/E40,2)</f>
        <v>0.2</v>
      </c>
      <c r="H41" s="54">
        <f>ROUND(H40/E40,2)</f>
        <v>0.2</v>
      </c>
      <c r="I41" s="54">
        <f>ROUND(I40/E40,2)</f>
        <v>0.1</v>
      </c>
      <c r="J41" s="54">
        <f>ROUND(J40/E40,2)</f>
        <v>0</v>
      </c>
      <c r="K41" s="54">
        <f>ROUND(K40/E40,2)</f>
        <v>0</v>
      </c>
      <c r="L41" s="54">
        <f>ROUND(L40/E40,2)</f>
        <v>0</v>
      </c>
      <c r="M41" s="54">
        <f>ROUND(M40/E40,2)</f>
        <v>0</v>
      </c>
      <c r="N41" s="54">
        <f>ROUND(N40/E40,2)</f>
        <v>0</v>
      </c>
      <c r="O41" s="54">
        <f>SUM(F41:N41)</f>
        <v>0.99999999999999989</v>
      </c>
    </row>
    <row r="42" spans="2:15" ht="55.9" customHeight="1" x14ac:dyDescent="0.25">
      <c r="C42" s="151" t="s">
        <v>322</v>
      </c>
      <c r="D42" s="151"/>
      <c r="E42" s="151"/>
      <c r="F42" s="7">
        <v>50</v>
      </c>
      <c r="G42" s="7">
        <v>20</v>
      </c>
      <c r="H42" s="7">
        <v>20</v>
      </c>
      <c r="I42" s="7">
        <v>10</v>
      </c>
      <c r="J42" s="7"/>
      <c r="K42" s="7"/>
      <c r="L42" s="7">
        <v>0</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K3 .1</v>
      </c>
      <c r="F46" s="59" t="str">
        <f>C12</f>
        <v>S1.1</v>
      </c>
      <c r="G46" s="59" t="str">
        <f>C13</f>
        <v>S5. 1</v>
      </c>
      <c r="H46" s="59" t="str">
        <f>C14</f>
        <v>V1.1</v>
      </c>
      <c r="I46" s="59">
        <f>C15</f>
        <v>0</v>
      </c>
      <c r="J46" s="59">
        <f>C16</f>
        <v>0</v>
      </c>
      <c r="K46" s="59">
        <f>C17</f>
        <v>0</v>
      </c>
      <c r="L46" s="59">
        <f>C18</f>
        <v>0</v>
      </c>
      <c r="M46" s="59">
        <f>C19</f>
        <v>0</v>
      </c>
      <c r="N46" s="60" t="s">
        <v>327</v>
      </c>
    </row>
    <row r="47" spans="2:15" ht="55.15" customHeight="1" x14ac:dyDescent="0.25">
      <c r="C47" s="9" t="s">
        <v>328</v>
      </c>
      <c r="D47" s="10">
        <v>25</v>
      </c>
      <c r="E47" s="8">
        <v>15</v>
      </c>
      <c r="F47" s="8">
        <v>5</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5</v>
      </c>
      <c r="E49" s="11">
        <v>5</v>
      </c>
      <c r="F49" s="12"/>
      <c r="G49" s="12"/>
      <c r="H49" s="12"/>
      <c r="I49" s="12"/>
      <c r="J49" s="12"/>
      <c r="K49" s="12"/>
      <c r="L49" s="12"/>
      <c r="M49" s="12"/>
      <c r="N49" s="55" t="b">
        <f t="shared" si="3"/>
        <v>1</v>
      </c>
    </row>
    <row r="50" spans="3:14" ht="55.15" customHeight="1" x14ac:dyDescent="0.25">
      <c r="C50" s="9" t="s">
        <v>818</v>
      </c>
      <c r="D50" s="10">
        <v>5</v>
      </c>
      <c r="E50" s="11"/>
      <c r="F50" s="12"/>
      <c r="G50" s="12">
        <v>5</v>
      </c>
      <c r="H50" s="12"/>
      <c r="I50" s="12"/>
      <c r="J50" s="12"/>
      <c r="K50" s="12"/>
      <c r="L50" s="12"/>
      <c r="M50" s="12"/>
      <c r="N50" s="55" t="b">
        <f t="shared" si="3"/>
        <v>1</v>
      </c>
    </row>
    <row r="51" spans="3:14" ht="55.15" customHeight="1" x14ac:dyDescent="0.25">
      <c r="C51" s="9" t="s">
        <v>480</v>
      </c>
      <c r="D51" s="10">
        <v>10</v>
      </c>
      <c r="E51" s="11"/>
      <c r="F51" s="12"/>
      <c r="G51" s="12"/>
      <c r="H51" s="12">
        <v>10</v>
      </c>
      <c r="I51" s="12"/>
      <c r="J51" s="12"/>
      <c r="K51" s="12"/>
      <c r="L51" s="12"/>
      <c r="M51" s="12"/>
      <c r="N51" s="55" t="b">
        <f t="shared" si="3"/>
        <v>1</v>
      </c>
    </row>
    <row r="52" spans="3:14" ht="55.15" customHeight="1" x14ac:dyDescent="0.25">
      <c r="C52" s="9" t="s">
        <v>504</v>
      </c>
      <c r="D52" s="10">
        <v>50</v>
      </c>
      <c r="E52" s="11">
        <v>25</v>
      </c>
      <c r="F52" s="12">
        <v>15</v>
      </c>
      <c r="G52" s="12">
        <v>10</v>
      </c>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50</v>
      </c>
      <c r="F56" s="65">
        <f t="shared" si="5"/>
        <v>20</v>
      </c>
      <c r="G56" s="65">
        <f t="shared" si="5"/>
        <v>20</v>
      </c>
      <c r="H56" s="65">
        <f t="shared" si="5"/>
        <v>10</v>
      </c>
      <c r="I56" s="65">
        <f t="shared" si="5"/>
        <v>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431" priority="11">
      <formula>LEN(TRIM(D47))=0</formula>
    </cfRule>
    <cfRule type="cellIs" dxfId="430" priority="12" operator="equal">
      <formula>0</formula>
    </cfRule>
  </conditionalFormatting>
  <conditionalFormatting sqref="E50">
    <cfRule type="containsBlanks" dxfId="429" priority="21">
      <formula>LEN(TRIM(E50))=0</formula>
    </cfRule>
    <cfRule type="cellIs" dxfId="428" priority="22" operator="equal">
      <formula>0</formula>
    </cfRule>
  </conditionalFormatting>
  <conditionalFormatting sqref="E47:M51 E52">
    <cfRule type="containsBlanks" dxfId="427" priority="17">
      <formula>LEN(TRIM(E47))=0</formula>
    </cfRule>
    <cfRule type="cellIs" dxfId="426" priority="18" operator="equal">
      <formula>0</formula>
    </cfRule>
  </conditionalFormatting>
  <conditionalFormatting sqref="E53:M54">
    <cfRule type="containsBlanks" dxfId="425" priority="15">
      <formula>LEN(TRIM(E53))=0</formula>
    </cfRule>
    <cfRule type="cellIs" dxfId="424" priority="16" operator="equal">
      <formula>0</formula>
    </cfRule>
  </conditionalFormatting>
  <conditionalFormatting sqref="E55:M55">
    <cfRule type="containsText" dxfId="423" priority="5" operator="containsText" text="false">
      <formula>NOT(ISERROR(SEARCH("false",E55)))</formula>
    </cfRule>
    <cfRule type="containsText" dxfId="422" priority="6" operator="containsText" text="true">
      <formula>NOT(ISERROR(SEARCH("true",E55)))</formula>
    </cfRule>
  </conditionalFormatting>
  <conditionalFormatting sqref="E26:N39">
    <cfRule type="containsBlanks" dxfId="421" priority="3">
      <formula>LEN(TRIM(E26))=0</formula>
    </cfRule>
    <cfRule type="cellIs" dxfId="420" priority="4" operator="equal">
      <formula>0</formula>
    </cfRule>
  </conditionalFormatting>
  <conditionalFormatting sqref="F48:M48">
    <cfRule type="containsBlanks" dxfId="419" priority="23">
      <formula>LEN(TRIM(F48))=0</formula>
    </cfRule>
    <cfRule type="cellIs" dxfId="418" priority="24" operator="equal">
      <formula>0</formula>
    </cfRule>
  </conditionalFormatting>
  <conditionalFormatting sqref="F50:M52">
    <cfRule type="containsBlanks" dxfId="417" priority="19">
      <formula>LEN(TRIM(F50))=0</formula>
    </cfRule>
    <cfRule type="cellIs" dxfId="416" priority="20" operator="equal">
      <formula>0</formula>
    </cfRule>
  </conditionalFormatting>
  <conditionalFormatting sqref="N47:N54">
    <cfRule type="containsText" dxfId="415" priority="7" operator="containsText" text="false">
      <formula>NOT(ISERROR(SEARCH("false",N47)))</formula>
    </cfRule>
    <cfRule type="containsText" dxfId="414" priority="8" operator="containsText" text="true">
      <formula>NOT(ISERROR(SEARCH("true",N47)))</formula>
    </cfRule>
  </conditionalFormatting>
  <conditionalFormatting sqref="N55">
    <cfRule type="containsBlanks" dxfId="413" priority="13">
      <formula>LEN(TRIM(N55))=0</formula>
    </cfRule>
    <cfRule type="cellIs" dxfId="412" priority="14" operator="equal">
      <formula>0</formula>
    </cfRule>
  </conditionalFormatting>
  <conditionalFormatting sqref="O26:O40">
    <cfRule type="containsText" dxfId="411" priority="9" operator="containsText" text="false">
      <formula>NOT(ISERROR(SEARCH("false",O26)))</formula>
    </cfRule>
    <cfRule type="containsText" dxfId="410" priority="10" operator="containsText" text="true">
      <formula>NOT(ISERROR(SEARCH("true",O26)))</formula>
    </cfRule>
  </conditionalFormatting>
  <conditionalFormatting sqref="O42">
    <cfRule type="cellIs" dxfId="409" priority="1" operator="notEqual">
      <formula>100</formula>
    </cfRule>
    <cfRule type="cellIs" dxfId="408" priority="2" operator="equal">
      <formula>100</formula>
    </cfRule>
  </conditionalFormatting>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2:AB57"/>
  <sheetViews>
    <sheetView topLeftCell="A6"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276</v>
      </c>
      <c r="H6" s="43" t="s">
        <v>277</v>
      </c>
      <c r="I6" s="1" t="s">
        <v>250</v>
      </c>
      <c r="J6" s="43" t="s">
        <v>278</v>
      </c>
      <c r="K6" s="1" t="s">
        <v>249</v>
      </c>
    </row>
    <row r="7" spans="2:26" ht="72.599999999999994" customHeight="1" thickBot="1" x14ac:dyDescent="0.3">
      <c r="B7" s="160"/>
      <c r="C7" s="161"/>
      <c r="D7" s="43" t="s">
        <v>279</v>
      </c>
      <c r="E7" s="1">
        <v>5</v>
      </c>
      <c r="F7" s="43" t="s">
        <v>280</v>
      </c>
      <c r="G7" s="1">
        <v>9</v>
      </c>
      <c r="H7" s="43" t="s">
        <v>281</v>
      </c>
      <c r="I7" s="1">
        <v>2</v>
      </c>
      <c r="J7" s="43" t="s">
        <v>283</v>
      </c>
      <c r="K7" s="1" t="s">
        <v>1266</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2" t="s">
        <v>297</v>
      </c>
      <c r="D11" s="78" t="s">
        <v>748</v>
      </c>
      <c r="E11" s="2" t="s">
        <v>7</v>
      </c>
      <c r="F11" s="3"/>
      <c r="G11" s="17"/>
      <c r="H11" s="17">
        <v>0.6</v>
      </c>
      <c r="I11" s="17">
        <v>1</v>
      </c>
      <c r="J11" s="80" t="s">
        <v>790</v>
      </c>
      <c r="K11" s="80" t="s">
        <v>611</v>
      </c>
      <c r="U11" s="3">
        <f>F11</f>
        <v>0</v>
      </c>
      <c r="V11" s="2" t="str">
        <f>C11</f>
        <v>K1.1</v>
      </c>
      <c r="W11" s="2"/>
      <c r="X11" s="17"/>
      <c r="Y11" s="37"/>
      <c r="Z11" s="37"/>
    </row>
    <row r="12" spans="2:26" ht="172.5" customHeight="1" x14ac:dyDescent="0.25">
      <c r="B12" s="36"/>
      <c r="C12" s="5" t="s">
        <v>298</v>
      </c>
      <c r="D12" s="79" t="s">
        <v>857</v>
      </c>
      <c r="E12" s="5" t="s">
        <v>7</v>
      </c>
      <c r="F12" s="6"/>
      <c r="G12" s="4"/>
      <c r="H12" s="17">
        <v>0.6</v>
      </c>
      <c r="I12" s="17">
        <v>1</v>
      </c>
      <c r="J12" s="80" t="s">
        <v>790</v>
      </c>
      <c r="K12" s="80" t="s">
        <v>611</v>
      </c>
      <c r="U12" s="6">
        <f t="shared" ref="U12:U19" si="0">F12</f>
        <v>0</v>
      </c>
      <c r="V12" s="2" t="str">
        <f>C12</f>
        <v>K1.2</v>
      </c>
      <c r="W12" s="5"/>
      <c r="X12" s="4"/>
      <c r="Y12" s="38"/>
      <c r="Z12" s="38"/>
    </row>
    <row r="13" spans="2:26" ht="58.9" customHeight="1" x14ac:dyDescent="0.25">
      <c r="B13" s="36"/>
      <c r="C13" s="5" t="s">
        <v>342</v>
      </c>
      <c r="D13" s="79" t="s">
        <v>1267</v>
      </c>
      <c r="E13" s="5" t="s">
        <v>22</v>
      </c>
      <c r="F13" s="6"/>
      <c r="G13" s="4"/>
      <c r="H13" s="17">
        <v>0.6</v>
      </c>
      <c r="I13" s="17">
        <v>1</v>
      </c>
      <c r="J13" s="81" t="s">
        <v>1268</v>
      </c>
      <c r="K13" s="82" t="s">
        <v>860</v>
      </c>
      <c r="U13" s="6">
        <f t="shared" si="0"/>
        <v>0</v>
      </c>
      <c r="V13" s="2" t="str">
        <f>C13</f>
        <v>S2.1</v>
      </c>
      <c r="W13" s="5"/>
      <c r="X13" s="4"/>
      <c r="Y13" s="38"/>
      <c r="Z13" s="38"/>
    </row>
    <row r="14" spans="2:26" ht="58.9" customHeight="1" x14ac:dyDescent="0.25">
      <c r="B14" s="36"/>
      <c r="C14" s="5" t="s">
        <v>395</v>
      </c>
      <c r="D14" s="79" t="s">
        <v>1269</v>
      </c>
      <c r="E14" s="5" t="s">
        <v>24</v>
      </c>
      <c r="F14" s="6"/>
      <c r="G14" s="4"/>
      <c r="H14" s="17">
        <v>0.6</v>
      </c>
      <c r="I14" s="17">
        <v>1</v>
      </c>
      <c r="J14" s="82" t="s">
        <v>1270</v>
      </c>
      <c r="K14" s="81" t="s">
        <v>863</v>
      </c>
      <c r="U14" s="6">
        <f t="shared" si="0"/>
        <v>0</v>
      </c>
      <c r="V14" s="2" t="str">
        <f>C14</f>
        <v>S3.1</v>
      </c>
      <c r="W14" s="5"/>
      <c r="X14" s="4"/>
      <c r="Y14" s="38"/>
      <c r="Z14" s="38"/>
    </row>
    <row r="15" spans="2:26" ht="58.9" customHeight="1" x14ac:dyDescent="0.25">
      <c r="B15" s="36"/>
      <c r="C15" s="5" t="s">
        <v>752</v>
      </c>
      <c r="D15" s="79" t="s">
        <v>753</v>
      </c>
      <c r="E15" s="5" t="s">
        <v>35</v>
      </c>
      <c r="F15" s="6"/>
      <c r="G15" s="4"/>
      <c r="H15" s="17">
        <v>0.6</v>
      </c>
      <c r="I15" s="17">
        <v>1</v>
      </c>
      <c r="J15" s="81" t="s">
        <v>1271</v>
      </c>
      <c r="K15" s="81" t="s">
        <v>865</v>
      </c>
      <c r="U15" s="6">
        <f t="shared" si="0"/>
        <v>0</v>
      </c>
      <c r="V15" s="2" t="str">
        <f>C15</f>
        <v>S4.1</v>
      </c>
      <c r="W15" s="5"/>
      <c r="X15" s="4"/>
      <c r="Y15" s="38"/>
      <c r="Z15" s="38"/>
    </row>
    <row r="16" spans="2:26" ht="58.9" customHeight="1" x14ac:dyDescent="0.25">
      <c r="B16" s="36"/>
      <c r="C16" s="5"/>
      <c r="D16" s="24"/>
      <c r="E16" s="5"/>
      <c r="F16" s="6"/>
      <c r="G16" s="4"/>
      <c r="H16" s="4"/>
      <c r="I16" s="4"/>
      <c r="J16" s="82"/>
      <c r="K16" s="5"/>
      <c r="U16" s="6"/>
      <c r="V16" s="2"/>
      <c r="W16" s="5"/>
      <c r="X16" s="4"/>
      <c r="Y16" s="38"/>
      <c r="Z16" s="38"/>
    </row>
    <row r="17" spans="2:26" ht="58.9" customHeight="1" x14ac:dyDescent="0.25">
      <c r="B17" s="36"/>
      <c r="C17" s="5"/>
      <c r="D17" s="24"/>
      <c r="E17" s="5"/>
      <c r="F17" s="6"/>
      <c r="G17" s="4"/>
      <c r="H17" s="4"/>
      <c r="I17" s="4"/>
      <c r="J17" s="5"/>
      <c r="K17" s="5"/>
      <c r="U17" s="6">
        <f t="shared" si="0"/>
        <v>0</v>
      </c>
      <c r="V17" s="2">
        <f>C17</f>
        <v>0</v>
      </c>
      <c r="W17" s="5"/>
      <c r="X17" s="4"/>
      <c r="Y17" s="38"/>
      <c r="Z17" s="38"/>
    </row>
    <row r="18" spans="2:26" ht="58.9" customHeight="1" x14ac:dyDescent="0.25">
      <c r="B18" s="36"/>
      <c r="C18" s="5"/>
      <c r="D18" s="24"/>
      <c r="E18" s="5"/>
      <c r="F18" s="5"/>
      <c r="G18" s="5"/>
      <c r="H18" s="5"/>
      <c r="I18" s="5"/>
      <c r="J18" s="5"/>
      <c r="K18" s="5"/>
      <c r="U18" s="6">
        <f t="shared" si="0"/>
        <v>0</v>
      </c>
      <c r="V18" s="2">
        <f>C18</f>
        <v>0</v>
      </c>
      <c r="W18" s="5"/>
      <c r="X18" s="5"/>
      <c r="Y18" s="39"/>
      <c r="Z18" s="39"/>
    </row>
    <row r="19" spans="2:26" ht="58.9" customHeight="1" x14ac:dyDescent="0.25">
      <c r="B19" s="36"/>
      <c r="C19" s="5"/>
      <c r="D19" s="24"/>
      <c r="E19" s="5"/>
      <c r="F19" s="5"/>
      <c r="G19" s="5"/>
      <c r="H19" s="5"/>
      <c r="I19" s="5"/>
      <c r="J19" s="5"/>
      <c r="K19" s="5"/>
      <c r="U19" s="6">
        <f t="shared" si="0"/>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S2.1</v>
      </c>
      <c r="I25" s="49" t="str">
        <f>C14</f>
        <v>S3.1</v>
      </c>
      <c r="J25" s="49" t="str">
        <f>C15</f>
        <v>S4.1</v>
      </c>
      <c r="K25" s="49">
        <f>C16</f>
        <v>0</v>
      </c>
      <c r="L25" s="49">
        <f>C17</f>
        <v>0</v>
      </c>
      <c r="M25" s="49">
        <f>C18</f>
        <v>0</v>
      </c>
      <c r="N25" s="49">
        <f>C19</f>
        <v>0</v>
      </c>
      <c r="O25" s="50" t="s">
        <v>305</v>
      </c>
    </row>
    <row r="26" spans="2:26" ht="30.4" customHeight="1" thickBot="1" x14ac:dyDescent="0.3">
      <c r="C26" s="51" t="s">
        <v>306</v>
      </c>
      <c r="D26" s="83" t="s">
        <v>1272</v>
      </c>
      <c r="E26" s="8">
        <v>2</v>
      </c>
      <c r="F26" s="8">
        <v>1</v>
      </c>
      <c r="G26" s="8">
        <v>1</v>
      </c>
      <c r="H26" s="8"/>
      <c r="I26" s="8"/>
      <c r="J26" s="8"/>
      <c r="K26" s="8"/>
      <c r="L26" s="8"/>
      <c r="M26" s="8"/>
      <c r="N26" s="8"/>
      <c r="O26" s="53" t="b">
        <f>IF(SUM(F26:N26)=E26,TRUE,"false")</f>
        <v>1</v>
      </c>
    </row>
    <row r="27" spans="2:26" ht="30.4" customHeight="1" thickBot="1" x14ac:dyDescent="0.3">
      <c r="C27" s="51" t="s">
        <v>307</v>
      </c>
      <c r="D27" s="83" t="s">
        <v>1273</v>
      </c>
      <c r="E27" s="8">
        <v>2</v>
      </c>
      <c r="F27" s="8">
        <v>1</v>
      </c>
      <c r="G27" s="8"/>
      <c r="H27" s="8">
        <v>1</v>
      </c>
      <c r="I27" s="8"/>
      <c r="J27" s="8"/>
      <c r="K27" s="8"/>
      <c r="L27" s="8"/>
      <c r="M27" s="8"/>
      <c r="N27" s="8"/>
      <c r="O27" s="53" t="b">
        <f t="shared" ref="O27:O40" si="1">IF(SUM(F27:N27)=E27,TRUE,"false")</f>
        <v>1</v>
      </c>
    </row>
    <row r="28" spans="2:26" ht="30.4" customHeight="1" thickBot="1" x14ac:dyDescent="0.3">
      <c r="C28" s="51" t="s">
        <v>308</v>
      </c>
      <c r="D28" s="83" t="s">
        <v>1274</v>
      </c>
      <c r="E28" s="8">
        <v>2</v>
      </c>
      <c r="F28" s="8"/>
      <c r="G28" s="8">
        <v>1</v>
      </c>
      <c r="H28" s="8">
        <v>1</v>
      </c>
      <c r="I28" s="8"/>
      <c r="J28" s="8"/>
      <c r="K28" s="8"/>
      <c r="L28" s="8"/>
      <c r="M28" s="8"/>
      <c r="N28" s="8"/>
      <c r="O28" s="53" t="b">
        <f t="shared" si="1"/>
        <v>1</v>
      </c>
    </row>
    <row r="29" spans="2:26" ht="30.4" customHeight="1" thickBot="1" x14ac:dyDescent="0.3">
      <c r="C29" s="51" t="s">
        <v>309</v>
      </c>
      <c r="D29" s="83" t="s">
        <v>1275</v>
      </c>
      <c r="E29" s="8">
        <v>2</v>
      </c>
      <c r="F29" s="8"/>
      <c r="G29" s="8">
        <v>1</v>
      </c>
      <c r="H29" s="8"/>
      <c r="I29" s="8">
        <v>1</v>
      </c>
      <c r="J29" s="8"/>
      <c r="K29" s="8"/>
      <c r="L29" s="8"/>
      <c r="M29" s="8"/>
      <c r="N29" s="8"/>
      <c r="O29" s="53" t="b">
        <f>IF(SUM(F29:N29)=E29,TRUE,"false")</f>
        <v>1</v>
      </c>
    </row>
    <row r="30" spans="2:26" ht="30.4" customHeight="1" thickBot="1" x14ac:dyDescent="0.3">
      <c r="C30" s="51" t="s">
        <v>310</v>
      </c>
      <c r="D30" s="83" t="s">
        <v>1276</v>
      </c>
      <c r="E30" s="8">
        <v>4</v>
      </c>
      <c r="F30" s="8">
        <v>1</v>
      </c>
      <c r="G30" s="8">
        <v>1</v>
      </c>
      <c r="H30" s="8">
        <v>1</v>
      </c>
      <c r="I30" s="8">
        <v>1</v>
      </c>
      <c r="J30" s="8"/>
      <c r="K30" s="8"/>
      <c r="L30" s="8"/>
      <c r="M30" s="8"/>
      <c r="N30" s="8"/>
      <c r="O30" s="53" t="b">
        <f t="shared" si="1"/>
        <v>1</v>
      </c>
    </row>
    <row r="31" spans="2:26" ht="30.4" customHeight="1" thickBot="1" x14ac:dyDescent="0.3">
      <c r="C31" s="51" t="s">
        <v>311</v>
      </c>
      <c r="D31" s="83" t="s">
        <v>1277</v>
      </c>
      <c r="E31" s="8">
        <v>2</v>
      </c>
      <c r="F31" s="8"/>
      <c r="G31" s="8"/>
      <c r="H31" s="8">
        <v>1</v>
      </c>
      <c r="I31" s="8"/>
      <c r="J31" s="8">
        <v>1</v>
      </c>
      <c r="K31" s="8"/>
      <c r="L31" s="8"/>
      <c r="M31" s="8"/>
      <c r="N31" s="8"/>
      <c r="O31" s="53" t="b">
        <f t="shared" si="1"/>
        <v>1</v>
      </c>
    </row>
    <row r="32" spans="2:26" ht="30.4" customHeight="1" thickBot="1" x14ac:dyDescent="0.3">
      <c r="C32" s="51" t="s">
        <v>312</v>
      </c>
      <c r="D32" s="83" t="s">
        <v>1278</v>
      </c>
      <c r="E32" s="8">
        <v>2</v>
      </c>
      <c r="F32" s="8"/>
      <c r="G32" s="8">
        <v>1</v>
      </c>
      <c r="H32" s="8"/>
      <c r="I32" s="8">
        <v>1</v>
      </c>
      <c r="J32" s="8"/>
      <c r="K32" s="8"/>
      <c r="L32" s="8"/>
      <c r="M32" s="8"/>
      <c r="N32" s="8"/>
      <c r="O32" s="53" t="b">
        <f t="shared" si="1"/>
        <v>1</v>
      </c>
    </row>
    <row r="33" spans="2:15" ht="30.4" customHeight="1" thickBot="1" x14ac:dyDescent="0.3">
      <c r="C33" s="51" t="s">
        <v>313</v>
      </c>
      <c r="D33" s="83" t="s">
        <v>1279</v>
      </c>
      <c r="E33" s="8">
        <v>4</v>
      </c>
      <c r="F33" s="8">
        <v>2</v>
      </c>
      <c r="G33" s="8"/>
      <c r="H33" s="8">
        <v>1</v>
      </c>
      <c r="I33" s="8">
        <v>1</v>
      </c>
      <c r="J33" s="8"/>
      <c r="K33" s="8"/>
      <c r="L33" s="8"/>
      <c r="M33" s="8"/>
      <c r="N33" s="8"/>
      <c r="O33" s="53" t="b">
        <f t="shared" si="1"/>
        <v>1</v>
      </c>
    </row>
    <row r="34" spans="2:15" ht="30.4" customHeight="1" thickBot="1" x14ac:dyDescent="0.3">
      <c r="C34" s="51" t="s">
        <v>314</v>
      </c>
      <c r="D34" s="83" t="s">
        <v>1280</v>
      </c>
      <c r="E34" s="8">
        <v>2</v>
      </c>
      <c r="F34" s="8">
        <v>1</v>
      </c>
      <c r="G34" s="8"/>
      <c r="H34" s="8">
        <v>1</v>
      </c>
      <c r="I34" s="8"/>
      <c r="J34" s="8"/>
      <c r="K34" s="8"/>
      <c r="L34" s="8"/>
      <c r="M34" s="8"/>
      <c r="N34" s="8"/>
      <c r="O34" s="53" t="b">
        <f t="shared" si="1"/>
        <v>1</v>
      </c>
    </row>
    <row r="35" spans="2:15" ht="30.4" customHeight="1" thickBot="1" x14ac:dyDescent="0.3">
      <c r="C35" s="51" t="s">
        <v>315</v>
      </c>
      <c r="D35" s="83" t="s">
        <v>1281</v>
      </c>
      <c r="E35" s="8">
        <v>2</v>
      </c>
      <c r="F35" s="8"/>
      <c r="G35" s="8">
        <v>1</v>
      </c>
      <c r="H35" s="8"/>
      <c r="I35" s="8"/>
      <c r="J35" s="8">
        <v>1</v>
      </c>
      <c r="K35" s="8"/>
      <c r="L35" s="8"/>
      <c r="M35" s="8"/>
      <c r="N35" s="8"/>
      <c r="O35" s="53" t="b">
        <f t="shared" si="1"/>
        <v>1</v>
      </c>
    </row>
    <row r="36" spans="2:15" ht="30.4" customHeight="1" thickBot="1" x14ac:dyDescent="0.3">
      <c r="C36" s="51" t="s">
        <v>316</v>
      </c>
      <c r="D36" s="83" t="s">
        <v>1282</v>
      </c>
      <c r="E36" s="8">
        <v>2</v>
      </c>
      <c r="F36" s="8">
        <v>1</v>
      </c>
      <c r="G36" s="8"/>
      <c r="H36" s="8">
        <v>1</v>
      </c>
      <c r="I36" s="8"/>
      <c r="J36" s="8"/>
      <c r="K36" s="8"/>
      <c r="L36" s="8"/>
      <c r="M36" s="8"/>
      <c r="N36" s="8"/>
      <c r="O36" s="53" t="b">
        <f t="shared" si="1"/>
        <v>1</v>
      </c>
    </row>
    <row r="37" spans="2:15" ht="30.4" customHeight="1" thickBot="1" x14ac:dyDescent="0.3">
      <c r="C37" s="51" t="s">
        <v>317</v>
      </c>
      <c r="D37" s="83" t="s">
        <v>1283</v>
      </c>
      <c r="E37" s="8">
        <v>2</v>
      </c>
      <c r="F37" s="8"/>
      <c r="G37" s="8"/>
      <c r="H37" s="8">
        <v>1</v>
      </c>
      <c r="I37" s="8"/>
      <c r="J37" s="8">
        <v>1</v>
      </c>
      <c r="K37" s="8"/>
      <c r="L37" s="8"/>
      <c r="M37" s="8"/>
      <c r="N37" s="8"/>
      <c r="O37" s="53" t="b">
        <f t="shared" si="1"/>
        <v>1</v>
      </c>
    </row>
    <row r="38" spans="2:15" ht="30.4" customHeight="1" thickBot="1" x14ac:dyDescent="0.3">
      <c r="C38" s="51" t="s">
        <v>318</v>
      </c>
      <c r="D38" s="83" t="s">
        <v>1284</v>
      </c>
      <c r="E38" s="8">
        <v>2</v>
      </c>
      <c r="F38" s="8"/>
      <c r="G38" s="8"/>
      <c r="H38" s="8">
        <v>1</v>
      </c>
      <c r="I38" s="8">
        <v>1</v>
      </c>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SUM(E26:E39)</f>
        <v>30</v>
      </c>
      <c r="F40" s="52">
        <f t="shared" ref="F40:N40" si="2">SUM(F26:F39)</f>
        <v>7</v>
      </c>
      <c r="G40" s="52">
        <f t="shared" si="2"/>
        <v>6</v>
      </c>
      <c r="H40" s="52">
        <f t="shared" si="2"/>
        <v>9</v>
      </c>
      <c r="I40" s="52">
        <f t="shared" si="2"/>
        <v>5</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0.23</v>
      </c>
      <c r="G41" s="54">
        <f>ROUND(G40/E40,2)</f>
        <v>0.2</v>
      </c>
      <c r="H41" s="54">
        <f>ROUND(H40/E40,2)</f>
        <v>0.3</v>
      </c>
      <c r="I41" s="54">
        <f>ROUND(I40/E40,2)</f>
        <v>0.17</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7">
        <v>25</v>
      </c>
      <c r="G42" s="7">
        <v>20</v>
      </c>
      <c r="H42" s="7">
        <v>30</v>
      </c>
      <c r="I42" s="7">
        <v>15</v>
      </c>
      <c r="J42" s="7">
        <v>10</v>
      </c>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S2.1</v>
      </c>
      <c r="H46" s="59" t="str">
        <f>C14</f>
        <v>S3.1</v>
      </c>
      <c r="I46" s="59" t="str">
        <f>C15</f>
        <v>S4.1</v>
      </c>
      <c r="J46" s="59">
        <f>C16</f>
        <v>0</v>
      </c>
      <c r="K46" s="59">
        <f>C17</f>
        <v>0</v>
      </c>
      <c r="L46" s="59">
        <f>C18</f>
        <v>0</v>
      </c>
      <c r="M46" s="59">
        <f>C19</f>
        <v>0</v>
      </c>
      <c r="N46" s="60" t="s">
        <v>327</v>
      </c>
    </row>
    <row r="47" spans="2:15" ht="55.15" customHeight="1" x14ac:dyDescent="0.25">
      <c r="C47" s="9" t="s">
        <v>328</v>
      </c>
      <c r="D47" s="10">
        <v>25</v>
      </c>
      <c r="E47" s="8">
        <v>5</v>
      </c>
      <c r="F47" s="8">
        <v>5</v>
      </c>
      <c r="G47" s="8">
        <v>10</v>
      </c>
      <c r="H47" s="8">
        <v>5</v>
      </c>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5</v>
      </c>
      <c r="E49" s="11"/>
      <c r="F49" s="12">
        <v>5</v>
      </c>
      <c r="G49" s="12"/>
      <c r="H49" s="12"/>
      <c r="I49" s="12"/>
      <c r="J49" s="12"/>
      <c r="K49" s="12"/>
      <c r="L49" s="12"/>
      <c r="M49" s="12"/>
      <c r="N49" s="55" t="b">
        <f t="shared" si="3"/>
        <v>1</v>
      </c>
    </row>
    <row r="50" spans="3:14" ht="55.15" customHeight="1" x14ac:dyDescent="0.25">
      <c r="C50" s="9" t="s">
        <v>331</v>
      </c>
      <c r="D50" s="10">
        <v>5</v>
      </c>
      <c r="E50" s="11"/>
      <c r="F50" s="12"/>
      <c r="G50" s="12">
        <v>2</v>
      </c>
      <c r="H50" s="12"/>
      <c r="I50" s="12">
        <v>3</v>
      </c>
      <c r="J50" s="12"/>
      <c r="K50" s="12"/>
      <c r="L50" s="12"/>
      <c r="M50" s="12"/>
      <c r="N50" s="55" t="b">
        <f t="shared" si="3"/>
        <v>1</v>
      </c>
    </row>
    <row r="51" spans="3:14" ht="55.15" customHeight="1" x14ac:dyDescent="0.25">
      <c r="C51" s="9" t="s">
        <v>332</v>
      </c>
      <c r="D51" s="10">
        <v>10</v>
      </c>
      <c r="E51" s="11"/>
      <c r="F51" s="12"/>
      <c r="G51" s="12">
        <v>3</v>
      </c>
      <c r="H51" s="12"/>
      <c r="I51" s="12">
        <v>7</v>
      </c>
      <c r="J51" s="12"/>
      <c r="K51" s="12"/>
      <c r="L51" s="12"/>
      <c r="M51" s="12"/>
      <c r="N51" s="55" t="b">
        <f t="shared" si="3"/>
        <v>1</v>
      </c>
    </row>
    <row r="52" spans="3:14" ht="55.15" customHeight="1" x14ac:dyDescent="0.25">
      <c r="C52" s="9" t="s">
        <v>504</v>
      </c>
      <c r="D52" s="10">
        <v>50</v>
      </c>
      <c r="E52" s="11">
        <v>15</v>
      </c>
      <c r="F52" s="12">
        <v>10</v>
      </c>
      <c r="G52" s="12">
        <v>15</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IF(SUM(E47:E54)=E56,TRUE,"false")</f>
        <v>1</v>
      </c>
      <c r="F55" s="55" t="b">
        <f t="shared" ref="F55:M55" si="4">IF(SUM(F47:F54)=F56,TRUE,"false")</f>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25</v>
      </c>
      <c r="F56" s="65">
        <f t="shared" si="5"/>
        <v>20</v>
      </c>
      <c r="G56" s="65">
        <f t="shared" si="5"/>
        <v>30</v>
      </c>
      <c r="H56" s="65">
        <f t="shared" si="5"/>
        <v>15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F24:N24"/>
    <mergeCell ref="H9:J9"/>
    <mergeCell ref="D2:J5"/>
    <mergeCell ref="B6:C7"/>
    <mergeCell ref="C10:D10"/>
    <mergeCell ref="C40:D40"/>
  </mergeCells>
  <conditionalFormatting sqref="D47:D54">
    <cfRule type="containsBlanks" dxfId="407" priority="17">
      <formula>LEN(TRIM(D47))=0</formula>
    </cfRule>
    <cfRule type="cellIs" dxfId="406" priority="18" operator="equal">
      <formula>0</formula>
    </cfRule>
  </conditionalFormatting>
  <conditionalFormatting sqref="E50">
    <cfRule type="containsBlanks" dxfId="405" priority="27">
      <formula>LEN(TRIM(E50))=0</formula>
    </cfRule>
    <cfRule type="cellIs" dxfId="404" priority="28" operator="equal">
      <formula>0</formula>
    </cfRule>
  </conditionalFormatting>
  <conditionalFormatting sqref="E47:M51 E52">
    <cfRule type="containsBlanks" dxfId="403" priority="23">
      <formula>LEN(TRIM(E47))=0</formula>
    </cfRule>
    <cfRule type="cellIs" dxfId="402" priority="24" operator="equal">
      <formula>0</formula>
    </cfRule>
  </conditionalFormatting>
  <conditionalFormatting sqref="E53:M54">
    <cfRule type="containsBlanks" dxfId="401" priority="21">
      <formula>LEN(TRIM(E53))=0</formula>
    </cfRule>
    <cfRule type="cellIs" dxfId="400" priority="22" operator="equal">
      <formula>0</formula>
    </cfRule>
  </conditionalFormatting>
  <conditionalFormatting sqref="E55:M55">
    <cfRule type="containsText" dxfId="399" priority="11" operator="containsText" text="false">
      <formula>NOT(ISERROR(SEARCH("false",E55)))</formula>
    </cfRule>
    <cfRule type="containsText" dxfId="398" priority="12" operator="containsText" text="true">
      <formula>NOT(ISERROR(SEARCH("true",E55)))</formula>
    </cfRule>
  </conditionalFormatting>
  <conditionalFormatting sqref="E26:N39">
    <cfRule type="containsBlanks" dxfId="397" priority="3">
      <formula>LEN(TRIM(E26))=0</formula>
    </cfRule>
    <cfRule type="cellIs" dxfId="396" priority="4" operator="equal">
      <formula>0</formula>
    </cfRule>
  </conditionalFormatting>
  <conditionalFormatting sqref="F48:M48">
    <cfRule type="containsBlanks" dxfId="395" priority="29">
      <formula>LEN(TRIM(F48))=0</formula>
    </cfRule>
    <cfRule type="cellIs" dxfId="394" priority="30" operator="equal">
      <formula>0</formula>
    </cfRule>
  </conditionalFormatting>
  <conditionalFormatting sqref="F50:M52">
    <cfRule type="containsBlanks" dxfId="393" priority="25">
      <formula>LEN(TRIM(F50))=0</formula>
    </cfRule>
    <cfRule type="cellIs" dxfId="392" priority="26" operator="equal">
      <formula>0</formula>
    </cfRule>
  </conditionalFormatting>
  <conditionalFormatting sqref="N47:N54">
    <cfRule type="containsText" dxfId="391" priority="13" operator="containsText" text="false">
      <formula>NOT(ISERROR(SEARCH("false",N47)))</formula>
    </cfRule>
    <cfRule type="containsText" dxfId="390" priority="14" operator="containsText" text="true">
      <formula>NOT(ISERROR(SEARCH("true",N47)))</formula>
    </cfRule>
  </conditionalFormatting>
  <conditionalFormatting sqref="N55">
    <cfRule type="containsBlanks" dxfId="389" priority="19">
      <formula>LEN(TRIM(N55))=0</formula>
    </cfRule>
    <cfRule type="cellIs" dxfId="388" priority="20" operator="equal">
      <formula>0</formula>
    </cfRule>
  </conditionalFormatting>
  <conditionalFormatting sqref="O26:O40">
    <cfRule type="containsText" dxfId="387" priority="15" operator="containsText" text="false">
      <formula>NOT(ISERROR(SEARCH("false",O26)))</formula>
    </cfRule>
    <cfRule type="containsText" dxfId="386" priority="16" operator="containsText" text="true">
      <formula>NOT(ISERROR(SEARCH("true",O26)))</formula>
    </cfRule>
  </conditionalFormatting>
  <conditionalFormatting sqref="O42">
    <cfRule type="cellIs" dxfId="385" priority="1" operator="notEqual">
      <formula>100</formula>
    </cfRule>
    <cfRule type="cellIs" dxfId="384" priority="2" operator="equal">
      <formula>100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'Name and Course code'!$B$2:$B$76</xm:f>
          </x14:formula1>
          <xm:sqref>I6</xm:sqref>
        </x14:dataValidation>
        <x14:dataValidation type="list" allowBlank="1" showInputMessage="1" showErrorMessage="1" xr:uid="{00000000-0002-0000-0D00-000001000000}">
          <x14:formula1>
            <xm:f>'Name and Course code'!$A$2:$A$76</xm:f>
          </x14:formula1>
          <xm:sqref>K6</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2:AB57"/>
  <sheetViews>
    <sheetView zoomScale="50" zoomScaleNormal="50" workbookViewId="0">
      <selection activeCell="M16" sqref="M16"/>
    </sheetView>
  </sheetViews>
  <sheetFormatPr defaultColWidth="9.140625" defaultRowHeight="15" x14ac:dyDescent="0.25"/>
  <cols>
    <col min="1" max="1" width="9.140625" style="19"/>
    <col min="2" max="2" width="21.7109375" style="19" customWidth="1"/>
    <col min="3" max="3" width="25.28515625" style="19" customWidth="1"/>
    <col min="4" max="4" width="69.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252</v>
      </c>
      <c r="J6" s="43" t="s">
        <v>278</v>
      </c>
      <c r="K6" s="1" t="s">
        <v>113</v>
      </c>
    </row>
    <row r="7" spans="2:26" ht="72.599999999999994" customHeight="1" thickBot="1" x14ac:dyDescent="0.3">
      <c r="B7" s="160"/>
      <c r="C7" s="161"/>
      <c r="D7" s="43" t="s">
        <v>279</v>
      </c>
      <c r="E7" s="1">
        <v>5</v>
      </c>
      <c r="F7" s="43" t="s">
        <v>280</v>
      </c>
      <c r="G7" s="1">
        <v>9</v>
      </c>
      <c r="H7" s="43" t="s">
        <v>281</v>
      </c>
      <c r="I7" s="1">
        <v>2</v>
      </c>
      <c r="J7" s="43" t="s">
        <v>283</v>
      </c>
      <c r="K7" s="1" t="s">
        <v>581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46.25" customHeight="1" x14ac:dyDescent="0.25">
      <c r="B11" s="36"/>
      <c r="C11" s="2" t="s">
        <v>415</v>
      </c>
      <c r="D11" s="78" t="s">
        <v>1285</v>
      </c>
      <c r="E11" s="2" t="s">
        <v>10</v>
      </c>
      <c r="F11" s="3"/>
      <c r="G11" s="17"/>
      <c r="H11" s="17">
        <v>0.6</v>
      </c>
      <c r="I11" s="17">
        <v>1</v>
      </c>
      <c r="J11" s="80" t="s">
        <v>1286</v>
      </c>
      <c r="K11" s="80" t="s">
        <v>1089</v>
      </c>
      <c r="U11" s="3">
        <f>F11</f>
        <v>0</v>
      </c>
      <c r="V11" s="2" t="str">
        <f>C11</f>
        <v>K2.1</v>
      </c>
      <c r="W11" s="2"/>
      <c r="X11" s="17"/>
      <c r="Y11" s="37"/>
      <c r="Z11" s="37"/>
    </row>
    <row r="12" spans="2:26" ht="101.25" customHeight="1" x14ac:dyDescent="0.25">
      <c r="B12" s="36"/>
      <c r="C12" s="5" t="s">
        <v>560</v>
      </c>
      <c r="D12" s="79" t="s">
        <v>1287</v>
      </c>
      <c r="E12" s="5" t="s">
        <v>13</v>
      </c>
      <c r="F12" s="6"/>
      <c r="G12" s="4"/>
      <c r="H12" s="17">
        <v>0.6</v>
      </c>
      <c r="I12" s="17">
        <v>1</v>
      </c>
      <c r="J12" s="80" t="s">
        <v>1288</v>
      </c>
      <c r="K12" s="80" t="s">
        <v>1091</v>
      </c>
      <c r="U12" s="6">
        <f>F12</f>
        <v>0</v>
      </c>
      <c r="V12" s="2" t="str">
        <f>C12</f>
        <v>K3.1</v>
      </c>
      <c r="W12" s="5"/>
      <c r="X12" s="4"/>
      <c r="Y12" s="38"/>
      <c r="Z12" s="38"/>
    </row>
    <row r="13" spans="2:26" ht="66" customHeight="1" x14ac:dyDescent="0.25">
      <c r="B13" s="36"/>
      <c r="C13" s="5" t="s">
        <v>586</v>
      </c>
      <c r="D13" s="79" t="s">
        <v>1289</v>
      </c>
      <c r="E13" s="5" t="s">
        <v>27</v>
      </c>
      <c r="F13" s="6"/>
      <c r="G13" s="4"/>
      <c r="H13" s="17">
        <v>0.6</v>
      </c>
      <c r="I13" s="17">
        <v>1</v>
      </c>
      <c r="J13" s="80" t="s">
        <v>1290</v>
      </c>
      <c r="K13" s="81" t="s">
        <v>588</v>
      </c>
      <c r="U13" s="6">
        <f>F13</f>
        <v>0</v>
      </c>
      <c r="V13" s="2" t="str">
        <f>C13</f>
        <v>S5.1</v>
      </c>
      <c r="W13" s="5"/>
      <c r="X13" s="4"/>
      <c r="Y13" s="38"/>
      <c r="Z13" s="38"/>
    </row>
    <row r="14" spans="2:26" ht="86.25" customHeight="1" x14ac:dyDescent="0.25">
      <c r="B14" s="36"/>
      <c r="C14" s="5" t="s">
        <v>567</v>
      </c>
      <c r="D14" s="79" t="s">
        <v>1291</v>
      </c>
      <c r="E14" s="5" t="s">
        <v>48</v>
      </c>
      <c r="F14" s="6"/>
      <c r="G14" s="4"/>
      <c r="H14" s="17">
        <v>0.6</v>
      </c>
      <c r="I14" s="17">
        <v>1</v>
      </c>
      <c r="J14" s="80" t="s">
        <v>1292</v>
      </c>
      <c r="K14" s="81" t="s">
        <v>588</v>
      </c>
      <c r="U14" s="6">
        <f>F14</f>
        <v>0</v>
      </c>
      <c r="V14" s="2" t="str">
        <f>C14</f>
        <v>V2.1</v>
      </c>
      <c r="W14" s="5"/>
      <c r="X14" s="4"/>
      <c r="Y14" s="38"/>
      <c r="Z14" s="38"/>
    </row>
    <row r="15" spans="2:26" ht="58.9" customHeight="1" x14ac:dyDescent="0.25">
      <c r="B15" s="36"/>
      <c r="C15" s="5"/>
      <c r="D15" s="79"/>
      <c r="E15" s="5"/>
      <c r="F15" s="6"/>
      <c r="G15" s="4"/>
      <c r="H15" s="17"/>
      <c r="I15" s="17"/>
      <c r="J15" s="81"/>
      <c r="K15" s="81"/>
      <c r="U15" s="6">
        <f>F15</f>
        <v>0</v>
      </c>
      <c r="V15" s="2">
        <f>C15</f>
        <v>0</v>
      </c>
      <c r="W15" s="5"/>
      <c r="X15" s="4"/>
      <c r="Y15" s="38"/>
      <c r="Z15" s="38"/>
    </row>
    <row r="16" spans="2:26" ht="58.9" customHeight="1" x14ac:dyDescent="0.25">
      <c r="B16" s="36"/>
      <c r="C16" s="5"/>
      <c r="D16" s="24"/>
      <c r="E16" s="5"/>
      <c r="F16" s="6"/>
      <c r="G16" s="4"/>
      <c r="H16" s="4"/>
      <c r="I16" s="4"/>
      <c r="J16" s="82"/>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K3.1</v>
      </c>
      <c r="H25" s="49" t="str">
        <f>C13</f>
        <v>S5.1</v>
      </c>
      <c r="I25" s="49" t="str">
        <f>C14</f>
        <v>V2.1</v>
      </c>
      <c r="J25" s="49">
        <f>C15</f>
        <v>0</v>
      </c>
      <c r="K25" s="49">
        <f>C16</f>
        <v>0</v>
      </c>
      <c r="L25" s="49">
        <f>C17</f>
        <v>0</v>
      </c>
      <c r="M25" s="49">
        <f>C18</f>
        <v>0</v>
      </c>
      <c r="N25" s="49">
        <f>C19</f>
        <v>0</v>
      </c>
      <c r="O25" s="50" t="s">
        <v>305</v>
      </c>
    </row>
    <row r="26" spans="2:26" ht="39.75" customHeight="1" thickBot="1" x14ac:dyDescent="0.3">
      <c r="C26" s="51" t="s">
        <v>306</v>
      </c>
      <c r="D26" s="83" t="s">
        <v>1293</v>
      </c>
      <c r="E26" s="8">
        <v>2</v>
      </c>
      <c r="F26" s="8">
        <v>1</v>
      </c>
      <c r="G26" s="8">
        <v>1</v>
      </c>
      <c r="H26" s="8">
        <v>0</v>
      </c>
      <c r="I26" s="8">
        <v>0</v>
      </c>
      <c r="J26" s="8"/>
      <c r="K26" s="8"/>
      <c r="L26" s="8"/>
      <c r="M26" s="8"/>
      <c r="N26" s="8"/>
      <c r="O26" s="53" t="b">
        <f t="shared" ref="O26:O40" si="0">IF(SUM(F26:N26)=E26,TRUE,"false")</f>
        <v>1</v>
      </c>
    </row>
    <row r="27" spans="2:26" ht="30.4" customHeight="1" thickBot="1" x14ac:dyDescent="0.3">
      <c r="C27" s="51" t="s">
        <v>307</v>
      </c>
      <c r="D27" s="83" t="s">
        <v>1294</v>
      </c>
      <c r="E27" s="8">
        <v>2</v>
      </c>
      <c r="F27" s="8">
        <v>1</v>
      </c>
      <c r="G27" s="8">
        <v>1</v>
      </c>
      <c r="H27" s="8">
        <v>0</v>
      </c>
      <c r="I27" s="8">
        <v>0</v>
      </c>
      <c r="J27" s="8"/>
      <c r="K27" s="8"/>
      <c r="L27" s="8"/>
      <c r="M27" s="8"/>
      <c r="N27" s="8"/>
      <c r="O27" s="53" t="b">
        <f t="shared" si="0"/>
        <v>1</v>
      </c>
    </row>
    <row r="28" spans="2:26" ht="38.25" customHeight="1" thickBot="1" x14ac:dyDescent="0.3">
      <c r="C28" s="51" t="s">
        <v>308</v>
      </c>
      <c r="D28" s="83" t="s">
        <v>1295</v>
      </c>
      <c r="E28" s="8">
        <v>2</v>
      </c>
      <c r="F28" s="8">
        <v>1</v>
      </c>
      <c r="G28" s="8">
        <v>1</v>
      </c>
      <c r="H28" s="8">
        <v>0</v>
      </c>
      <c r="I28" s="8">
        <v>0</v>
      </c>
      <c r="J28" s="8"/>
      <c r="K28" s="8"/>
      <c r="L28" s="8"/>
      <c r="M28" s="8"/>
      <c r="N28" s="8"/>
      <c r="O28" s="53" t="b">
        <f t="shared" si="0"/>
        <v>1</v>
      </c>
    </row>
    <row r="29" spans="2:26" ht="38.25" customHeight="1" thickBot="1" x14ac:dyDescent="0.3">
      <c r="C29" s="51" t="s">
        <v>309</v>
      </c>
      <c r="D29" s="83" t="s">
        <v>1296</v>
      </c>
      <c r="E29" s="8">
        <v>2</v>
      </c>
      <c r="F29" s="8">
        <v>1</v>
      </c>
      <c r="G29" s="8">
        <v>1</v>
      </c>
      <c r="H29" s="8">
        <v>0</v>
      </c>
      <c r="I29" s="8">
        <v>0</v>
      </c>
      <c r="J29" s="8"/>
      <c r="K29" s="8"/>
      <c r="L29" s="8"/>
      <c r="M29" s="8"/>
      <c r="N29" s="8"/>
      <c r="O29" s="53" t="b">
        <f t="shared" si="0"/>
        <v>1</v>
      </c>
    </row>
    <row r="30" spans="2:26" ht="36" customHeight="1" thickBot="1" x14ac:dyDescent="0.3">
      <c r="C30" s="51" t="s">
        <v>310</v>
      </c>
      <c r="D30" s="83" t="s">
        <v>1297</v>
      </c>
      <c r="E30" s="8">
        <v>2</v>
      </c>
      <c r="F30" s="8">
        <v>1</v>
      </c>
      <c r="G30" s="8">
        <v>1</v>
      </c>
      <c r="H30" s="8">
        <v>0</v>
      </c>
      <c r="I30" s="8">
        <v>0</v>
      </c>
      <c r="J30" s="8"/>
      <c r="K30" s="8"/>
      <c r="L30" s="8"/>
      <c r="M30" s="8"/>
      <c r="N30" s="8"/>
      <c r="O30" s="53" t="b">
        <f t="shared" si="0"/>
        <v>1</v>
      </c>
    </row>
    <row r="31" spans="2:26" ht="30.4" customHeight="1" thickBot="1" x14ac:dyDescent="0.3">
      <c r="C31" s="51" t="s">
        <v>311</v>
      </c>
      <c r="D31" s="83" t="s">
        <v>1298</v>
      </c>
      <c r="E31" s="8">
        <v>2</v>
      </c>
      <c r="F31" s="8">
        <v>0</v>
      </c>
      <c r="G31" s="8">
        <v>0</v>
      </c>
      <c r="H31" s="8">
        <v>1</v>
      </c>
      <c r="I31" s="8">
        <v>1</v>
      </c>
      <c r="J31" s="8"/>
      <c r="K31" s="8"/>
      <c r="L31" s="8"/>
      <c r="M31" s="8"/>
      <c r="N31" s="8"/>
      <c r="O31" s="53" t="b">
        <f t="shared" si="0"/>
        <v>1</v>
      </c>
    </row>
    <row r="32" spans="2:26" ht="30.4" customHeight="1" thickBot="1" x14ac:dyDescent="0.3">
      <c r="C32" s="51" t="s">
        <v>312</v>
      </c>
      <c r="D32" s="83" t="s">
        <v>1299</v>
      </c>
      <c r="E32" s="8">
        <v>3</v>
      </c>
      <c r="F32" s="8">
        <v>1</v>
      </c>
      <c r="G32" s="8">
        <v>0</v>
      </c>
      <c r="H32" s="8">
        <v>1</v>
      </c>
      <c r="I32" s="8">
        <v>1</v>
      </c>
      <c r="J32" s="8"/>
      <c r="K32" s="8"/>
      <c r="L32" s="8"/>
      <c r="M32" s="8"/>
      <c r="N32" s="8"/>
      <c r="O32" s="53" t="b">
        <f t="shared" si="0"/>
        <v>1</v>
      </c>
    </row>
    <row r="33" spans="2:15" ht="36" customHeight="1" thickBot="1" x14ac:dyDescent="0.3">
      <c r="C33" s="51" t="s">
        <v>313</v>
      </c>
      <c r="D33" s="83"/>
      <c r="E33" s="8"/>
      <c r="F33" s="8"/>
      <c r="G33" s="8"/>
      <c r="H33" s="8"/>
      <c r="I33" s="8"/>
      <c r="J33" s="8"/>
      <c r="K33" s="8"/>
      <c r="L33" s="8"/>
      <c r="M33" s="8"/>
      <c r="N33" s="8"/>
      <c r="O33" s="53" t="b">
        <f t="shared" si="0"/>
        <v>1</v>
      </c>
    </row>
    <row r="34" spans="2:15" ht="32.25" customHeight="1" thickBot="1" x14ac:dyDescent="0.3">
      <c r="C34" s="51" t="s">
        <v>314</v>
      </c>
      <c r="D34" s="83"/>
      <c r="E34" s="8"/>
      <c r="F34" s="8"/>
      <c r="G34" s="8"/>
      <c r="H34" s="8"/>
      <c r="I34" s="8"/>
      <c r="J34" s="8"/>
      <c r="K34" s="8"/>
      <c r="L34" s="8"/>
      <c r="M34" s="8"/>
      <c r="N34" s="8"/>
      <c r="O34" s="53" t="b">
        <f t="shared" si="0"/>
        <v>1</v>
      </c>
    </row>
    <row r="35" spans="2:15" ht="33.75" customHeight="1" thickBot="1" x14ac:dyDescent="0.3">
      <c r="C35" s="51" t="s">
        <v>315</v>
      </c>
      <c r="D35" s="83"/>
      <c r="E35" s="8"/>
      <c r="F35" s="8"/>
      <c r="G35" s="8"/>
      <c r="H35" s="8"/>
      <c r="I35" s="8"/>
      <c r="J35" s="8"/>
      <c r="K35" s="8"/>
      <c r="L35" s="8"/>
      <c r="M35" s="8"/>
      <c r="N35" s="8"/>
      <c r="O35" s="53" t="b">
        <f t="shared" si="0"/>
        <v>1</v>
      </c>
    </row>
    <row r="36" spans="2:15" ht="36" customHeight="1" thickBot="1" x14ac:dyDescent="0.3">
      <c r="C36" s="51" t="s">
        <v>316</v>
      </c>
      <c r="D36" s="83"/>
      <c r="E36" s="8"/>
      <c r="F36" s="8"/>
      <c r="G36" s="8"/>
      <c r="H36" s="8"/>
      <c r="I36" s="8"/>
      <c r="J36" s="8"/>
      <c r="K36" s="8"/>
      <c r="L36" s="8"/>
      <c r="M36" s="8"/>
      <c r="N36" s="8"/>
      <c r="O36" s="53" t="b">
        <f t="shared" si="0"/>
        <v>1</v>
      </c>
    </row>
    <row r="37" spans="2:15" ht="30.4" customHeight="1" thickBot="1" x14ac:dyDescent="0.3">
      <c r="C37" s="51" t="s">
        <v>317</v>
      </c>
      <c r="D37" s="83"/>
      <c r="E37" s="8"/>
      <c r="F37" s="8"/>
      <c r="G37" s="8"/>
      <c r="H37" s="8"/>
      <c r="I37" s="8"/>
      <c r="J37" s="8"/>
      <c r="K37" s="8"/>
      <c r="L37" s="8"/>
      <c r="M37" s="8"/>
      <c r="N37" s="8"/>
      <c r="O37" s="53" t="b">
        <f t="shared" si="0"/>
        <v>1</v>
      </c>
    </row>
    <row r="38" spans="2:15" ht="30.4" customHeight="1" thickBot="1" x14ac:dyDescent="0.3">
      <c r="C38" s="51" t="s">
        <v>318</v>
      </c>
      <c r="D38" s="83"/>
      <c r="E38" s="8"/>
      <c r="F38" s="8"/>
      <c r="G38" s="8"/>
      <c r="H38" s="8"/>
      <c r="I38" s="8"/>
      <c r="J38" s="8"/>
      <c r="K38" s="8"/>
      <c r="L38" s="8"/>
      <c r="M38" s="8"/>
      <c r="N38" s="8"/>
      <c r="O38" s="53" t="b">
        <f t="shared" si="0"/>
        <v>1</v>
      </c>
    </row>
    <row r="39" spans="2:15" ht="30.4" customHeight="1" x14ac:dyDescent="0.25">
      <c r="C39" s="51" t="s">
        <v>319</v>
      </c>
      <c r="D39" s="88"/>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15</v>
      </c>
      <c r="F40" s="52">
        <f t="shared" si="1"/>
        <v>6</v>
      </c>
      <c r="G40" s="52">
        <f t="shared" si="1"/>
        <v>5</v>
      </c>
      <c r="H40" s="52">
        <f t="shared" si="1"/>
        <v>2</v>
      </c>
      <c r="I40" s="52">
        <f t="shared" si="1"/>
        <v>2</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0.4</v>
      </c>
      <c r="G41" s="54">
        <f>ROUND(G40/E40,2)</f>
        <v>0.33</v>
      </c>
      <c r="H41" s="54">
        <f>ROUND(H40/E40,2)</f>
        <v>0.13</v>
      </c>
      <c r="I41" s="54">
        <f>ROUND(I40/E40,2)</f>
        <v>0.13</v>
      </c>
      <c r="J41" s="54">
        <f>ROUND(J40/E40,2)</f>
        <v>0</v>
      </c>
      <c r="K41" s="54">
        <f>ROUND(K40/E40,2)</f>
        <v>0</v>
      </c>
      <c r="L41" s="54">
        <f>ROUND(L40/E40,2)</f>
        <v>0</v>
      </c>
      <c r="M41" s="54">
        <f>ROUND(M40/E40,2)</f>
        <v>0</v>
      </c>
      <c r="N41" s="54">
        <f>ROUND(N40/E40,2)</f>
        <v>0</v>
      </c>
      <c r="O41" s="54">
        <f>SUM(F41:N41)</f>
        <v>0.99</v>
      </c>
    </row>
    <row r="42" spans="2:15" ht="55.9" customHeight="1" x14ac:dyDescent="0.25">
      <c r="C42" s="151" t="s">
        <v>322</v>
      </c>
      <c r="D42" s="151"/>
      <c r="E42" s="151"/>
      <c r="F42" s="7">
        <v>50</v>
      </c>
      <c r="G42" s="7">
        <v>40</v>
      </c>
      <c r="H42" s="7">
        <v>5</v>
      </c>
      <c r="I42" s="7">
        <v>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K3.1</v>
      </c>
      <c r="G46" s="59" t="str">
        <f>C13</f>
        <v>S5.1</v>
      </c>
      <c r="H46" s="59" t="str">
        <f>C14</f>
        <v>V2.1</v>
      </c>
      <c r="I46" s="59">
        <f>C15</f>
        <v>0</v>
      </c>
      <c r="J46" s="59">
        <f>C16</f>
        <v>0</v>
      </c>
      <c r="K46" s="59">
        <f>C17</f>
        <v>0</v>
      </c>
      <c r="L46" s="59">
        <f>C18</f>
        <v>0</v>
      </c>
      <c r="M46" s="59">
        <f>C19</f>
        <v>0</v>
      </c>
      <c r="N46" s="60" t="s">
        <v>327</v>
      </c>
    </row>
    <row r="47" spans="2:15" ht="55.15" customHeight="1" x14ac:dyDescent="0.25">
      <c r="C47" s="9" t="s">
        <v>328</v>
      </c>
      <c r="D47" s="10">
        <v>25</v>
      </c>
      <c r="E47" s="8">
        <v>10</v>
      </c>
      <c r="F47" s="8">
        <v>15</v>
      </c>
      <c r="G47" s="8"/>
      <c r="H47" s="8"/>
      <c r="I47" s="8"/>
      <c r="J47" s="8"/>
      <c r="K47" s="8"/>
      <c r="L47" s="8"/>
      <c r="M47" s="8"/>
      <c r="N47" s="55" t="b">
        <f t="shared" ref="N47:N54" si="2">IF(SUM(E47:M47)=D47,TRUE,"false")</f>
        <v>1</v>
      </c>
    </row>
    <row r="48" spans="2:15" ht="55.15" customHeight="1" x14ac:dyDescent="0.25">
      <c r="C48" s="9" t="s">
        <v>329</v>
      </c>
      <c r="D48" s="10">
        <v>10</v>
      </c>
      <c r="E48" s="11">
        <v>10</v>
      </c>
      <c r="F48" s="12"/>
      <c r="G48" s="12"/>
      <c r="H48" s="12"/>
      <c r="I48" s="12"/>
      <c r="J48" s="12"/>
      <c r="K48" s="12"/>
      <c r="L48" s="12"/>
      <c r="M48" s="12"/>
      <c r="N48" s="55" t="b">
        <f t="shared" si="2"/>
        <v>1</v>
      </c>
    </row>
    <row r="49" spans="3:14" ht="55.15" customHeight="1" x14ac:dyDescent="0.25">
      <c r="C49" s="9" t="s">
        <v>330</v>
      </c>
      <c r="D49" s="10">
        <v>5</v>
      </c>
      <c r="E49" s="11">
        <v>0</v>
      </c>
      <c r="F49" s="12">
        <v>5</v>
      </c>
      <c r="G49" s="12"/>
      <c r="H49" s="12"/>
      <c r="I49" s="12"/>
      <c r="J49" s="12"/>
      <c r="K49" s="12"/>
      <c r="L49" s="12"/>
      <c r="M49" s="12"/>
      <c r="N49" s="55" t="b">
        <f t="shared" si="2"/>
        <v>1</v>
      </c>
    </row>
    <row r="50" spans="3:14" ht="55.15" customHeight="1" x14ac:dyDescent="0.25">
      <c r="C50" s="9" t="s">
        <v>331</v>
      </c>
      <c r="D50" s="10">
        <v>10</v>
      </c>
      <c r="E50" s="11"/>
      <c r="F50" s="12"/>
      <c r="G50" s="12">
        <v>5</v>
      </c>
      <c r="H50" s="12">
        <v>5</v>
      </c>
      <c r="I50" s="12"/>
      <c r="J50" s="12"/>
      <c r="K50" s="12"/>
      <c r="L50" s="12"/>
      <c r="M50" s="12"/>
      <c r="N50" s="55" t="b">
        <f t="shared" si="2"/>
        <v>1</v>
      </c>
    </row>
    <row r="51" spans="3:14" ht="55.15" customHeight="1" x14ac:dyDescent="0.25">
      <c r="C51" s="9" t="s">
        <v>332</v>
      </c>
      <c r="D51" s="10"/>
      <c r="E51" s="11"/>
      <c r="F51" s="12"/>
      <c r="G51" s="12"/>
      <c r="H51" s="12"/>
      <c r="I51" s="12"/>
      <c r="J51" s="12"/>
      <c r="K51" s="12"/>
      <c r="L51" s="12"/>
      <c r="M51" s="12"/>
      <c r="N51" s="55" t="b">
        <f t="shared" si="2"/>
        <v>1</v>
      </c>
    </row>
    <row r="52" spans="3:14" ht="55.15" customHeight="1" x14ac:dyDescent="0.25">
      <c r="C52" s="9" t="s">
        <v>605</v>
      </c>
      <c r="D52" s="10"/>
      <c r="E52" s="11"/>
      <c r="F52" s="12"/>
      <c r="G52" s="12"/>
      <c r="H52" s="12"/>
      <c r="I52" s="12"/>
      <c r="J52" s="12"/>
      <c r="K52" s="12"/>
      <c r="L52" s="12"/>
      <c r="M52" s="12"/>
      <c r="N52" s="55" t="b">
        <f t="shared" si="2"/>
        <v>1</v>
      </c>
    </row>
    <row r="53" spans="3:14" ht="55.15" customHeight="1" x14ac:dyDescent="0.25">
      <c r="C53" s="9" t="s">
        <v>504</v>
      </c>
      <c r="D53" s="10">
        <v>50</v>
      </c>
      <c r="E53" s="11">
        <v>30</v>
      </c>
      <c r="F53" s="12">
        <v>20</v>
      </c>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50</v>
      </c>
      <c r="F56" s="65">
        <f t="shared" si="4"/>
        <v>40</v>
      </c>
      <c r="G56" s="65">
        <f t="shared" si="4"/>
        <v>5</v>
      </c>
      <c r="H56" s="65">
        <f t="shared" si="4"/>
        <v>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383" priority="11">
      <formula>LEN(TRIM(D47))=0</formula>
    </cfRule>
    <cfRule type="cellIs" dxfId="382" priority="12" operator="equal">
      <formula>0</formula>
    </cfRule>
  </conditionalFormatting>
  <conditionalFormatting sqref="E50">
    <cfRule type="containsBlanks" dxfId="381" priority="21">
      <formula>LEN(TRIM(E50))=0</formula>
    </cfRule>
    <cfRule type="cellIs" dxfId="380" priority="22" operator="equal">
      <formula>0</formula>
    </cfRule>
  </conditionalFormatting>
  <conditionalFormatting sqref="E47:M51 E52">
    <cfRule type="containsBlanks" dxfId="379" priority="17">
      <formula>LEN(TRIM(E47))=0</formula>
    </cfRule>
    <cfRule type="cellIs" dxfId="378" priority="18" operator="equal">
      <formula>0</formula>
    </cfRule>
  </conditionalFormatting>
  <conditionalFormatting sqref="E53:M54">
    <cfRule type="containsBlanks" dxfId="377" priority="15">
      <formula>LEN(TRIM(E53))=0</formula>
    </cfRule>
    <cfRule type="cellIs" dxfId="376" priority="16" operator="equal">
      <formula>0</formula>
    </cfRule>
  </conditionalFormatting>
  <conditionalFormatting sqref="E55:M55">
    <cfRule type="containsText" dxfId="375" priority="5" operator="containsText" text="false">
      <formula>NOT(ISERROR(SEARCH("false",E55)))</formula>
    </cfRule>
    <cfRule type="containsText" dxfId="374" priority="6" operator="containsText" text="true">
      <formula>NOT(ISERROR(SEARCH("true",E55)))</formula>
    </cfRule>
  </conditionalFormatting>
  <conditionalFormatting sqref="E26:N39">
    <cfRule type="containsBlanks" dxfId="373" priority="3">
      <formula>LEN(TRIM(E26))=0</formula>
    </cfRule>
    <cfRule type="cellIs" dxfId="372" priority="4" operator="equal">
      <formula>0</formula>
    </cfRule>
  </conditionalFormatting>
  <conditionalFormatting sqref="F48:M48">
    <cfRule type="containsBlanks" dxfId="371" priority="23">
      <formula>LEN(TRIM(F48))=0</formula>
    </cfRule>
    <cfRule type="cellIs" dxfId="370" priority="24" operator="equal">
      <formula>0</formula>
    </cfRule>
  </conditionalFormatting>
  <conditionalFormatting sqref="F50:M52">
    <cfRule type="containsBlanks" dxfId="369" priority="19">
      <formula>LEN(TRIM(F50))=0</formula>
    </cfRule>
    <cfRule type="cellIs" dxfId="368" priority="20" operator="equal">
      <formula>0</formula>
    </cfRule>
  </conditionalFormatting>
  <conditionalFormatting sqref="N47:N54">
    <cfRule type="containsText" dxfId="367" priority="7" operator="containsText" text="false">
      <formula>NOT(ISERROR(SEARCH("false",N47)))</formula>
    </cfRule>
    <cfRule type="containsText" dxfId="366" priority="8" operator="containsText" text="true">
      <formula>NOT(ISERROR(SEARCH("true",N47)))</formula>
    </cfRule>
  </conditionalFormatting>
  <conditionalFormatting sqref="N55">
    <cfRule type="containsBlanks" dxfId="365" priority="13">
      <formula>LEN(TRIM(N55))=0</formula>
    </cfRule>
    <cfRule type="cellIs" dxfId="364" priority="14" operator="equal">
      <formula>0</formula>
    </cfRule>
  </conditionalFormatting>
  <conditionalFormatting sqref="O26:O40">
    <cfRule type="containsText" dxfId="363" priority="9" operator="containsText" text="false">
      <formula>NOT(ISERROR(SEARCH("false",O26)))</formula>
    </cfRule>
    <cfRule type="containsText" dxfId="362" priority="10" operator="containsText" text="true">
      <formula>NOT(ISERROR(SEARCH("true",O26)))</formula>
    </cfRule>
  </conditionalFormatting>
  <conditionalFormatting sqref="O42">
    <cfRule type="cellIs" dxfId="361" priority="1" operator="notEqual">
      <formula>100</formula>
    </cfRule>
    <cfRule type="cellIs" dxfId="360" priority="2" operator="equal">
      <formula>100</formula>
    </cfRule>
  </conditionalFormatting>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00B050"/>
  </sheetPr>
  <dimension ref="B2:AB57"/>
  <sheetViews>
    <sheetView topLeftCell="A4" zoomScale="50" zoomScaleNormal="5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254</v>
      </c>
      <c r="J6" s="43" t="s">
        <v>278</v>
      </c>
      <c r="K6" s="1" t="s">
        <v>114</v>
      </c>
    </row>
    <row r="7" spans="2:26" ht="72.599999999999994" customHeight="1" thickBot="1" x14ac:dyDescent="0.3">
      <c r="B7" s="160"/>
      <c r="C7" s="161"/>
      <c r="D7" s="43" t="s">
        <v>279</v>
      </c>
      <c r="E7" s="1">
        <v>5</v>
      </c>
      <c r="F7" s="43" t="s">
        <v>280</v>
      </c>
      <c r="G7" s="1">
        <v>9</v>
      </c>
      <c r="H7" s="43" t="s">
        <v>281</v>
      </c>
      <c r="I7" s="1" t="s">
        <v>282</v>
      </c>
      <c r="J7" s="43" t="s">
        <v>283</v>
      </c>
      <c r="K7" s="1" t="s">
        <v>1300</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210" x14ac:dyDescent="0.25">
      <c r="B11" s="36"/>
      <c r="C11" s="89" t="s">
        <v>415</v>
      </c>
      <c r="D11" s="78" t="s">
        <v>1301</v>
      </c>
      <c r="E11" s="89" t="s">
        <v>10</v>
      </c>
      <c r="F11" s="3"/>
      <c r="G11" s="17"/>
      <c r="H11" s="17">
        <v>0.6</v>
      </c>
      <c r="I11" s="17">
        <v>1</v>
      </c>
      <c r="J11" s="80" t="s">
        <v>1302</v>
      </c>
      <c r="K11" s="80" t="s">
        <v>1303</v>
      </c>
      <c r="U11" s="3">
        <f>F11</f>
        <v>0</v>
      </c>
      <c r="V11" s="2" t="str">
        <f>C11</f>
        <v>K2.1</v>
      </c>
      <c r="W11" s="2"/>
      <c r="X11" s="17"/>
      <c r="Y11" s="37"/>
      <c r="Z11" s="37"/>
    </row>
    <row r="12" spans="2:26" ht="42" x14ac:dyDescent="0.25">
      <c r="B12" s="36"/>
      <c r="C12" s="84" t="s">
        <v>560</v>
      </c>
      <c r="D12" s="79" t="s">
        <v>1304</v>
      </c>
      <c r="E12" s="84" t="s">
        <v>13</v>
      </c>
      <c r="F12" s="6"/>
      <c r="G12" s="4"/>
      <c r="H12" s="4">
        <v>0.6</v>
      </c>
      <c r="I12" s="4">
        <v>1</v>
      </c>
      <c r="J12" s="81" t="s">
        <v>1305</v>
      </c>
      <c r="K12" s="82" t="s">
        <v>1306</v>
      </c>
      <c r="U12" s="6">
        <f>F12</f>
        <v>0</v>
      </c>
      <c r="V12" s="2" t="str">
        <f>C12</f>
        <v>K3.1</v>
      </c>
      <c r="W12" s="5"/>
      <c r="X12" s="4"/>
      <c r="Y12" s="38"/>
      <c r="Z12" s="38"/>
    </row>
    <row r="13" spans="2:26" ht="63" x14ac:dyDescent="0.25">
      <c r="B13" s="36"/>
      <c r="C13" s="84" t="s">
        <v>395</v>
      </c>
      <c r="D13" s="79" t="s">
        <v>1307</v>
      </c>
      <c r="E13" s="84" t="s">
        <v>24</v>
      </c>
      <c r="F13" s="6"/>
      <c r="G13" s="4"/>
      <c r="H13" s="4">
        <v>0.6</v>
      </c>
      <c r="I13" s="4">
        <v>1</v>
      </c>
      <c r="J13" s="81" t="s">
        <v>1308</v>
      </c>
      <c r="K13" s="81" t="s">
        <v>1309</v>
      </c>
      <c r="U13" s="6">
        <f>F13</f>
        <v>0</v>
      </c>
      <c r="V13" s="2" t="str">
        <f>C13</f>
        <v>S3.1</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K3.1</v>
      </c>
      <c r="H25" s="49" t="str">
        <f>C13</f>
        <v>S3.1</v>
      </c>
      <c r="I25" s="49">
        <f>C14</f>
        <v>0</v>
      </c>
      <c r="J25" s="49">
        <f>C15</f>
        <v>0</v>
      </c>
      <c r="K25" s="49">
        <f>C16</f>
        <v>0</v>
      </c>
      <c r="L25" s="49">
        <f>C17</f>
        <v>0</v>
      </c>
      <c r="M25" s="49">
        <f>C18</f>
        <v>0</v>
      </c>
      <c r="N25" s="49">
        <f>C19</f>
        <v>0</v>
      </c>
      <c r="O25" s="50" t="s">
        <v>305</v>
      </c>
    </row>
    <row r="26" spans="2:26" ht="30.75" thickBot="1" x14ac:dyDescent="0.3">
      <c r="C26" s="51" t="s">
        <v>306</v>
      </c>
      <c r="D26" s="92" t="s">
        <v>1310</v>
      </c>
      <c r="E26" s="8">
        <v>8</v>
      </c>
      <c r="F26" s="8">
        <v>2</v>
      </c>
      <c r="G26" s="8"/>
      <c r="H26" s="8">
        <v>6</v>
      </c>
      <c r="I26" s="8"/>
      <c r="J26" s="8"/>
      <c r="K26" s="8"/>
      <c r="L26" s="8"/>
      <c r="M26" s="8"/>
      <c r="N26" s="8"/>
      <c r="O26" s="53" t="b">
        <f t="shared" ref="O26:O40" si="0">IF(SUM(F26:N26)=E26,TRUE,"false")</f>
        <v>1</v>
      </c>
    </row>
    <row r="27" spans="2:26" ht="47.1" customHeight="1" thickBot="1" x14ac:dyDescent="0.3">
      <c r="C27" s="51" t="s">
        <v>307</v>
      </c>
      <c r="D27" s="92" t="s">
        <v>1311</v>
      </c>
      <c r="E27" s="8">
        <v>22</v>
      </c>
      <c r="F27" s="8">
        <v>6</v>
      </c>
      <c r="G27" s="8"/>
      <c r="H27" s="8">
        <v>16</v>
      </c>
      <c r="I27" s="8"/>
      <c r="J27" s="8"/>
      <c r="K27" s="8"/>
      <c r="L27" s="8"/>
      <c r="M27" s="8"/>
      <c r="N27" s="8"/>
      <c r="O27" s="53" t="b">
        <f t="shared" si="0"/>
        <v>1</v>
      </c>
    </row>
    <row r="28" spans="2:26" ht="51.95" customHeight="1" thickBot="1" x14ac:dyDescent="0.3">
      <c r="C28" s="51" t="s">
        <v>308</v>
      </c>
      <c r="D28" s="92" t="s">
        <v>1312</v>
      </c>
      <c r="E28" s="8">
        <v>10</v>
      </c>
      <c r="F28" s="8">
        <v>2</v>
      </c>
      <c r="G28" s="8"/>
      <c r="H28" s="8">
        <v>8</v>
      </c>
      <c r="I28" s="8"/>
      <c r="J28" s="8"/>
      <c r="K28" s="8"/>
      <c r="L28" s="8"/>
      <c r="M28" s="8"/>
      <c r="N28" s="8"/>
      <c r="O28" s="53" t="b">
        <f t="shared" si="0"/>
        <v>1</v>
      </c>
    </row>
    <row r="29" spans="2:26" ht="47.1" customHeight="1" thickBot="1" x14ac:dyDescent="0.3">
      <c r="C29" s="51" t="s">
        <v>309</v>
      </c>
      <c r="D29" s="92" t="s">
        <v>1313</v>
      </c>
      <c r="E29" s="8">
        <v>16</v>
      </c>
      <c r="F29" s="8">
        <v>8</v>
      </c>
      <c r="G29" s="8"/>
      <c r="H29" s="8">
        <v>8</v>
      </c>
      <c r="I29" s="8"/>
      <c r="J29" s="8"/>
      <c r="K29" s="8"/>
      <c r="L29" s="8"/>
      <c r="M29" s="8"/>
      <c r="N29" s="8"/>
      <c r="O29" s="53" t="b">
        <f t="shared" si="0"/>
        <v>1</v>
      </c>
    </row>
    <row r="30" spans="2:26" ht="48" customHeight="1" thickBot="1" x14ac:dyDescent="0.3">
      <c r="C30" s="51" t="s">
        <v>310</v>
      </c>
      <c r="D30" s="92" t="s">
        <v>1314</v>
      </c>
      <c r="E30" s="8">
        <v>2</v>
      </c>
      <c r="F30" s="8">
        <v>2</v>
      </c>
      <c r="G30" s="8"/>
      <c r="H30" s="8"/>
      <c r="I30" s="8"/>
      <c r="J30" s="8"/>
      <c r="K30" s="8"/>
      <c r="L30" s="8"/>
      <c r="M30" s="8"/>
      <c r="N30" s="8"/>
      <c r="O30" s="53" t="b">
        <f t="shared" si="0"/>
        <v>1</v>
      </c>
    </row>
    <row r="31" spans="2:26" ht="53.1" customHeight="1" thickBot="1" x14ac:dyDescent="0.3">
      <c r="C31" s="51" t="s">
        <v>311</v>
      </c>
      <c r="D31" s="92" t="s">
        <v>1315</v>
      </c>
      <c r="E31" s="8">
        <v>2</v>
      </c>
      <c r="F31" s="8"/>
      <c r="G31" s="8">
        <v>2</v>
      </c>
      <c r="H31" s="8"/>
      <c r="I31" s="8"/>
      <c r="J31" s="8"/>
      <c r="K31" s="8"/>
      <c r="L31" s="8"/>
      <c r="M31" s="8"/>
      <c r="N31" s="8"/>
      <c r="O31" s="53" t="b">
        <f t="shared" si="0"/>
        <v>1</v>
      </c>
    </row>
    <row r="32" spans="2:26" ht="30.4" customHeight="1" thickBot="1" x14ac:dyDescent="0.3">
      <c r="C32" s="51" t="s">
        <v>312</v>
      </c>
      <c r="D32" s="25"/>
      <c r="E32" s="8"/>
      <c r="F32" s="8"/>
      <c r="G32" s="8"/>
      <c r="H32" s="8"/>
      <c r="I32" s="8"/>
      <c r="J32" s="8"/>
      <c r="K32" s="8"/>
      <c r="L32" s="8"/>
      <c r="M32" s="8"/>
      <c r="N32" s="8"/>
      <c r="O32" s="53" t="b">
        <f t="shared" si="0"/>
        <v>1</v>
      </c>
    </row>
    <row r="33" spans="2:15" ht="30.4" customHeight="1" thickBot="1" x14ac:dyDescent="0.3">
      <c r="C33" s="51" t="s">
        <v>313</v>
      </c>
      <c r="D33" s="25"/>
      <c r="E33" s="8"/>
      <c r="F33" s="8"/>
      <c r="G33" s="8"/>
      <c r="H33" s="8"/>
      <c r="I33" s="8"/>
      <c r="J33" s="8"/>
      <c r="K33" s="8"/>
      <c r="L33" s="8"/>
      <c r="M33" s="8"/>
      <c r="N33" s="8"/>
      <c r="O33" s="53" t="b">
        <f t="shared" si="0"/>
        <v>1</v>
      </c>
    </row>
    <row r="34" spans="2:15" ht="30.4" customHeight="1" thickBot="1" x14ac:dyDescent="0.3">
      <c r="C34" s="51" t="s">
        <v>314</v>
      </c>
      <c r="D34" s="25"/>
      <c r="E34" s="8"/>
      <c r="F34" s="8"/>
      <c r="G34" s="8"/>
      <c r="H34" s="8"/>
      <c r="I34" s="8"/>
      <c r="J34" s="8"/>
      <c r="K34" s="8"/>
      <c r="L34" s="8"/>
      <c r="M34" s="8"/>
      <c r="N34" s="8"/>
      <c r="O34" s="53" t="b">
        <f t="shared" si="0"/>
        <v>1</v>
      </c>
    </row>
    <row r="35" spans="2:15" ht="30.4" customHeight="1" thickBot="1" x14ac:dyDescent="0.3">
      <c r="C35" s="51" t="s">
        <v>315</v>
      </c>
      <c r="D35" s="25"/>
      <c r="E35" s="8"/>
      <c r="F35" s="8"/>
      <c r="G35" s="8"/>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20</v>
      </c>
      <c r="G40" s="52">
        <f t="shared" si="1"/>
        <v>2</v>
      </c>
      <c r="H40" s="52">
        <f t="shared" si="1"/>
        <v>38</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0.33</v>
      </c>
      <c r="G41" s="54">
        <f>ROUND(G40/E40,2)</f>
        <v>0.03</v>
      </c>
      <c r="H41" s="54">
        <f>ROUND(H40/E40,2)</f>
        <v>0.63</v>
      </c>
      <c r="I41" s="54">
        <f>ROUND(I40/E40,2)</f>
        <v>0</v>
      </c>
      <c r="J41" s="54">
        <f>ROUND(J40/E40,2)</f>
        <v>0</v>
      </c>
      <c r="K41" s="54">
        <f>ROUND(K40/E40,2)</f>
        <v>0</v>
      </c>
      <c r="L41" s="54">
        <f>ROUND(L40/E40,2)</f>
        <v>0</v>
      </c>
      <c r="M41" s="54">
        <f>ROUND(M40/E40,2)</f>
        <v>0</v>
      </c>
      <c r="N41" s="54">
        <f>ROUND(N40/E40,2)</f>
        <v>0</v>
      </c>
      <c r="O41" s="54">
        <f>SUM(F41:N41)</f>
        <v>0.99</v>
      </c>
    </row>
    <row r="42" spans="2:15" ht="55.9" customHeight="1" x14ac:dyDescent="0.25">
      <c r="C42" s="151" t="s">
        <v>322</v>
      </c>
      <c r="D42" s="151"/>
      <c r="E42" s="151"/>
      <c r="F42" s="7">
        <v>35</v>
      </c>
      <c r="G42" s="7">
        <v>5</v>
      </c>
      <c r="H42" s="7">
        <v>60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K3.1</v>
      </c>
      <c r="G46" s="59" t="str">
        <f>C13</f>
        <v>S3.1</v>
      </c>
      <c r="H46" s="59">
        <f>C14</f>
        <v>0</v>
      </c>
      <c r="I46" s="59">
        <f>C15</f>
        <v>0</v>
      </c>
      <c r="J46" s="59">
        <f>C16</f>
        <v>0</v>
      </c>
      <c r="K46" s="59">
        <f>C17</f>
        <v>0</v>
      </c>
      <c r="L46" s="59">
        <f>C18</f>
        <v>0</v>
      </c>
      <c r="M46" s="59">
        <f>C19</f>
        <v>0</v>
      </c>
      <c r="N46" s="60" t="s">
        <v>327</v>
      </c>
    </row>
    <row r="47" spans="2:15" ht="55.15" customHeight="1" x14ac:dyDescent="0.25">
      <c r="C47" s="9" t="s">
        <v>328</v>
      </c>
      <c r="D47" s="10">
        <v>20</v>
      </c>
      <c r="E47" s="8">
        <v>10</v>
      </c>
      <c r="F47" s="8"/>
      <c r="G47" s="8">
        <v>10</v>
      </c>
      <c r="H47" s="8"/>
      <c r="I47" s="8"/>
      <c r="J47" s="8"/>
      <c r="K47" s="8"/>
      <c r="L47" s="8"/>
      <c r="M47" s="8"/>
      <c r="N47" s="55" t="b">
        <f t="shared" ref="N47:N54" si="2">IF(SUM(E47:M47)=D47,TRUE,"false")</f>
        <v>1</v>
      </c>
    </row>
    <row r="48" spans="2:15" ht="55.15" customHeight="1" x14ac:dyDescent="0.25">
      <c r="C48" s="9" t="s">
        <v>1316</v>
      </c>
      <c r="D48" s="10">
        <v>5</v>
      </c>
      <c r="E48" s="11"/>
      <c r="F48" s="12">
        <v>5</v>
      </c>
      <c r="G48" s="12"/>
      <c r="H48" s="12"/>
      <c r="I48" s="12"/>
      <c r="J48" s="12"/>
      <c r="K48" s="12"/>
      <c r="L48" s="12"/>
      <c r="M48" s="12"/>
      <c r="N48" s="55" t="b">
        <f t="shared" si="2"/>
        <v>1</v>
      </c>
    </row>
    <row r="49" spans="3:14" ht="55.15" customHeight="1" x14ac:dyDescent="0.25">
      <c r="C49" s="9" t="s">
        <v>809</v>
      </c>
      <c r="D49" s="10">
        <v>5</v>
      </c>
      <c r="E49" s="11"/>
      <c r="F49" s="12"/>
      <c r="G49" s="12">
        <v>5</v>
      </c>
      <c r="H49" s="12"/>
      <c r="I49" s="12"/>
      <c r="J49" s="12"/>
      <c r="K49" s="12"/>
      <c r="L49" s="12"/>
      <c r="M49" s="12"/>
      <c r="N49" s="55" t="b">
        <f t="shared" si="2"/>
        <v>1</v>
      </c>
    </row>
    <row r="50" spans="3:14" ht="55.15" customHeight="1" x14ac:dyDescent="0.25">
      <c r="C50" s="9" t="s">
        <v>1317</v>
      </c>
      <c r="D50" s="10">
        <v>20</v>
      </c>
      <c r="E50" s="11"/>
      <c r="F50" s="12"/>
      <c r="G50" s="12">
        <v>20</v>
      </c>
      <c r="H50" s="12"/>
      <c r="I50" s="12"/>
      <c r="J50" s="12"/>
      <c r="K50" s="12"/>
      <c r="L50" s="12"/>
      <c r="M50" s="12"/>
      <c r="N50" s="55" t="b">
        <f t="shared" si="2"/>
        <v>1</v>
      </c>
    </row>
    <row r="51" spans="3:14" ht="55.15" customHeight="1" x14ac:dyDescent="0.25">
      <c r="C51" s="9" t="s">
        <v>1318</v>
      </c>
      <c r="D51" s="10">
        <v>50</v>
      </c>
      <c r="E51" s="11">
        <v>25</v>
      </c>
      <c r="F51" s="12"/>
      <c r="G51" s="12">
        <v>25</v>
      </c>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35</v>
      </c>
      <c r="F56" s="65">
        <f t="shared" si="4"/>
        <v>5</v>
      </c>
      <c r="G56" s="65">
        <f t="shared" si="4"/>
        <v>60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JDOXQtqZTM3Zv9djB9wzG2GUo8KoK3e2/LYjSamrPgn7NdPrGn1eSNvQwkHUg73f6P2cIjVFOaeBT9lbt34eEQ==" saltValue="b9zMnIsFj4CPfPbP868f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359" priority="11">
      <formula>LEN(TRIM(D47))=0</formula>
    </cfRule>
    <cfRule type="cellIs" dxfId="358" priority="12" operator="equal">
      <formula>0</formula>
    </cfRule>
  </conditionalFormatting>
  <conditionalFormatting sqref="E50">
    <cfRule type="containsBlanks" dxfId="357" priority="21">
      <formula>LEN(TRIM(E50))=0</formula>
    </cfRule>
    <cfRule type="cellIs" dxfId="356" priority="22" operator="equal">
      <formula>0</formula>
    </cfRule>
  </conditionalFormatting>
  <conditionalFormatting sqref="E47:M51 E52">
    <cfRule type="containsBlanks" dxfId="355" priority="17">
      <formula>LEN(TRIM(E47))=0</formula>
    </cfRule>
    <cfRule type="cellIs" dxfId="354" priority="18" operator="equal">
      <formula>0</formula>
    </cfRule>
  </conditionalFormatting>
  <conditionalFormatting sqref="E53:M54">
    <cfRule type="containsBlanks" dxfId="353" priority="15">
      <formula>LEN(TRIM(E53))=0</formula>
    </cfRule>
    <cfRule type="cellIs" dxfId="352" priority="16" operator="equal">
      <formula>0</formula>
    </cfRule>
  </conditionalFormatting>
  <conditionalFormatting sqref="E55:M55">
    <cfRule type="containsText" dxfId="351" priority="5" operator="containsText" text="false">
      <formula>NOT(ISERROR(SEARCH("false",E55)))</formula>
    </cfRule>
    <cfRule type="containsText" dxfId="350" priority="6" operator="containsText" text="true">
      <formula>NOT(ISERROR(SEARCH("true",E55)))</formula>
    </cfRule>
  </conditionalFormatting>
  <conditionalFormatting sqref="E26:N39">
    <cfRule type="containsBlanks" dxfId="349" priority="3">
      <formula>LEN(TRIM(E26))=0</formula>
    </cfRule>
    <cfRule type="cellIs" dxfId="348" priority="4" operator="equal">
      <formula>0</formula>
    </cfRule>
  </conditionalFormatting>
  <conditionalFormatting sqref="F48:M48">
    <cfRule type="containsBlanks" dxfId="347" priority="23">
      <formula>LEN(TRIM(F48))=0</formula>
    </cfRule>
    <cfRule type="cellIs" dxfId="346" priority="24" operator="equal">
      <formula>0</formula>
    </cfRule>
  </conditionalFormatting>
  <conditionalFormatting sqref="F50:M52">
    <cfRule type="containsBlanks" dxfId="345" priority="19">
      <formula>LEN(TRIM(F50))=0</formula>
    </cfRule>
    <cfRule type="cellIs" dxfId="344" priority="20" operator="equal">
      <formula>0</formula>
    </cfRule>
  </conditionalFormatting>
  <conditionalFormatting sqref="N47:N54">
    <cfRule type="containsText" dxfId="343" priority="7" operator="containsText" text="false">
      <formula>NOT(ISERROR(SEARCH("false",N47)))</formula>
    </cfRule>
    <cfRule type="containsText" dxfId="342" priority="8" operator="containsText" text="true">
      <formula>NOT(ISERROR(SEARCH("true",N47)))</formula>
    </cfRule>
  </conditionalFormatting>
  <conditionalFormatting sqref="N55">
    <cfRule type="containsBlanks" dxfId="341" priority="13">
      <formula>LEN(TRIM(N55))=0</formula>
    </cfRule>
    <cfRule type="cellIs" dxfId="340" priority="14" operator="equal">
      <formula>0</formula>
    </cfRule>
  </conditionalFormatting>
  <conditionalFormatting sqref="O26:O40">
    <cfRule type="containsText" dxfId="339" priority="9" operator="containsText" text="false">
      <formula>NOT(ISERROR(SEARCH("false",O26)))</formula>
    </cfRule>
    <cfRule type="containsText" dxfId="338" priority="10" operator="containsText" text="true">
      <formula>NOT(ISERROR(SEARCH("true",O26)))</formula>
    </cfRule>
  </conditionalFormatting>
  <conditionalFormatting sqref="O42">
    <cfRule type="cellIs" dxfId="337" priority="1" operator="notEqual">
      <formula>100</formula>
    </cfRule>
    <cfRule type="cellIs" dxfId="336" priority="2" operator="equal">
      <formula>100</formula>
    </cfRule>
  </conditionalFormatting>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B2:AB57"/>
  <sheetViews>
    <sheetView topLeftCell="B1" zoomScale="50" zoomScaleNormal="50" workbookViewId="0">
      <selection activeCell="D11" sqref="D11"/>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256</v>
      </c>
      <c r="J6" s="43" t="s">
        <v>278</v>
      </c>
      <c r="K6" s="1" t="s">
        <v>115</v>
      </c>
    </row>
    <row r="7" spans="2:26" ht="72.599999999999994" customHeight="1" thickBot="1" x14ac:dyDescent="0.3">
      <c r="B7" s="160"/>
      <c r="C7" s="161"/>
      <c r="D7" s="43" t="s">
        <v>279</v>
      </c>
      <c r="E7" s="1">
        <v>5</v>
      </c>
      <c r="F7" s="43" t="s">
        <v>280</v>
      </c>
      <c r="G7" s="1">
        <v>9</v>
      </c>
      <c r="H7" s="43" t="s">
        <v>281</v>
      </c>
      <c r="I7" s="1">
        <v>2</v>
      </c>
      <c r="J7" s="43" t="s">
        <v>283</v>
      </c>
      <c r="K7" s="1" t="s">
        <v>810</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00.5" customHeight="1" x14ac:dyDescent="0.25">
      <c r="B11" s="36"/>
      <c r="C11" s="129" t="s">
        <v>297</v>
      </c>
      <c r="D11" s="130" t="s">
        <v>1721</v>
      </c>
      <c r="E11" s="129" t="s">
        <v>7</v>
      </c>
      <c r="F11" s="131"/>
      <c r="G11" s="132"/>
      <c r="H11" s="132">
        <v>0.6</v>
      </c>
      <c r="I11" s="132">
        <v>1</v>
      </c>
      <c r="J11" s="133" t="s">
        <v>1319</v>
      </c>
      <c r="K11" s="133" t="s">
        <v>1612</v>
      </c>
      <c r="U11" s="3">
        <f>F11</f>
        <v>0</v>
      </c>
      <c r="V11" s="2" t="str">
        <f t="shared" ref="V11:V19" si="0">C11</f>
        <v>K1.1</v>
      </c>
      <c r="W11" s="2"/>
      <c r="X11" s="17"/>
      <c r="Y11" s="37"/>
      <c r="Z11" s="37"/>
    </row>
    <row r="12" spans="2:26" ht="93" customHeight="1" x14ac:dyDescent="0.25">
      <c r="B12" s="36"/>
      <c r="C12" s="134" t="s">
        <v>342</v>
      </c>
      <c r="D12" s="135" t="s">
        <v>1321</v>
      </c>
      <c r="E12" s="134" t="s">
        <v>22</v>
      </c>
      <c r="F12" s="136"/>
      <c r="G12" s="137"/>
      <c r="H12" s="132">
        <v>0.6</v>
      </c>
      <c r="I12" s="132">
        <v>1</v>
      </c>
      <c r="J12" s="133" t="s">
        <v>1610</v>
      </c>
      <c r="K12" s="133" t="s">
        <v>1611</v>
      </c>
      <c r="U12" s="6">
        <f>F12</f>
        <v>0</v>
      </c>
      <c r="V12" s="2" t="str">
        <f t="shared" si="0"/>
        <v>S2.1</v>
      </c>
      <c r="W12" s="5"/>
      <c r="X12" s="4"/>
      <c r="Y12" s="38"/>
      <c r="Z12" s="38"/>
    </row>
    <row r="13" spans="2:26" ht="58.9" customHeight="1" x14ac:dyDescent="0.25">
      <c r="B13" s="36"/>
      <c r="C13" s="134" t="s">
        <v>1322</v>
      </c>
      <c r="D13" s="135" t="s">
        <v>1323</v>
      </c>
      <c r="E13" s="134" t="s">
        <v>27</v>
      </c>
      <c r="F13" s="136"/>
      <c r="G13" s="137"/>
      <c r="H13" s="132">
        <v>0.6</v>
      </c>
      <c r="I13" s="132">
        <v>1</v>
      </c>
      <c r="J13" s="138" t="s">
        <v>1324</v>
      </c>
      <c r="K13" s="138" t="s">
        <v>1676</v>
      </c>
      <c r="U13" s="6">
        <f>F13</f>
        <v>0</v>
      </c>
      <c r="V13" s="2" t="str">
        <f t="shared" si="0"/>
        <v xml:space="preserve">S5.1 </v>
      </c>
      <c r="W13" s="5"/>
      <c r="X13" s="4"/>
      <c r="Y13" s="38"/>
      <c r="Z13" s="38"/>
    </row>
    <row r="14" spans="2:26" ht="58.9" customHeight="1" x14ac:dyDescent="0.25">
      <c r="B14" s="36"/>
      <c r="C14" s="134" t="s">
        <v>300</v>
      </c>
      <c r="D14" s="135" t="s">
        <v>1325</v>
      </c>
      <c r="E14" s="134" t="s">
        <v>44</v>
      </c>
      <c r="F14" s="136"/>
      <c r="G14" s="137"/>
      <c r="H14" s="132">
        <v>0.6</v>
      </c>
      <c r="I14" s="132">
        <v>1</v>
      </c>
      <c r="J14" s="138" t="s">
        <v>1326</v>
      </c>
      <c r="K14" s="138" t="s">
        <v>1327</v>
      </c>
      <c r="U14" s="6">
        <f>F14</f>
        <v>0</v>
      </c>
      <c r="V14" s="2" t="str">
        <f t="shared" si="0"/>
        <v>V1.1</v>
      </c>
      <c r="W14" s="5"/>
      <c r="X14" s="4"/>
      <c r="Y14" s="38"/>
      <c r="Z14" s="38"/>
    </row>
    <row r="15" spans="2:26" ht="58.9" customHeight="1" x14ac:dyDescent="0.25">
      <c r="B15" s="36"/>
      <c r="C15" s="134" t="s">
        <v>567</v>
      </c>
      <c r="D15" s="135" t="s">
        <v>49</v>
      </c>
      <c r="E15" s="134" t="s">
        <v>48</v>
      </c>
      <c r="F15" s="136"/>
      <c r="G15" s="137"/>
      <c r="H15" s="132">
        <v>0.6</v>
      </c>
      <c r="I15" s="132">
        <v>1</v>
      </c>
      <c r="J15" s="138" t="s">
        <v>1326</v>
      </c>
      <c r="K15" s="138" t="s">
        <v>1677</v>
      </c>
      <c r="U15" s="6">
        <f>F15</f>
        <v>0</v>
      </c>
      <c r="V15" s="2" t="str">
        <f t="shared" si="0"/>
        <v>V2.1</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S2.1</v>
      </c>
      <c r="H25" s="49" t="str">
        <f>C13</f>
        <v xml:space="preserve">S5.1 </v>
      </c>
      <c r="I25" s="49" t="str">
        <f>C14</f>
        <v>V1.1</v>
      </c>
      <c r="J25" s="49" t="str">
        <f>C15</f>
        <v>V2.1</v>
      </c>
      <c r="K25" s="49">
        <f>C16</f>
        <v>0</v>
      </c>
      <c r="L25" s="49">
        <f>C17</f>
        <v>0</v>
      </c>
      <c r="M25" s="49">
        <f>C18</f>
        <v>0</v>
      </c>
      <c r="N25" s="49">
        <f>C19</f>
        <v>0</v>
      </c>
      <c r="O25" s="50" t="s">
        <v>305</v>
      </c>
    </row>
    <row r="26" spans="2:26" ht="30.4" customHeight="1" thickBot="1" x14ac:dyDescent="0.3">
      <c r="C26" s="51" t="s">
        <v>306</v>
      </c>
      <c r="D26" s="83" t="s">
        <v>1328</v>
      </c>
      <c r="E26" s="8">
        <v>1</v>
      </c>
      <c r="F26" s="8">
        <v>1</v>
      </c>
      <c r="G26" s="8"/>
      <c r="H26" s="8"/>
      <c r="I26" s="8"/>
      <c r="J26" s="8"/>
      <c r="K26" s="8"/>
      <c r="L26" s="8"/>
      <c r="M26" s="8"/>
      <c r="N26" s="8"/>
      <c r="O26" s="53" t="b">
        <f t="shared" ref="O26:O40" si="1">IF(SUM(F26:N26)=E26,TRUE,"false")</f>
        <v>1</v>
      </c>
    </row>
    <row r="27" spans="2:26" ht="30.4" customHeight="1" thickBot="1" x14ac:dyDescent="0.3">
      <c r="C27" s="51" t="s">
        <v>307</v>
      </c>
      <c r="D27" s="83" t="s">
        <v>1329</v>
      </c>
      <c r="E27" s="8">
        <v>1</v>
      </c>
      <c r="F27" s="8">
        <v>1</v>
      </c>
      <c r="G27" s="8"/>
      <c r="H27" s="8"/>
      <c r="I27" s="8"/>
      <c r="J27" s="8"/>
      <c r="K27" s="8"/>
      <c r="L27" s="8"/>
      <c r="M27" s="8"/>
      <c r="N27" s="8"/>
      <c r="O27" s="53" t="b">
        <f t="shared" si="1"/>
        <v>1</v>
      </c>
    </row>
    <row r="28" spans="2:26" ht="30.4" customHeight="1" thickBot="1" x14ac:dyDescent="0.3">
      <c r="C28" s="51" t="s">
        <v>308</v>
      </c>
      <c r="D28" s="83" t="s">
        <v>1330</v>
      </c>
      <c r="E28" s="8">
        <v>1</v>
      </c>
      <c r="F28" s="8"/>
      <c r="G28" s="8">
        <v>1</v>
      </c>
      <c r="H28" s="8"/>
      <c r="I28" s="8"/>
      <c r="J28" s="8"/>
      <c r="K28" s="8"/>
      <c r="L28" s="8"/>
      <c r="M28" s="8"/>
      <c r="N28" s="8"/>
      <c r="O28" s="53" t="b">
        <f t="shared" si="1"/>
        <v>1</v>
      </c>
    </row>
    <row r="29" spans="2:26" ht="30.4" customHeight="1" thickBot="1" x14ac:dyDescent="0.3">
      <c r="C29" s="51" t="s">
        <v>309</v>
      </c>
      <c r="D29" s="83" t="s">
        <v>1331</v>
      </c>
      <c r="E29" s="8">
        <v>2</v>
      </c>
      <c r="F29" s="8">
        <v>1</v>
      </c>
      <c r="G29" s="8">
        <v>1</v>
      </c>
      <c r="H29" s="8"/>
      <c r="I29" s="8"/>
      <c r="J29" s="8"/>
      <c r="K29" s="8"/>
      <c r="L29" s="8"/>
      <c r="M29" s="8"/>
      <c r="N29" s="8"/>
      <c r="O29" s="53" t="b">
        <f t="shared" si="1"/>
        <v>1</v>
      </c>
    </row>
    <row r="30" spans="2:26" ht="30.4" customHeight="1" thickBot="1" x14ac:dyDescent="0.3">
      <c r="C30" s="51" t="s">
        <v>310</v>
      </c>
      <c r="D30" s="83" t="s">
        <v>1332</v>
      </c>
      <c r="E30" s="8">
        <v>2</v>
      </c>
      <c r="F30" s="8"/>
      <c r="G30" s="8">
        <v>1</v>
      </c>
      <c r="H30" s="8">
        <v>1</v>
      </c>
      <c r="I30" s="8"/>
      <c r="J30" s="8"/>
      <c r="K30" s="8"/>
      <c r="L30" s="8"/>
      <c r="M30" s="8"/>
      <c r="N30" s="8"/>
      <c r="O30" s="53" t="b">
        <f t="shared" si="1"/>
        <v>1</v>
      </c>
    </row>
    <row r="31" spans="2:26" ht="30.4" customHeight="1" thickBot="1" x14ac:dyDescent="0.3">
      <c r="C31" s="51" t="s">
        <v>311</v>
      </c>
      <c r="D31" s="83" t="s">
        <v>1333</v>
      </c>
      <c r="E31" s="8">
        <v>2</v>
      </c>
      <c r="F31" s="8">
        <v>1</v>
      </c>
      <c r="G31" s="8"/>
      <c r="H31" s="8">
        <v>1</v>
      </c>
      <c r="I31" s="8"/>
      <c r="J31" s="8"/>
      <c r="K31" s="8"/>
      <c r="L31" s="8"/>
      <c r="M31" s="8"/>
      <c r="N31" s="8"/>
      <c r="O31" s="53" t="b">
        <f t="shared" si="1"/>
        <v>1</v>
      </c>
    </row>
    <row r="32" spans="2:26" ht="30.4" customHeight="1" thickBot="1" x14ac:dyDescent="0.3">
      <c r="C32" s="51" t="s">
        <v>312</v>
      </c>
      <c r="D32" s="83" t="s">
        <v>1334</v>
      </c>
      <c r="E32" s="8">
        <v>1</v>
      </c>
      <c r="F32" s="8"/>
      <c r="G32" s="8"/>
      <c r="H32" s="8">
        <v>1</v>
      </c>
      <c r="I32" s="8"/>
      <c r="J32" s="8"/>
      <c r="K32" s="8"/>
      <c r="L32" s="8"/>
      <c r="M32" s="8"/>
      <c r="N32" s="8"/>
      <c r="O32" s="53" t="b">
        <f t="shared" si="1"/>
        <v>1</v>
      </c>
    </row>
    <row r="33" spans="2:15" ht="30.4" customHeight="1" thickBot="1" x14ac:dyDescent="0.3">
      <c r="C33" s="51" t="s">
        <v>313</v>
      </c>
      <c r="D33" s="83" t="s">
        <v>1335</v>
      </c>
      <c r="E33" s="8">
        <v>3</v>
      </c>
      <c r="F33" s="8">
        <v>1</v>
      </c>
      <c r="G33" s="8"/>
      <c r="H33" s="8">
        <v>1</v>
      </c>
      <c r="I33" s="8">
        <v>1</v>
      </c>
      <c r="J33" s="8"/>
      <c r="K33" s="8"/>
      <c r="L33" s="8"/>
      <c r="M33" s="8"/>
      <c r="N33" s="8"/>
      <c r="O33" s="53" t="b">
        <f t="shared" si="1"/>
        <v>1</v>
      </c>
    </row>
    <row r="34" spans="2:15" ht="30.4" customHeight="1" thickBot="1" x14ac:dyDescent="0.3">
      <c r="C34" s="51" t="s">
        <v>314</v>
      </c>
      <c r="D34" s="83" t="s">
        <v>1336</v>
      </c>
      <c r="E34" s="8">
        <v>2</v>
      </c>
      <c r="F34" s="8">
        <v>1</v>
      </c>
      <c r="G34" s="8"/>
      <c r="H34" s="8"/>
      <c r="I34" s="8"/>
      <c r="J34" s="8">
        <v>1</v>
      </c>
      <c r="K34" s="8"/>
      <c r="L34" s="8"/>
      <c r="M34" s="8"/>
      <c r="N34" s="8"/>
      <c r="O34" s="53" t="b">
        <f t="shared" si="1"/>
        <v>1</v>
      </c>
    </row>
    <row r="35" spans="2:15" ht="30.4" customHeight="1" thickBot="1" x14ac:dyDescent="0.3">
      <c r="C35" s="51" t="s">
        <v>315</v>
      </c>
      <c r="D35" s="83"/>
      <c r="E35" s="8"/>
      <c r="F35" s="8"/>
      <c r="G35" s="8"/>
      <c r="H35" s="8"/>
      <c r="I35" s="8"/>
      <c r="J35" s="8"/>
      <c r="K35" s="8"/>
      <c r="L35" s="8"/>
      <c r="M35" s="8"/>
      <c r="N35" s="8"/>
      <c r="O35" s="53" t="b">
        <f t="shared" si="1"/>
        <v>1</v>
      </c>
    </row>
    <row r="36" spans="2:15" ht="30.4" customHeight="1" thickBot="1" x14ac:dyDescent="0.3">
      <c r="C36" s="51" t="s">
        <v>316</v>
      </c>
      <c r="D36" s="83"/>
      <c r="E36" s="8"/>
      <c r="F36" s="8"/>
      <c r="G36" s="8"/>
      <c r="H36" s="8"/>
      <c r="I36" s="8"/>
      <c r="J36" s="8"/>
      <c r="K36" s="8"/>
      <c r="L36" s="8"/>
      <c r="M36" s="8"/>
      <c r="N36" s="8"/>
      <c r="O36" s="53" t="b">
        <f t="shared" si="1"/>
        <v>1</v>
      </c>
    </row>
    <row r="37" spans="2:15" ht="30.4" customHeight="1" thickBot="1" x14ac:dyDescent="0.3">
      <c r="C37" s="51" t="s">
        <v>317</v>
      </c>
      <c r="D37" s="83"/>
      <c r="E37" s="8"/>
      <c r="F37" s="8"/>
      <c r="G37" s="8"/>
      <c r="H37" s="8"/>
      <c r="I37" s="8"/>
      <c r="J37" s="8"/>
      <c r="K37" s="8"/>
      <c r="L37" s="8"/>
      <c r="M37" s="8"/>
      <c r="N37" s="8"/>
      <c r="O37" s="53" t="b">
        <f t="shared" si="1"/>
        <v>1</v>
      </c>
    </row>
    <row r="38" spans="2:15" ht="30.4" customHeight="1" thickBot="1" x14ac:dyDescent="0.3">
      <c r="C38" s="51" t="s">
        <v>318</v>
      </c>
      <c r="D38" s="83"/>
      <c r="E38" s="8"/>
      <c r="F38" s="8"/>
      <c r="G38" s="8"/>
      <c r="H38" s="8"/>
      <c r="I38" s="8"/>
      <c r="J38" s="8"/>
      <c r="K38" s="8"/>
      <c r="L38" s="8"/>
      <c r="M38" s="8"/>
      <c r="N38" s="8"/>
      <c r="O38" s="53" t="b">
        <f t="shared" si="1"/>
        <v>1</v>
      </c>
    </row>
    <row r="39" spans="2:15" ht="30.4" customHeight="1" x14ac:dyDescent="0.25">
      <c r="C39" s="51" t="s">
        <v>319</v>
      </c>
      <c r="D39" s="26"/>
      <c r="E39" s="8"/>
      <c r="F39" s="8"/>
      <c r="G39" s="8"/>
      <c r="H39" s="8"/>
      <c r="I39" s="8"/>
      <c r="J39" s="8"/>
      <c r="K39" s="8"/>
      <c r="L39" s="8"/>
      <c r="M39" s="8"/>
      <c r="N39" s="8"/>
      <c r="O39" s="53" t="b">
        <f t="shared" si="1"/>
        <v>1</v>
      </c>
    </row>
    <row r="40" spans="2:15" s="20" customFormat="1" ht="78" customHeight="1" x14ac:dyDescent="0.25">
      <c r="C40" s="170" t="s">
        <v>320</v>
      </c>
      <c r="D40" s="170"/>
      <c r="E40" s="52">
        <f t="shared" ref="E40:N40" si="2">SUM(E26:E39)</f>
        <v>15</v>
      </c>
      <c r="F40" s="52">
        <f t="shared" si="2"/>
        <v>6</v>
      </c>
      <c r="G40" s="52">
        <f t="shared" si="2"/>
        <v>3</v>
      </c>
      <c r="H40" s="52">
        <f t="shared" si="2"/>
        <v>4</v>
      </c>
      <c r="I40" s="52">
        <f t="shared" si="2"/>
        <v>1</v>
      </c>
      <c r="J40" s="52">
        <f t="shared" si="2"/>
        <v>1</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0.4</v>
      </c>
      <c r="G41" s="54">
        <f>ROUND(G40/E40,2)</f>
        <v>0.2</v>
      </c>
      <c r="H41" s="54">
        <f>ROUND(H40/E40,2)</f>
        <v>0.27</v>
      </c>
      <c r="I41" s="54">
        <f>ROUND(I40/E40,2)</f>
        <v>7.0000000000000007E-2</v>
      </c>
      <c r="J41" s="54">
        <f>ROUND(J40/E40,2)</f>
        <v>7.0000000000000007E-2</v>
      </c>
      <c r="K41" s="54">
        <f>ROUND(K40/E40,2)</f>
        <v>0</v>
      </c>
      <c r="L41" s="54">
        <f>ROUND(L40/E40,2)</f>
        <v>0</v>
      </c>
      <c r="M41" s="54">
        <f>ROUND(M40/E40,2)</f>
        <v>0</v>
      </c>
      <c r="N41" s="54">
        <f>ROUND(N40/E40,2)</f>
        <v>0</v>
      </c>
      <c r="O41" s="54">
        <f>SUM(F41:N41)</f>
        <v>1.0100000000000002</v>
      </c>
    </row>
    <row r="42" spans="2:15" ht="55.9" customHeight="1" x14ac:dyDescent="0.25">
      <c r="C42" s="151" t="s">
        <v>322</v>
      </c>
      <c r="D42" s="151"/>
      <c r="E42" s="151"/>
      <c r="F42" s="7">
        <v>40</v>
      </c>
      <c r="G42" s="7">
        <v>20</v>
      </c>
      <c r="H42" s="7">
        <v>30</v>
      </c>
      <c r="I42" s="7">
        <v>5</v>
      </c>
      <c r="J42" s="7">
        <v>5</v>
      </c>
      <c r="K42" s="7">
        <v>0</v>
      </c>
      <c r="L42" s="7">
        <v>0</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S2.1</v>
      </c>
      <c r="G46" s="59" t="str">
        <f>C13</f>
        <v xml:space="preserve">S5.1 </v>
      </c>
      <c r="H46" s="59" t="str">
        <f>C14</f>
        <v>V1.1</v>
      </c>
      <c r="I46" s="59" t="str">
        <f>C15</f>
        <v>V2.1</v>
      </c>
      <c r="J46" s="59">
        <f>C16</f>
        <v>0</v>
      </c>
      <c r="K46" s="59">
        <f>C17</f>
        <v>0</v>
      </c>
      <c r="L46" s="59">
        <f>C18</f>
        <v>0</v>
      </c>
      <c r="M46" s="59">
        <f>C19</f>
        <v>0</v>
      </c>
      <c r="N46" s="60" t="s">
        <v>327</v>
      </c>
    </row>
    <row r="47" spans="2:15" ht="55.15" customHeight="1" x14ac:dyDescent="0.25">
      <c r="C47" s="9" t="s">
        <v>328</v>
      </c>
      <c r="D47" s="10">
        <v>25</v>
      </c>
      <c r="E47" s="8">
        <v>15</v>
      </c>
      <c r="F47" s="8">
        <v>5</v>
      </c>
      <c r="G47" s="8">
        <v>5</v>
      </c>
      <c r="H47" s="8"/>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v>5</v>
      </c>
      <c r="E49" s="11">
        <v>5</v>
      </c>
      <c r="F49" s="12"/>
      <c r="G49" s="12"/>
      <c r="H49" s="12"/>
      <c r="I49" s="12"/>
      <c r="J49" s="12"/>
      <c r="K49" s="12"/>
      <c r="L49" s="12"/>
      <c r="M49" s="12"/>
      <c r="N49" s="55" t="b">
        <f t="shared" si="3"/>
        <v>1</v>
      </c>
    </row>
    <row r="50" spans="3:14" ht="55.15" customHeight="1" x14ac:dyDescent="0.25">
      <c r="C50" s="9" t="s">
        <v>1675</v>
      </c>
      <c r="D50" s="10">
        <v>10</v>
      </c>
      <c r="E50" s="11"/>
      <c r="F50" s="12"/>
      <c r="G50" s="12">
        <v>5</v>
      </c>
      <c r="H50" s="12">
        <v>5</v>
      </c>
      <c r="I50" s="12"/>
      <c r="J50" s="12"/>
      <c r="K50" s="12"/>
      <c r="L50" s="12"/>
      <c r="M50" s="12"/>
      <c r="N50" s="55" t="b">
        <f t="shared" si="3"/>
        <v>1</v>
      </c>
    </row>
    <row r="51" spans="3:14" ht="55.15" customHeight="1" x14ac:dyDescent="0.25">
      <c r="C51" s="9" t="s">
        <v>818</v>
      </c>
      <c r="D51" s="10">
        <v>5</v>
      </c>
      <c r="E51" s="11"/>
      <c r="F51" s="12"/>
      <c r="G51" s="12"/>
      <c r="H51" s="12"/>
      <c r="I51" s="12">
        <v>5</v>
      </c>
      <c r="J51" s="12"/>
      <c r="K51" s="12"/>
      <c r="L51" s="12"/>
      <c r="M51" s="12"/>
      <c r="N51" s="55" t="b">
        <f t="shared" si="3"/>
        <v>1</v>
      </c>
    </row>
    <row r="52" spans="3:14" ht="55.15" customHeight="1" x14ac:dyDescent="0.25">
      <c r="C52" s="9" t="s">
        <v>504</v>
      </c>
      <c r="D52" s="10">
        <v>50</v>
      </c>
      <c r="E52" s="11">
        <v>15</v>
      </c>
      <c r="F52" s="12">
        <v>15</v>
      </c>
      <c r="G52" s="12">
        <v>20</v>
      </c>
      <c r="H52" s="12"/>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40</v>
      </c>
      <c r="F56" s="65">
        <f t="shared" si="5"/>
        <v>20</v>
      </c>
      <c r="G56" s="65">
        <f t="shared" si="5"/>
        <v>30</v>
      </c>
      <c r="H56" s="65">
        <f t="shared" si="5"/>
        <v>5</v>
      </c>
      <c r="I56" s="65">
        <f t="shared" si="5"/>
        <v>5</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335" priority="11">
      <formula>LEN(TRIM(D47))=0</formula>
    </cfRule>
    <cfRule type="cellIs" dxfId="334" priority="12" operator="equal">
      <formula>0</formula>
    </cfRule>
  </conditionalFormatting>
  <conditionalFormatting sqref="E50">
    <cfRule type="containsBlanks" dxfId="333" priority="21">
      <formula>LEN(TRIM(E50))=0</formula>
    </cfRule>
    <cfRule type="cellIs" dxfId="332" priority="22" operator="equal">
      <formula>0</formula>
    </cfRule>
  </conditionalFormatting>
  <conditionalFormatting sqref="E47:M51 E52">
    <cfRule type="containsBlanks" dxfId="331" priority="17">
      <formula>LEN(TRIM(E47))=0</formula>
    </cfRule>
    <cfRule type="cellIs" dxfId="330" priority="18" operator="equal">
      <formula>0</formula>
    </cfRule>
  </conditionalFormatting>
  <conditionalFormatting sqref="E53:M54">
    <cfRule type="containsBlanks" dxfId="329" priority="15">
      <formula>LEN(TRIM(E53))=0</formula>
    </cfRule>
    <cfRule type="cellIs" dxfId="328" priority="16" operator="equal">
      <formula>0</formula>
    </cfRule>
  </conditionalFormatting>
  <conditionalFormatting sqref="E55:M55">
    <cfRule type="containsText" dxfId="327" priority="5" operator="containsText" text="false">
      <formula>NOT(ISERROR(SEARCH("false",E55)))</formula>
    </cfRule>
    <cfRule type="containsText" dxfId="326" priority="6" operator="containsText" text="true">
      <formula>NOT(ISERROR(SEARCH("true",E55)))</formula>
    </cfRule>
  </conditionalFormatting>
  <conditionalFormatting sqref="E26:N39">
    <cfRule type="containsBlanks" dxfId="325" priority="3">
      <formula>LEN(TRIM(E26))=0</formula>
    </cfRule>
    <cfRule type="cellIs" dxfId="324" priority="4" operator="equal">
      <formula>0</formula>
    </cfRule>
  </conditionalFormatting>
  <conditionalFormatting sqref="F48:M48">
    <cfRule type="containsBlanks" dxfId="323" priority="23">
      <formula>LEN(TRIM(F48))=0</formula>
    </cfRule>
    <cfRule type="cellIs" dxfId="322" priority="24" operator="equal">
      <formula>0</formula>
    </cfRule>
  </conditionalFormatting>
  <conditionalFormatting sqref="F50:M52">
    <cfRule type="containsBlanks" dxfId="321" priority="19">
      <formula>LEN(TRIM(F50))=0</formula>
    </cfRule>
    <cfRule type="cellIs" dxfId="320" priority="20" operator="equal">
      <formula>0</formula>
    </cfRule>
  </conditionalFormatting>
  <conditionalFormatting sqref="N47:N54">
    <cfRule type="containsText" dxfId="319" priority="7" operator="containsText" text="false">
      <formula>NOT(ISERROR(SEARCH("false",N47)))</formula>
    </cfRule>
    <cfRule type="containsText" dxfId="318" priority="8" operator="containsText" text="true">
      <formula>NOT(ISERROR(SEARCH("true",N47)))</formula>
    </cfRule>
  </conditionalFormatting>
  <conditionalFormatting sqref="N55">
    <cfRule type="containsBlanks" dxfId="317" priority="13">
      <formula>LEN(TRIM(N55))=0</formula>
    </cfRule>
    <cfRule type="cellIs" dxfId="316" priority="14" operator="equal">
      <formula>0</formula>
    </cfRule>
  </conditionalFormatting>
  <conditionalFormatting sqref="O26:O40">
    <cfRule type="containsText" dxfId="315" priority="9" operator="containsText" text="false">
      <formula>NOT(ISERROR(SEARCH("false",O26)))</formula>
    </cfRule>
    <cfRule type="containsText" dxfId="314" priority="10" operator="containsText" text="true">
      <formula>NOT(ISERROR(SEARCH("true",O26)))</formula>
    </cfRule>
  </conditionalFormatting>
  <conditionalFormatting sqref="O42">
    <cfRule type="cellIs" dxfId="313" priority="1" operator="notEqual">
      <formula>100</formula>
    </cfRule>
    <cfRule type="cellIs" dxfId="312" priority="2" operator="equal">
      <formula>100</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0B050"/>
  </sheetPr>
  <dimension ref="B2:AB57"/>
  <sheetViews>
    <sheetView zoomScale="50" zoomScaleNormal="50" workbookViewId="0">
      <selection activeCell="D15" sqref="D15"/>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258</v>
      </c>
      <c r="J6" s="43" t="s">
        <v>278</v>
      </c>
      <c r="K6" s="1" t="s">
        <v>116</v>
      </c>
    </row>
    <row r="7" spans="2:26" ht="72.599999999999994" customHeight="1" thickBot="1" x14ac:dyDescent="0.3">
      <c r="B7" s="160"/>
      <c r="C7" s="161"/>
      <c r="D7" s="43" t="s">
        <v>279</v>
      </c>
      <c r="E7" s="1">
        <v>5</v>
      </c>
      <c r="F7" s="43" t="s">
        <v>280</v>
      </c>
      <c r="G7" s="1">
        <v>9</v>
      </c>
      <c r="H7" s="43" t="s">
        <v>281</v>
      </c>
      <c r="I7" s="1">
        <v>2</v>
      </c>
      <c r="J7" s="43" t="s">
        <v>283</v>
      </c>
      <c r="K7" s="1" t="s">
        <v>1220</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35" customHeight="1" x14ac:dyDescent="0.25">
      <c r="B11" s="36"/>
      <c r="C11" s="129" t="s">
        <v>297</v>
      </c>
      <c r="D11" s="130" t="s">
        <v>1678</v>
      </c>
      <c r="E11" s="129" t="s">
        <v>7</v>
      </c>
      <c r="F11" s="131"/>
      <c r="G11" s="132"/>
      <c r="H11" s="132">
        <v>0.6</v>
      </c>
      <c r="I11" s="132">
        <v>1</v>
      </c>
      <c r="J11" s="133" t="s">
        <v>1337</v>
      </c>
      <c r="K11" s="133" t="s">
        <v>1338</v>
      </c>
      <c r="U11" s="3">
        <f>F11</f>
        <v>0</v>
      </c>
      <c r="V11" s="2" t="str">
        <f t="shared" ref="V11:V19" si="0">C11</f>
        <v>K1.1</v>
      </c>
      <c r="W11" s="2"/>
      <c r="X11" s="17"/>
      <c r="Y11" s="37"/>
      <c r="Z11" s="37"/>
    </row>
    <row r="12" spans="2:26" ht="124.5" customHeight="1" x14ac:dyDescent="0.25">
      <c r="B12" s="36"/>
      <c r="C12" s="134" t="s">
        <v>298</v>
      </c>
      <c r="D12" s="135" t="s">
        <v>1679</v>
      </c>
      <c r="E12" s="134" t="s">
        <v>7</v>
      </c>
      <c r="F12" s="136"/>
      <c r="G12" s="137"/>
      <c r="H12" s="132">
        <v>0.6</v>
      </c>
      <c r="I12" s="132">
        <v>1</v>
      </c>
      <c r="J12" s="133" t="s">
        <v>1339</v>
      </c>
      <c r="K12" s="133" t="s">
        <v>1338</v>
      </c>
      <c r="U12" s="6">
        <f>F12</f>
        <v>0</v>
      </c>
      <c r="V12" s="2" t="str">
        <f t="shared" si="0"/>
        <v>K1.2</v>
      </c>
      <c r="W12" s="5"/>
      <c r="X12" s="4"/>
      <c r="Y12" s="38"/>
      <c r="Z12" s="38"/>
    </row>
    <row r="13" spans="2:26" ht="78" customHeight="1" x14ac:dyDescent="0.25">
      <c r="B13" s="36"/>
      <c r="C13" s="134" t="s">
        <v>644</v>
      </c>
      <c r="D13" s="135" t="s">
        <v>1340</v>
      </c>
      <c r="E13" s="134" t="s">
        <v>18</v>
      </c>
      <c r="F13" s="136"/>
      <c r="G13" s="137"/>
      <c r="H13" s="132">
        <v>0.6</v>
      </c>
      <c r="I13" s="132">
        <v>1</v>
      </c>
      <c r="J13" s="138" t="s">
        <v>1657</v>
      </c>
      <c r="K13" s="138" t="s">
        <v>1341</v>
      </c>
      <c r="U13" s="6">
        <f>F13</f>
        <v>0</v>
      </c>
      <c r="V13" s="2" t="str">
        <f t="shared" si="0"/>
        <v>S1.1</v>
      </c>
      <c r="W13" s="5"/>
      <c r="X13" s="4"/>
      <c r="Y13" s="38"/>
      <c r="Z13" s="38"/>
    </row>
    <row r="14" spans="2:26" ht="58.9" customHeight="1" x14ac:dyDescent="0.25">
      <c r="B14" s="36"/>
      <c r="C14" s="134" t="s">
        <v>586</v>
      </c>
      <c r="D14" s="135" t="s">
        <v>1342</v>
      </c>
      <c r="E14" s="134" t="s">
        <v>1343</v>
      </c>
      <c r="F14" s="136"/>
      <c r="G14" s="137"/>
      <c r="H14" s="132">
        <v>0.6</v>
      </c>
      <c r="I14" s="132">
        <v>1</v>
      </c>
      <c r="J14" s="138" t="s">
        <v>1394</v>
      </c>
      <c r="K14" s="138" t="s">
        <v>1613</v>
      </c>
      <c r="U14" s="6">
        <f>F14</f>
        <v>0</v>
      </c>
      <c r="V14" s="2" t="str">
        <f t="shared" si="0"/>
        <v>S5.1</v>
      </c>
      <c r="W14" s="5"/>
      <c r="X14" s="4"/>
      <c r="Y14" s="38"/>
      <c r="Z14" s="38"/>
    </row>
    <row r="15" spans="2:26" ht="58.9" customHeight="1" x14ac:dyDescent="0.25">
      <c r="B15" s="36"/>
      <c r="C15" s="134" t="s">
        <v>445</v>
      </c>
      <c r="D15" s="135" t="s">
        <v>1344</v>
      </c>
      <c r="E15" s="134" t="s">
        <v>31</v>
      </c>
      <c r="F15" s="136"/>
      <c r="G15" s="137"/>
      <c r="H15" s="132">
        <v>0.6</v>
      </c>
      <c r="I15" s="132">
        <v>1</v>
      </c>
      <c r="J15" s="138" t="s">
        <v>1614</v>
      </c>
      <c r="K15" s="138" t="s">
        <v>818</v>
      </c>
      <c r="U15" s="6">
        <f>F15</f>
        <v>0</v>
      </c>
      <c r="V15" s="2" t="str">
        <f t="shared" si="0"/>
        <v>S7.1</v>
      </c>
      <c r="W15" s="5"/>
      <c r="X15" s="4"/>
      <c r="Y15" s="38"/>
      <c r="Z15" s="38"/>
    </row>
    <row r="16" spans="2:26" ht="58.9" customHeight="1" x14ac:dyDescent="0.25">
      <c r="B16" s="36"/>
      <c r="C16" s="134" t="s">
        <v>300</v>
      </c>
      <c r="D16" s="135" t="s">
        <v>1345</v>
      </c>
      <c r="E16" s="134" t="s">
        <v>44</v>
      </c>
      <c r="F16" s="136"/>
      <c r="G16" s="137"/>
      <c r="H16" s="137">
        <v>0.6</v>
      </c>
      <c r="I16" s="137">
        <v>1</v>
      </c>
      <c r="J16" s="138" t="s">
        <v>1346</v>
      </c>
      <c r="K16" s="138" t="s">
        <v>1498</v>
      </c>
      <c r="U16" s="6"/>
      <c r="V16" s="2" t="str">
        <f t="shared" si="0"/>
        <v>V1.1</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K1.2</v>
      </c>
      <c r="H25" s="49" t="str">
        <f>C13</f>
        <v>S1.1</v>
      </c>
      <c r="I25" s="49" t="str">
        <f>C14</f>
        <v>S5.1</v>
      </c>
      <c r="J25" s="49" t="str">
        <f>C15</f>
        <v>S7.1</v>
      </c>
      <c r="K25" s="49" t="str">
        <f>C16</f>
        <v>V1.1</v>
      </c>
      <c r="L25" s="49">
        <f>C17</f>
        <v>0</v>
      </c>
      <c r="M25" s="49">
        <f>C18</f>
        <v>0</v>
      </c>
      <c r="N25" s="49">
        <f>C19</f>
        <v>0</v>
      </c>
      <c r="O25" s="50" t="s">
        <v>305</v>
      </c>
    </row>
    <row r="26" spans="2:26" ht="30.4" customHeight="1" thickBot="1" x14ac:dyDescent="0.3">
      <c r="C26" s="51" t="s">
        <v>306</v>
      </c>
      <c r="D26" s="83" t="s">
        <v>1347</v>
      </c>
      <c r="E26" s="8">
        <v>2</v>
      </c>
      <c r="F26" s="8">
        <v>1</v>
      </c>
      <c r="G26" s="8">
        <v>1</v>
      </c>
      <c r="H26" s="8"/>
      <c r="I26" s="8"/>
      <c r="J26" s="8"/>
      <c r="K26" s="8"/>
      <c r="L26" s="8"/>
      <c r="M26" s="8"/>
      <c r="N26" s="8"/>
      <c r="O26" s="53" t="b">
        <f t="shared" ref="O26:O40" si="1">IF(SUM(F26:N26)=E26,TRUE,"false")</f>
        <v>1</v>
      </c>
    </row>
    <row r="27" spans="2:26" ht="30.4" customHeight="1" thickBot="1" x14ac:dyDescent="0.3">
      <c r="C27" s="51" t="s">
        <v>307</v>
      </c>
      <c r="D27" s="83" t="s">
        <v>1348</v>
      </c>
      <c r="E27" s="8">
        <v>2</v>
      </c>
      <c r="F27" s="8">
        <v>1</v>
      </c>
      <c r="G27" s="8"/>
      <c r="H27" s="8">
        <v>1</v>
      </c>
      <c r="I27" s="8"/>
      <c r="J27" s="8"/>
      <c r="K27" s="8"/>
      <c r="L27" s="8"/>
      <c r="M27" s="8"/>
      <c r="N27" s="8"/>
      <c r="O27" s="53" t="b">
        <f t="shared" si="1"/>
        <v>1</v>
      </c>
    </row>
    <row r="28" spans="2:26" ht="30.4" customHeight="1" thickBot="1" x14ac:dyDescent="0.3">
      <c r="C28" s="51" t="s">
        <v>308</v>
      </c>
      <c r="D28" s="83" t="s">
        <v>1349</v>
      </c>
      <c r="E28" s="8">
        <v>2</v>
      </c>
      <c r="F28" s="8">
        <v>2</v>
      </c>
      <c r="G28" s="8"/>
      <c r="H28" s="8"/>
      <c r="I28" s="8"/>
      <c r="J28" s="8"/>
      <c r="K28" s="8"/>
      <c r="L28" s="8"/>
      <c r="M28" s="8"/>
      <c r="N28" s="8"/>
      <c r="O28" s="53" t="b">
        <f t="shared" si="1"/>
        <v>1</v>
      </c>
    </row>
    <row r="29" spans="2:26" ht="30.4" customHeight="1" thickBot="1" x14ac:dyDescent="0.3">
      <c r="C29" s="51" t="s">
        <v>309</v>
      </c>
      <c r="D29" s="83" t="s">
        <v>1350</v>
      </c>
      <c r="E29" s="8">
        <v>2</v>
      </c>
      <c r="F29" s="8"/>
      <c r="G29" s="8">
        <v>1</v>
      </c>
      <c r="H29" s="8">
        <v>1</v>
      </c>
      <c r="I29" s="8"/>
      <c r="J29" s="8"/>
      <c r="K29" s="8"/>
      <c r="L29" s="8"/>
      <c r="M29" s="8"/>
      <c r="N29" s="8"/>
      <c r="O29" s="53" t="b">
        <f t="shared" si="1"/>
        <v>1</v>
      </c>
    </row>
    <row r="30" spans="2:26" ht="30.4" customHeight="1" thickBot="1" x14ac:dyDescent="0.3">
      <c r="C30" s="51" t="s">
        <v>310</v>
      </c>
      <c r="D30" s="83" t="s">
        <v>1351</v>
      </c>
      <c r="E30" s="8">
        <v>2</v>
      </c>
      <c r="F30" s="8">
        <v>2</v>
      </c>
      <c r="G30" s="8"/>
      <c r="H30" s="8"/>
      <c r="I30" s="8"/>
      <c r="J30" s="8"/>
      <c r="K30" s="8"/>
      <c r="L30" s="8"/>
      <c r="M30" s="8"/>
      <c r="N30" s="8"/>
      <c r="O30" s="53" t="b">
        <f t="shared" si="1"/>
        <v>1</v>
      </c>
    </row>
    <row r="31" spans="2:26" ht="30.4" customHeight="1" thickBot="1" x14ac:dyDescent="0.3">
      <c r="C31" s="51" t="s">
        <v>311</v>
      </c>
      <c r="D31" s="83" t="s">
        <v>1352</v>
      </c>
      <c r="E31" s="8">
        <v>2</v>
      </c>
      <c r="F31" s="8"/>
      <c r="G31" s="8">
        <v>1</v>
      </c>
      <c r="H31" s="8"/>
      <c r="I31" s="8"/>
      <c r="J31" s="8">
        <v>1</v>
      </c>
      <c r="K31" s="8"/>
      <c r="L31" s="8"/>
      <c r="M31" s="8"/>
      <c r="N31" s="8"/>
      <c r="O31" s="53" t="b">
        <f t="shared" si="1"/>
        <v>1</v>
      </c>
    </row>
    <row r="32" spans="2:26" ht="30.4" customHeight="1" thickBot="1" x14ac:dyDescent="0.3">
      <c r="C32" s="51" t="s">
        <v>312</v>
      </c>
      <c r="D32" s="83" t="s">
        <v>1353</v>
      </c>
      <c r="E32" s="8">
        <v>2</v>
      </c>
      <c r="F32" s="8">
        <v>1</v>
      </c>
      <c r="G32" s="8"/>
      <c r="H32" s="8"/>
      <c r="I32" s="8"/>
      <c r="J32" s="8"/>
      <c r="K32" s="8">
        <v>1</v>
      </c>
      <c r="L32" s="8"/>
      <c r="M32" s="8"/>
      <c r="N32" s="8"/>
      <c r="O32" s="53" t="b">
        <f t="shared" si="1"/>
        <v>1</v>
      </c>
    </row>
    <row r="33" spans="2:15" ht="30.4" customHeight="1" thickBot="1" x14ac:dyDescent="0.3">
      <c r="C33" s="51" t="s">
        <v>313</v>
      </c>
      <c r="D33" s="83" t="s">
        <v>1354</v>
      </c>
      <c r="E33" s="8">
        <v>2</v>
      </c>
      <c r="F33" s="8"/>
      <c r="G33" s="8">
        <v>1</v>
      </c>
      <c r="H33" s="8"/>
      <c r="I33" s="8">
        <v>1</v>
      </c>
      <c r="J33" s="8"/>
      <c r="K33" s="8"/>
      <c r="L33" s="8"/>
      <c r="M33" s="8"/>
      <c r="N33" s="8"/>
      <c r="O33" s="53" t="b">
        <f t="shared" si="1"/>
        <v>1</v>
      </c>
    </row>
    <row r="34" spans="2:15" ht="30.4" customHeight="1" thickBot="1" x14ac:dyDescent="0.3">
      <c r="C34" s="51" t="s">
        <v>314</v>
      </c>
      <c r="D34" s="83" t="s">
        <v>1355</v>
      </c>
      <c r="E34" s="8">
        <v>4</v>
      </c>
      <c r="F34" s="8">
        <v>1</v>
      </c>
      <c r="G34" s="8"/>
      <c r="H34" s="8">
        <v>2</v>
      </c>
      <c r="I34" s="8">
        <v>1</v>
      </c>
      <c r="J34" s="8"/>
      <c r="K34" s="8"/>
      <c r="L34" s="8"/>
      <c r="M34" s="8"/>
      <c r="N34" s="8"/>
      <c r="O34" s="53" t="b">
        <f t="shared" si="1"/>
        <v>1</v>
      </c>
    </row>
    <row r="35" spans="2:15" ht="30.4" customHeight="1" thickBot="1" x14ac:dyDescent="0.3">
      <c r="C35" s="51" t="s">
        <v>315</v>
      </c>
      <c r="D35" s="83" t="s">
        <v>1356</v>
      </c>
      <c r="E35" s="8">
        <v>2</v>
      </c>
      <c r="F35" s="8">
        <v>1</v>
      </c>
      <c r="G35" s="8"/>
      <c r="H35" s="8">
        <v>1</v>
      </c>
      <c r="I35" s="8"/>
      <c r="J35" s="8"/>
      <c r="K35" s="8"/>
      <c r="L35" s="8"/>
      <c r="M35" s="8"/>
      <c r="N35" s="8"/>
      <c r="O35" s="53" t="b">
        <f t="shared" si="1"/>
        <v>1</v>
      </c>
    </row>
    <row r="36" spans="2:15" ht="30.4" customHeight="1" thickBot="1" x14ac:dyDescent="0.3">
      <c r="C36" s="51" t="s">
        <v>316</v>
      </c>
      <c r="D36" s="83" t="s">
        <v>1357</v>
      </c>
      <c r="E36" s="8">
        <v>2</v>
      </c>
      <c r="F36" s="8">
        <v>1</v>
      </c>
      <c r="G36" s="8"/>
      <c r="H36" s="8"/>
      <c r="I36" s="8"/>
      <c r="J36" s="8">
        <v>1</v>
      </c>
      <c r="K36" s="8"/>
      <c r="L36" s="8"/>
      <c r="M36" s="8"/>
      <c r="N36" s="8"/>
      <c r="O36" s="53" t="b">
        <f t="shared" si="1"/>
        <v>1</v>
      </c>
    </row>
    <row r="37" spans="2:15" ht="30.4" customHeight="1" thickBot="1" x14ac:dyDescent="0.3">
      <c r="C37" s="51" t="s">
        <v>317</v>
      </c>
      <c r="D37" s="83" t="s">
        <v>1358</v>
      </c>
      <c r="E37" s="8">
        <v>2</v>
      </c>
      <c r="F37" s="8"/>
      <c r="G37" s="8">
        <v>1</v>
      </c>
      <c r="H37" s="8"/>
      <c r="I37" s="8"/>
      <c r="J37" s="8"/>
      <c r="K37" s="8">
        <v>1</v>
      </c>
      <c r="L37" s="8"/>
      <c r="M37" s="8"/>
      <c r="N37" s="8"/>
      <c r="O37" s="53" t="b">
        <f t="shared" si="1"/>
        <v>1</v>
      </c>
    </row>
    <row r="38" spans="2:15" ht="30.4" customHeight="1" thickBot="1" x14ac:dyDescent="0.3">
      <c r="C38" s="51" t="s">
        <v>318</v>
      </c>
      <c r="D38" s="83" t="s">
        <v>1359</v>
      </c>
      <c r="E38" s="8">
        <v>2</v>
      </c>
      <c r="F38" s="8"/>
      <c r="G38" s="8"/>
      <c r="H38" s="8"/>
      <c r="I38" s="8">
        <v>1</v>
      </c>
      <c r="J38" s="8"/>
      <c r="K38" s="8">
        <v>1</v>
      </c>
      <c r="L38" s="8"/>
      <c r="M38" s="8"/>
      <c r="N38" s="8"/>
      <c r="O38" s="53" t="b">
        <f t="shared" si="1"/>
        <v>1</v>
      </c>
    </row>
    <row r="39" spans="2:15" ht="30.4" customHeight="1" x14ac:dyDescent="0.25">
      <c r="C39" s="51" t="s">
        <v>319</v>
      </c>
      <c r="D39" s="26" t="s">
        <v>1360</v>
      </c>
      <c r="E39" s="8">
        <v>2</v>
      </c>
      <c r="F39" s="8"/>
      <c r="G39" s="8"/>
      <c r="H39" s="8"/>
      <c r="I39" s="8"/>
      <c r="J39" s="8">
        <v>1</v>
      </c>
      <c r="K39" s="8">
        <v>1</v>
      </c>
      <c r="L39" s="8"/>
      <c r="M39" s="8"/>
      <c r="N39" s="8"/>
      <c r="O39" s="53" t="b">
        <f t="shared" si="1"/>
        <v>1</v>
      </c>
    </row>
    <row r="40" spans="2:15" s="20" customFormat="1" ht="78" customHeight="1" x14ac:dyDescent="0.25">
      <c r="C40" s="170" t="s">
        <v>320</v>
      </c>
      <c r="D40" s="170"/>
      <c r="E40" s="52">
        <f t="shared" ref="E40:N40" si="2">SUM(E26:E39)</f>
        <v>30</v>
      </c>
      <c r="F40" s="52">
        <f t="shared" si="2"/>
        <v>10</v>
      </c>
      <c r="G40" s="52">
        <f t="shared" si="2"/>
        <v>5</v>
      </c>
      <c r="H40" s="52">
        <f t="shared" si="2"/>
        <v>5</v>
      </c>
      <c r="I40" s="52">
        <f t="shared" si="2"/>
        <v>3</v>
      </c>
      <c r="J40" s="52">
        <f t="shared" si="2"/>
        <v>3</v>
      </c>
      <c r="K40" s="52">
        <f t="shared" si="2"/>
        <v>4</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0.33</v>
      </c>
      <c r="G41" s="54">
        <f>ROUND(G40/E40,2)</f>
        <v>0.17</v>
      </c>
      <c r="H41" s="54">
        <f>ROUND(H40/E40,2)</f>
        <v>0.17</v>
      </c>
      <c r="I41" s="54">
        <f>ROUND(I40/E40,2)</f>
        <v>0.1</v>
      </c>
      <c r="J41" s="54">
        <f>ROUND(J40/E40,2)</f>
        <v>0.1</v>
      </c>
      <c r="K41" s="54">
        <f>ROUND(K40/E40,2)</f>
        <v>0.13</v>
      </c>
      <c r="L41" s="54">
        <f>ROUND(L40/E40,2)</f>
        <v>0</v>
      </c>
      <c r="M41" s="54">
        <f>ROUND(M40/E40,2)</f>
        <v>0</v>
      </c>
      <c r="N41" s="54">
        <f>ROUND(N40/E40,2)</f>
        <v>0</v>
      </c>
      <c r="O41" s="54">
        <f>SUM(F41:N41)</f>
        <v>1</v>
      </c>
    </row>
    <row r="42" spans="2:15" ht="55.9" customHeight="1" x14ac:dyDescent="0.25">
      <c r="C42" s="151" t="s">
        <v>322</v>
      </c>
      <c r="D42" s="151"/>
      <c r="E42" s="151"/>
      <c r="F42" s="7">
        <v>35</v>
      </c>
      <c r="G42" s="7">
        <v>20</v>
      </c>
      <c r="H42" s="7">
        <v>15</v>
      </c>
      <c r="I42" s="7">
        <v>10</v>
      </c>
      <c r="J42" s="7">
        <v>10</v>
      </c>
      <c r="K42" s="7">
        <v>10</v>
      </c>
      <c r="L42" s="7">
        <v>0</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K1.2</v>
      </c>
      <c r="G46" s="59" t="str">
        <f>C13</f>
        <v>S1.1</v>
      </c>
      <c r="H46" s="59" t="str">
        <f>C14</f>
        <v>S5.1</v>
      </c>
      <c r="I46" s="59" t="str">
        <f>C15</f>
        <v>S7.1</v>
      </c>
      <c r="J46" s="59" t="str">
        <f>C16</f>
        <v>V1.1</v>
      </c>
      <c r="K46" s="59">
        <f>C17</f>
        <v>0</v>
      </c>
      <c r="L46" s="59">
        <f>C18</f>
        <v>0</v>
      </c>
      <c r="M46" s="59">
        <f>C19</f>
        <v>0</v>
      </c>
      <c r="N46" s="60" t="s">
        <v>327</v>
      </c>
    </row>
    <row r="47" spans="2:15" ht="55.15" customHeight="1" x14ac:dyDescent="0.25">
      <c r="C47" s="9" t="s">
        <v>328</v>
      </c>
      <c r="D47" s="10">
        <v>25</v>
      </c>
      <c r="E47" s="8">
        <v>10</v>
      </c>
      <c r="F47" s="8">
        <v>5</v>
      </c>
      <c r="G47" s="8">
        <v>5</v>
      </c>
      <c r="H47" s="8">
        <v>5</v>
      </c>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c r="E49" s="11"/>
      <c r="F49" s="12"/>
      <c r="G49" s="12"/>
      <c r="H49" s="12"/>
      <c r="I49" s="12"/>
      <c r="J49" s="12"/>
      <c r="K49" s="12"/>
      <c r="L49" s="12"/>
      <c r="M49" s="12"/>
      <c r="N49" s="55" t="b">
        <f t="shared" si="3"/>
        <v>1</v>
      </c>
    </row>
    <row r="50" spans="3:14" ht="55.15" customHeight="1" x14ac:dyDescent="0.25">
      <c r="C50" s="9" t="s">
        <v>818</v>
      </c>
      <c r="D50" s="10">
        <v>10</v>
      </c>
      <c r="E50" s="11"/>
      <c r="F50" s="12"/>
      <c r="G50" s="12"/>
      <c r="H50" s="12"/>
      <c r="I50" s="12">
        <v>10</v>
      </c>
      <c r="J50" s="12"/>
      <c r="K50" s="12"/>
      <c r="L50" s="12"/>
      <c r="M50" s="12"/>
      <c r="N50" s="55" t="b">
        <f t="shared" si="3"/>
        <v>1</v>
      </c>
    </row>
    <row r="51" spans="3:14" ht="55.15" customHeight="1" x14ac:dyDescent="0.25">
      <c r="C51" s="9" t="s">
        <v>1361</v>
      </c>
      <c r="D51" s="10">
        <v>10</v>
      </c>
      <c r="E51" s="11"/>
      <c r="F51" s="12"/>
      <c r="G51" s="12"/>
      <c r="H51" s="12"/>
      <c r="I51" s="12"/>
      <c r="J51" s="12">
        <v>10</v>
      </c>
      <c r="K51" s="12"/>
      <c r="L51" s="12"/>
      <c r="M51" s="12"/>
      <c r="N51" s="55" t="b">
        <f t="shared" si="3"/>
        <v>1</v>
      </c>
    </row>
    <row r="52" spans="3:14" ht="55.15" customHeight="1" x14ac:dyDescent="0.25">
      <c r="C52" s="9" t="s">
        <v>504</v>
      </c>
      <c r="D52" s="10">
        <v>50</v>
      </c>
      <c r="E52" s="11">
        <v>20</v>
      </c>
      <c r="F52" s="12">
        <v>15</v>
      </c>
      <c r="G52" s="12">
        <v>10</v>
      </c>
      <c r="H52" s="12">
        <v>5</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35</v>
      </c>
      <c r="F56" s="65">
        <f t="shared" si="5"/>
        <v>20</v>
      </c>
      <c r="G56" s="65">
        <f t="shared" si="5"/>
        <v>15</v>
      </c>
      <c r="H56" s="65">
        <f t="shared" si="5"/>
        <v>10</v>
      </c>
      <c r="I56" s="65">
        <f t="shared" si="5"/>
        <v>10</v>
      </c>
      <c r="J56" s="65">
        <f t="shared" si="5"/>
        <v>10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311" priority="11">
      <formula>LEN(TRIM(D47))=0</formula>
    </cfRule>
    <cfRule type="cellIs" dxfId="310" priority="12" operator="equal">
      <formula>0</formula>
    </cfRule>
  </conditionalFormatting>
  <conditionalFormatting sqref="E50">
    <cfRule type="containsBlanks" dxfId="309" priority="21">
      <formula>LEN(TRIM(E50))=0</formula>
    </cfRule>
    <cfRule type="cellIs" dxfId="308" priority="22" operator="equal">
      <formula>0</formula>
    </cfRule>
  </conditionalFormatting>
  <conditionalFormatting sqref="E47:M51 E52">
    <cfRule type="containsBlanks" dxfId="307" priority="17">
      <formula>LEN(TRIM(E47))=0</formula>
    </cfRule>
    <cfRule type="cellIs" dxfId="306" priority="18" operator="equal">
      <formula>0</formula>
    </cfRule>
  </conditionalFormatting>
  <conditionalFormatting sqref="E53:M54">
    <cfRule type="containsBlanks" dxfId="305" priority="15">
      <formula>LEN(TRIM(E53))=0</formula>
    </cfRule>
    <cfRule type="cellIs" dxfId="304" priority="16" operator="equal">
      <formula>0</formula>
    </cfRule>
  </conditionalFormatting>
  <conditionalFormatting sqref="E55:M55">
    <cfRule type="containsText" dxfId="303" priority="5" operator="containsText" text="false">
      <formula>NOT(ISERROR(SEARCH("false",E55)))</formula>
    </cfRule>
    <cfRule type="containsText" dxfId="302" priority="6" operator="containsText" text="true">
      <formula>NOT(ISERROR(SEARCH("true",E55)))</formula>
    </cfRule>
  </conditionalFormatting>
  <conditionalFormatting sqref="E26:N39">
    <cfRule type="containsBlanks" dxfId="301" priority="3">
      <formula>LEN(TRIM(E26))=0</formula>
    </cfRule>
    <cfRule type="cellIs" dxfId="300" priority="4" operator="equal">
      <formula>0</formula>
    </cfRule>
  </conditionalFormatting>
  <conditionalFormatting sqref="F48:M48">
    <cfRule type="containsBlanks" dxfId="299" priority="23">
      <formula>LEN(TRIM(F48))=0</formula>
    </cfRule>
    <cfRule type="cellIs" dxfId="298" priority="24" operator="equal">
      <formula>0</formula>
    </cfRule>
  </conditionalFormatting>
  <conditionalFormatting sqref="F50:M52">
    <cfRule type="containsBlanks" dxfId="297" priority="19">
      <formula>LEN(TRIM(F50))=0</formula>
    </cfRule>
    <cfRule type="cellIs" dxfId="296" priority="20" operator="equal">
      <formula>0</formula>
    </cfRule>
  </conditionalFormatting>
  <conditionalFormatting sqref="N47:N54">
    <cfRule type="containsText" dxfId="295" priority="7" operator="containsText" text="false">
      <formula>NOT(ISERROR(SEARCH("false",N47)))</formula>
    </cfRule>
    <cfRule type="containsText" dxfId="294" priority="8" operator="containsText" text="true">
      <formula>NOT(ISERROR(SEARCH("true",N47)))</formula>
    </cfRule>
  </conditionalFormatting>
  <conditionalFormatting sqref="N55">
    <cfRule type="containsBlanks" dxfId="293" priority="13">
      <formula>LEN(TRIM(N55))=0</formula>
    </cfRule>
    <cfRule type="cellIs" dxfId="292" priority="14" operator="equal">
      <formula>0</formula>
    </cfRule>
  </conditionalFormatting>
  <conditionalFormatting sqref="O26:O40">
    <cfRule type="containsText" dxfId="291" priority="9" operator="containsText" text="false">
      <formula>NOT(ISERROR(SEARCH("false",O26)))</formula>
    </cfRule>
    <cfRule type="containsText" dxfId="290" priority="10" operator="containsText" text="true">
      <formula>NOT(ISERROR(SEARCH("true",O26)))</formula>
    </cfRule>
  </conditionalFormatting>
  <conditionalFormatting sqref="O42">
    <cfRule type="cellIs" dxfId="289" priority="1" operator="notEqual">
      <formula>100</formula>
    </cfRule>
    <cfRule type="cellIs" dxfId="288" priority="2" operator="equal">
      <formula>100</formula>
    </cfRule>
  </conditionalFormatting>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2:AB57"/>
  <sheetViews>
    <sheetView zoomScale="50" zoomScaleNormal="50" workbookViewId="0">
      <selection activeCell="G7" sqref="G7"/>
    </sheetView>
  </sheetViews>
  <sheetFormatPr defaultColWidth="9.140625" defaultRowHeight="15" x14ac:dyDescent="0.25"/>
  <cols>
    <col min="1" max="1" width="9.140625" style="19"/>
    <col min="2" max="2" width="15.570312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260</v>
      </c>
      <c r="J6" s="43" t="s">
        <v>278</v>
      </c>
      <c r="K6" s="1" t="s">
        <v>118</v>
      </c>
    </row>
    <row r="7" spans="2:26" ht="72.599999999999994" customHeight="1" thickBot="1" x14ac:dyDescent="0.3">
      <c r="B7" s="160"/>
      <c r="C7" s="161"/>
      <c r="D7" s="43" t="s">
        <v>279</v>
      </c>
      <c r="E7" s="1">
        <v>5</v>
      </c>
      <c r="F7" s="43" t="s">
        <v>280</v>
      </c>
      <c r="G7" s="1">
        <v>10</v>
      </c>
      <c r="H7" s="43" t="s">
        <v>281</v>
      </c>
      <c r="I7" s="1">
        <v>3</v>
      </c>
      <c r="J7" s="43" t="s">
        <v>283</v>
      </c>
      <c r="K7" s="1" t="s">
        <v>685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38" customHeight="1" x14ac:dyDescent="0.25">
      <c r="B11" s="36"/>
      <c r="C11" s="2" t="s">
        <v>415</v>
      </c>
      <c r="D11" s="78" t="s">
        <v>1362</v>
      </c>
      <c r="E11" s="2" t="s">
        <v>10</v>
      </c>
      <c r="F11" s="3"/>
      <c r="G11" s="17"/>
      <c r="H11" s="17">
        <v>0.6</v>
      </c>
      <c r="I11" s="17">
        <v>1</v>
      </c>
      <c r="J11" s="80" t="s">
        <v>1363</v>
      </c>
      <c r="K11" s="80" t="s">
        <v>1364</v>
      </c>
      <c r="U11" s="3">
        <f>F11</f>
        <v>0</v>
      </c>
      <c r="V11" s="2" t="str">
        <f>C11</f>
        <v>K2.1</v>
      </c>
      <c r="W11" s="2"/>
      <c r="X11" s="17"/>
      <c r="Y11" s="37"/>
      <c r="Z11" s="37"/>
    </row>
    <row r="12" spans="2:26" ht="131.25" customHeight="1" x14ac:dyDescent="0.25">
      <c r="B12" s="36"/>
      <c r="C12" s="5" t="s">
        <v>560</v>
      </c>
      <c r="D12" s="78" t="s">
        <v>1365</v>
      </c>
      <c r="E12" s="5" t="s">
        <v>13</v>
      </c>
      <c r="F12" s="6"/>
      <c r="G12" s="4"/>
      <c r="H12" s="17">
        <v>0.6</v>
      </c>
      <c r="I12" s="17">
        <v>1</v>
      </c>
      <c r="J12" s="80" t="s">
        <v>1366</v>
      </c>
      <c r="K12" s="80" t="s">
        <v>1367</v>
      </c>
      <c r="U12" s="6">
        <f>F12</f>
        <v>0</v>
      </c>
      <c r="V12" s="2" t="str">
        <f>C12</f>
        <v>K3.1</v>
      </c>
      <c r="W12" s="5"/>
      <c r="X12" s="4"/>
      <c r="Y12" s="38"/>
      <c r="Z12" s="38"/>
    </row>
    <row r="13" spans="2:26" ht="135" customHeight="1" x14ac:dyDescent="0.25">
      <c r="B13" s="36"/>
      <c r="C13" s="5" t="s">
        <v>395</v>
      </c>
      <c r="D13" s="78" t="s">
        <v>1368</v>
      </c>
      <c r="E13" s="5" t="s">
        <v>24</v>
      </c>
      <c r="F13" s="6"/>
      <c r="G13" s="4"/>
      <c r="H13" s="17">
        <v>0.6</v>
      </c>
      <c r="I13" s="17">
        <v>1</v>
      </c>
      <c r="J13" s="80" t="s">
        <v>1369</v>
      </c>
      <c r="K13" s="80" t="s">
        <v>1370</v>
      </c>
      <c r="U13" s="6">
        <f>F13</f>
        <v>0</v>
      </c>
      <c r="V13" s="2" t="str">
        <f>C13</f>
        <v>S3.1</v>
      </c>
      <c r="W13" s="5"/>
      <c r="X13" s="4"/>
      <c r="Y13" s="38"/>
      <c r="Z13" s="38"/>
    </row>
    <row r="14" spans="2:26" ht="114.75" customHeight="1" x14ac:dyDescent="0.25">
      <c r="B14" s="36"/>
      <c r="C14" s="5" t="s">
        <v>586</v>
      </c>
      <c r="D14" s="79" t="s">
        <v>1371</v>
      </c>
      <c r="E14" s="5" t="s">
        <v>27</v>
      </c>
      <c r="F14" s="6"/>
      <c r="G14" s="4"/>
      <c r="H14" s="17">
        <v>0.6</v>
      </c>
      <c r="I14" s="17">
        <v>1</v>
      </c>
      <c r="J14" s="80" t="s">
        <v>1372</v>
      </c>
      <c r="K14" s="80" t="s">
        <v>695</v>
      </c>
      <c r="U14" s="6">
        <f>F14</f>
        <v>0</v>
      </c>
      <c r="V14" s="2" t="str">
        <f>C14</f>
        <v>S5.1</v>
      </c>
      <c r="W14" s="5"/>
      <c r="X14" s="4"/>
      <c r="Y14" s="38"/>
      <c r="Z14" s="38"/>
    </row>
    <row r="15" spans="2:26" ht="92.25" customHeight="1" x14ac:dyDescent="0.25">
      <c r="B15" s="36"/>
      <c r="C15" s="5"/>
      <c r="D15" s="24"/>
      <c r="E15" s="5"/>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K3.1</v>
      </c>
      <c r="H25" s="49" t="str">
        <f>C13</f>
        <v>S3.1</v>
      </c>
      <c r="I25" s="49" t="str">
        <f>C14</f>
        <v>S5.1</v>
      </c>
      <c r="J25" s="49">
        <f>C15</f>
        <v>0</v>
      </c>
      <c r="K25" s="49">
        <f>C16</f>
        <v>0</v>
      </c>
      <c r="L25" s="49">
        <f>C17</f>
        <v>0</v>
      </c>
      <c r="M25" s="49">
        <f>C18</f>
        <v>0</v>
      </c>
      <c r="N25" s="49">
        <f>C19</f>
        <v>0</v>
      </c>
      <c r="O25" s="50" t="s">
        <v>305</v>
      </c>
    </row>
    <row r="26" spans="2:26" ht="30.4" customHeight="1" thickBot="1" x14ac:dyDescent="0.3">
      <c r="C26" s="51" t="s">
        <v>306</v>
      </c>
      <c r="D26" s="85" t="s">
        <v>1373</v>
      </c>
      <c r="E26" s="8">
        <v>2</v>
      </c>
      <c r="F26" s="8">
        <v>1</v>
      </c>
      <c r="G26" s="8">
        <v>1</v>
      </c>
      <c r="H26" s="8"/>
      <c r="I26" s="8"/>
      <c r="J26" s="8"/>
      <c r="K26" s="8"/>
      <c r="L26" s="8"/>
      <c r="M26" s="8"/>
      <c r="N26" s="8"/>
      <c r="O26" s="53" t="b">
        <f t="shared" ref="O26:O40" si="0">IF(SUM(F26:N26)=E26,TRUE,"false")</f>
        <v>1</v>
      </c>
    </row>
    <row r="27" spans="2:26" ht="33" customHeight="1" thickBot="1" x14ac:dyDescent="0.3">
      <c r="C27" s="51" t="s">
        <v>307</v>
      </c>
      <c r="D27" s="85" t="s">
        <v>1374</v>
      </c>
      <c r="E27" s="8">
        <v>8</v>
      </c>
      <c r="F27" s="8">
        <v>2</v>
      </c>
      <c r="G27" s="8">
        <v>2</v>
      </c>
      <c r="H27" s="8">
        <v>2</v>
      </c>
      <c r="I27" s="8">
        <v>2</v>
      </c>
      <c r="J27" s="8"/>
      <c r="K27" s="8"/>
      <c r="L27" s="8"/>
      <c r="M27" s="8"/>
      <c r="N27" s="8"/>
      <c r="O27" s="53" t="b">
        <f t="shared" si="0"/>
        <v>1</v>
      </c>
    </row>
    <row r="28" spans="2:26" ht="35.25" customHeight="1" thickBot="1" x14ac:dyDescent="0.3">
      <c r="C28" s="51" t="s">
        <v>308</v>
      </c>
      <c r="D28" s="86" t="s">
        <v>1375</v>
      </c>
      <c r="E28" s="87">
        <v>8</v>
      </c>
      <c r="F28" s="8">
        <v>2</v>
      </c>
      <c r="G28" s="8">
        <v>2</v>
      </c>
      <c r="H28" s="8">
        <v>2</v>
      </c>
      <c r="I28" s="8">
        <v>2</v>
      </c>
      <c r="J28" s="8"/>
      <c r="K28" s="8"/>
      <c r="L28" s="8"/>
      <c r="M28" s="8"/>
      <c r="N28" s="8"/>
      <c r="O28" s="53" t="b">
        <f t="shared" si="0"/>
        <v>1</v>
      </c>
    </row>
    <row r="29" spans="2:26" ht="30.4" customHeight="1" thickBot="1" x14ac:dyDescent="0.3">
      <c r="C29" s="51" t="s">
        <v>309</v>
      </c>
      <c r="D29" s="86" t="s">
        <v>1376</v>
      </c>
      <c r="E29" s="8">
        <v>6</v>
      </c>
      <c r="F29" s="8">
        <v>1</v>
      </c>
      <c r="G29" s="8">
        <v>1</v>
      </c>
      <c r="H29" s="8">
        <v>2</v>
      </c>
      <c r="I29" s="8">
        <v>2</v>
      </c>
      <c r="J29" s="8"/>
      <c r="K29" s="8"/>
      <c r="L29" s="8"/>
      <c r="M29" s="8"/>
      <c r="N29" s="8"/>
      <c r="O29" s="53" t="b">
        <f t="shared" si="0"/>
        <v>1</v>
      </c>
    </row>
    <row r="30" spans="2:26" ht="30.4" customHeight="1" thickBot="1" x14ac:dyDescent="0.3">
      <c r="C30" s="51" t="s">
        <v>310</v>
      </c>
      <c r="D30" s="86" t="s">
        <v>1377</v>
      </c>
      <c r="E30" s="8">
        <v>10</v>
      </c>
      <c r="F30" s="8">
        <v>3</v>
      </c>
      <c r="G30" s="8">
        <v>3</v>
      </c>
      <c r="H30" s="8">
        <v>2</v>
      </c>
      <c r="I30" s="8">
        <v>2</v>
      </c>
      <c r="J30" s="8"/>
      <c r="K30" s="8"/>
      <c r="L30" s="8"/>
      <c r="M30" s="8"/>
      <c r="N30" s="8"/>
      <c r="O30" s="53" t="b">
        <f t="shared" si="0"/>
        <v>1</v>
      </c>
    </row>
    <row r="31" spans="2:26" ht="30.4" customHeight="1" thickBot="1" x14ac:dyDescent="0.3">
      <c r="C31" s="51" t="s">
        <v>311</v>
      </c>
      <c r="D31" s="86" t="s">
        <v>1378</v>
      </c>
      <c r="E31" s="8">
        <v>2</v>
      </c>
      <c r="F31" s="8">
        <v>1</v>
      </c>
      <c r="G31" s="8">
        <v>1</v>
      </c>
      <c r="H31" s="8"/>
      <c r="I31" s="8"/>
      <c r="J31" s="8"/>
      <c r="K31" s="8"/>
      <c r="L31" s="8"/>
      <c r="M31" s="8"/>
      <c r="N31" s="8"/>
      <c r="O31" s="53" t="b">
        <f t="shared" si="0"/>
        <v>1</v>
      </c>
    </row>
    <row r="32" spans="2:26" ht="30.4" customHeight="1" thickBot="1" x14ac:dyDescent="0.3">
      <c r="C32" s="51" t="s">
        <v>312</v>
      </c>
      <c r="D32" s="86" t="s">
        <v>1379</v>
      </c>
      <c r="E32" s="8">
        <v>8</v>
      </c>
      <c r="F32" s="8">
        <v>2</v>
      </c>
      <c r="G32" s="8">
        <v>2</v>
      </c>
      <c r="H32" s="8">
        <v>2</v>
      </c>
      <c r="I32" s="8">
        <v>2</v>
      </c>
      <c r="J32" s="8"/>
      <c r="K32" s="8"/>
      <c r="L32" s="8"/>
      <c r="M32" s="8"/>
      <c r="N32" s="8"/>
      <c r="O32" s="53" t="b">
        <f t="shared" si="0"/>
        <v>1</v>
      </c>
    </row>
    <row r="33" spans="2:15" ht="30.4" customHeight="1" thickBot="1" x14ac:dyDescent="0.3">
      <c r="C33" s="51" t="s">
        <v>313</v>
      </c>
      <c r="D33" s="86" t="s">
        <v>1380</v>
      </c>
      <c r="E33" s="8">
        <v>8</v>
      </c>
      <c r="F33" s="8">
        <v>2</v>
      </c>
      <c r="G33" s="8">
        <v>2</v>
      </c>
      <c r="H33" s="8">
        <v>2</v>
      </c>
      <c r="I33" s="8">
        <v>2</v>
      </c>
      <c r="J33" s="8"/>
      <c r="K33" s="8"/>
      <c r="L33" s="8"/>
      <c r="M33" s="8"/>
      <c r="N33" s="8"/>
      <c r="O33" s="53" t="b">
        <f t="shared" si="0"/>
        <v>1</v>
      </c>
    </row>
    <row r="34" spans="2:15" ht="30.4" customHeight="1" thickBot="1" x14ac:dyDescent="0.3">
      <c r="C34" s="51" t="s">
        <v>314</v>
      </c>
      <c r="D34" s="86" t="s">
        <v>1381</v>
      </c>
      <c r="E34" s="8">
        <v>4</v>
      </c>
      <c r="F34" s="8">
        <v>2</v>
      </c>
      <c r="G34" s="8">
        <v>2</v>
      </c>
      <c r="H34" s="8"/>
      <c r="I34" s="8"/>
      <c r="J34" s="8"/>
      <c r="K34" s="8"/>
      <c r="L34" s="8"/>
      <c r="M34" s="8"/>
      <c r="N34" s="8"/>
      <c r="O34" s="53" t="b">
        <f t="shared" si="0"/>
        <v>1</v>
      </c>
    </row>
    <row r="35" spans="2:15" ht="30.4" customHeight="1" thickBot="1" x14ac:dyDescent="0.3">
      <c r="C35" s="51" t="s">
        <v>315</v>
      </c>
      <c r="D35" s="86" t="s">
        <v>1382</v>
      </c>
      <c r="E35" s="8">
        <v>2</v>
      </c>
      <c r="F35" s="8">
        <v>1</v>
      </c>
      <c r="G35" s="8">
        <v>1</v>
      </c>
      <c r="H35" s="8"/>
      <c r="I35" s="8"/>
      <c r="J35" s="8"/>
      <c r="K35" s="8"/>
      <c r="L35" s="8"/>
      <c r="M35" s="8"/>
      <c r="N35" s="8"/>
      <c r="O35" s="53" t="b">
        <f t="shared" si="0"/>
        <v>1</v>
      </c>
    </row>
    <row r="36" spans="2:15" ht="30.4" customHeight="1" thickBot="1" x14ac:dyDescent="0.3">
      <c r="C36" s="51" t="s">
        <v>316</v>
      </c>
      <c r="D36" s="86" t="s">
        <v>1383</v>
      </c>
      <c r="E36" s="8">
        <v>2</v>
      </c>
      <c r="F36" s="8">
        <v>1</v>
      </c>
      <c r="G36" s="8">
        <v>1</v>
      </c>
      <c r="H36" s="8"/>
      <c r="I36" s="8"/>
      <c r="J36" s="8"/>
      <c r="K36" s="8"/>
      <c r="L36" s="8"/>
      <c r="M36" s="8"/>
      <c r="N36" s="8"/>
      <c r="O36" s="53" t="b">
        <f t="shared" si="0"/>
        <v>1</v>
      </c>
    </row>
    <row r="37" spans="2:15" ht="30.4" customHeight="1" thickBot="1" x14ac:dyDescent="0.3">
      <c r="C37" s="51" t="s">
        <v>317</v>
      </c>
      <c r="D37" s="26"/>
      <c r="E37" s="8"/>
      <c r="F37" s="8"/>
      <c r="G37" s="8"/>
      <c r="H37" s="8"/>
      <c r="I37" s="8"/>
      <c r="J37" s="8"/>
      <c r="K37" s="8"/>
      <c r="L37" s="8"/>
      <c r="M37" s="8"/>
      <c r="N37" s="8"/>
      <c r="O37" s="53" t="b">
        <f t="shared" si="0"/>
        <v>1</v>
      </c>
    </row>
    <row r="38" spans="2:15" ht="30.4" customHeight="1" thickBot="1" x14ac:dyDescent="0.3">
      <c r="C38" s="51" t="s">
        <v>318</v>
      </c>
      <c r="D38" s="26"/>
      <c r="E38" s="8"/>
      <c r="F38" s="8"/>
      <c r="G38" s="8"/>
      <c r="H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60</v>
      </c>
      <c r="F40" s="52">
        <f t="shared" si="1"/>
        <v>18</v>
      </c>
      <c r="G40" s="52">
        <f t="shared" si="1"/>
        <v>18</v>
      </c>
      <c r="H40" s="52">
        <f t="shared" si="1"/>
        <v>12</v>
      </c>
      <c r="I40" s="52">
        <f t="shared" si="1"/>
        <v>12</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v>
      </c>
      <c r="G41" s="54">
        <f>ROUND(G40/E40,2)</f>
        <v>0.3</v>
      </c>
      <c r="H41" s="54">
        <f>ROUND(H40/E40,2)</f>
        <v>0.2</v>
      </c>
      <c r="I41" s="54">
        <f>ROUND(I40/E40,2)</f>
        <v>0.2</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30</v>
      </c>
      <c r="G42" s="7">
        <v>35</v>
      </c>
      <c r="H42" s="7">
        <v>20</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K3.1</v>
      </c>
      <c r="G46" s="59" t="str">
        <f>C13</f>
        <v>S3.1</v>
      </c>
      <c r="H46" s="59" t="str">
        <f>C14</f>
        <v>S5.1</v>
      </c>
      <c r="I46" s="59">
        <f>C15</f>
        <v>0</v>
      </c>
      <c r="J46" s="59">
        <f>C16</f>
        <v>0</v>
      </c>
      <c r="K46" s="59">
        <f>C17</f>
        <v>0</v>
      </c>
      <c r="L46" s="59">
        <f>C18</f>
        <v>0</v>
      </c>
      <c r="M46" s="59">
        <f>C19</f>
        <v>0</v>
      </c>
      <c r="N46" s="60" t="s">
        <v>327</v>
      </c>
    </row>
    <row r="47" spans="2:15" ht="55.15" customHeight="1" x14ac:dyDescent="0.25">
      <c r="C47" s="9" t="s">
        <v>328</v>
      </c>
      <c r="D47" s="10">
        <v>25</v>
      </c>
      <c r="E47" s="8">
        <v>10</v>
      </c>
      <c r="F47" s="8">
        <v>15</v>
      </c>
      <c r="G47" s="8"/>
      <c r="H47" s="8"/>
      <c r="I47" s="8"/>
      <c r="J47" s="8"/>
      <c r="K47" s="8"/>
      <c r="L47" s="8"/>
      <c r="M47" s="8"/>
      <c r="N47" s="55" t="b">
        <f t="shared" ref="N47:N54" si="2">IF(SUM(E47:M47)=D47,TRUE,"false")</f>
        <v>1</v>
      </c>
    </row>
    <row r="48" spans="2:15" ht="55.15" customHeight="1" x14ac:dyDescent="0.25">
      <c r="C48" s="9" t="s">
        <v>331</v>
      </c>
      <c r="D48" s="10">
        <v>5</v>
      </c>
      <c r="E48" s="11"/>
      <c r="F48" s="12"/>
      <c r="G48" s="12"/>
      <c r="H48" s="12">
        <v>5</v>
      </c>
      <c r="I48" s="12"/>
      <c r="J48" s="12"/>
      <c r="K48" s="12"/>
      <c r="L48" s="12"/>
      <c r="M48" s="12"/>
      <c r="N48" s="55" t="b">
        <f t="shared" si="2"/>
        <v>1</v>
      </c>
    </row>
    <row r="49" spans="3:14" ht="55.15" customHeight="1" x14ac:dyDescent="0.25">
      <c r="C49" s="9" t="s">
        <v>432</v>
      </c>
      <c r="D49" s="10">
        <v>20</v>
      </c>
      <c r="E49" s="11"/>
      <c r="F49" s="12"/>
      <c r="G49" s="12">
        <v>10</v>
      </c>
      <c r="H49" s="12">
        <v>10</v>
      </c>
      <c r="I49" s="12"/>
      <c r="J49" s="12"/>
      <c r="K49" s="12"/>
      <c r="L49" s="12"/>
      <c r="M49" s="12"/>
      <c r="N49" s="55" t="b">
        <f t="shared" si="2"/>
        <v>1</v>
      </c>
    </row>
    <row r="50" spans="3:14" ht="55.15" customHeight="1" x14ac:dyDescent="0.25">
      <c r="C50" s="9" t="s">
        <v>504</v>
      </c>
      <c r="D50" s="10">
        <v>50</v>
      </c>
      <c r="E50" s="11">
        <v>20</v>
      </c>
      <c r="F50" s="12">
        <v>20</v>
      </c>
      <c r="G50" s="12">
        <v>10</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30</v>
      </c>
      <c r="F56" s="65">
        <f t="shared" si="4"/>
        <v>35</v>
      </c>
      <c r="G56" s="65">
        <f t="shared" si="4"/>
        <v>20</v>
      </c>
      <c r="H56" s="65">
        <f t="shared" si="4"/>
        <v>15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E52">
    <cfRule type="containsBlanks" dxfId="287" priority="23">
      <formula>LEN(TRIM(E52))=0</formula>
    </cfRule>
    <cfRule type="cellIs" dxfId="286" priority="24" operator="equal">
      <formula>0</formula>
    </cfRule>
  </conditionalFormatting>
  <conditionalFormatting sqref="E38:H38 J38:N38 E39:N39 D47:D54">
    <cfRule type="containsBlanks" dxfId="285" priority="17">
      <formula>LEN(TRIM(D38))=0</formula>
    </cfRule>
    <cfRule type="cellIs" dxfId="284" priority="18" operator="equal">
      <formula>0</formula>
    </cfRule>
  </conditionalFormatting>
  <conditionalFormatting sqref="E50:H50">
    <cfRule type="containsBlanks" dxfId="283" priority="3">
      <formula>LEN(TRIM(E50))=0</formula>
    </cfRule>
    <cfRule type="cellIs" dxfId="282" priority="4" operator="equal">
      <formula>0</formula>
    </cfRule>
  </conditionalFormatting>
  <conditionalFormatting sqref="E47:M51">
    <cfRule type="containsBlanks" dxfId="281" priority="1">
      <formula>LEN(TRIM(E47))=0</formula>
    </cfRule>
    <cfRule type="cellIs" dxfId="280" priority="2" operator="equal">
      <formula>0</formula>
    </cfRule>
  </conditionalFormatting>
  <conditionalFormatting sqref="E53:M54">
    <cfRule type="containsBlanks" dxfId="279" priority="21">
      <formula>LEN(TRIM(E53))=0</formula>
    </cfRule>
    <cfRule type="cellIs" dxfId="278" priority="22" operator="equal">
      <formula>0</formula>
    </cfRule>
  </conditionalFormatting>
  <conditionalFormatting sqref="E55:M55">
    <cfRule type="containsText" dxfId="277" priority="11" operator="containsText" text="false">
      <formula>NOT(ISERROR(SEARCH("false",E55)))</formula>
    </cfRule>
    <cfRule type="containsText" dxfId="276" priority="12" operator="containsText" text="true">
      <formula>NOT(ISERROR(SEARCH("true",E55)))</formula>
    </cfRule>
  </conditionalFormatting>
  <conditionalFormatting sqref="E26:N37">
    <cfRule type="containsBlanks" dxfId="275" priority="7">
      <formula>LEN(TRIM(E26))=0</formula>
    </cfRule>
    <cfRule type="cellIs" dxfId="274" priority="8" operator="equal">
      <formula>0</formula>
    </cfRule>
  </conditionalFormatting>
  <conditionalFormatting sqref="F48:H48">
    <cfRule type="containsBlanks" dxfId="273" priority="5">
      <formula>LEN(TRIM(F48))=0</formula>
    </cfRule>
    <cfRule type="cellIs" dxfId="272" priority="6" operator="equal">
      <formula>0</formula>
    </cfRule>
  </conditionalFormatting>
  <conditionalFormatting sqref="F51:M52">
    <cfRule type="containsBlanks" dxfId="271" priority="25">
      <formula>LEN(TRIM(F51))=0</formula>
    </cfRule>
    <cfRule type="cellIs" dxfId="270" priority="26" operator="equal">
      <formula>0</formula>
    </cfRule>
  </conditionalFormatting>
  <conditionalFormatting sqref="N47:N54">
    <cfRule type="containsText" dxfId="269" priority="13" operator="containsText" text="false">
      <formula>NOT(ISERROR(SEARCH("false",N47)))</formula>
    </cfRule>
    <cfRule type="containsText" dxfId="268" priority="14" operator="containsText" text="true">
      <formula>NOT(ISERROR(SEARCH("true",N47)))</formula>
    </cfRule>
  </conditionalFormatting>
  <conditionalFormatting sqref="N55">
    <cfRule type="containsBlanks" dxfId="267" priority="19">
      <formula>LEN(TRIM(N55))=0</formula>
    </cfRule>
    <cfRule type="cellIs" dxfId="266" priority="20" operator="equal">
      <formula>0</formula>
    </cfRule>
  </conditionalFormatting>
  <conditionalFormatting sqref="O26:O40">
    <cfRule type="containsText" dxfId="265" priority="15" operator="containsText" text="false">
      <formula>NOT(ISERROR(SEARCH("false",O26)))</formula>
    </cfRule>
    <cfRule type="containsText" dxfId="264" priority="16" operator="containsText" text="true">
      <formula>NOT(ISERROR(SEARCH("true",O26)))</formula>
    </cfRule>
  </conditionalFormatting>
  <conditionalFormatting sqref="O42">
    <cfRule type="cellIs" dxfId="263" priority="9" operator="notEqual">
      <formula>100</formula>
    </cfRule>
    <cfRule type="cellIs" dxfId="262" priority="10" operator="equal">
      <formula>100</formula>
    </cfRule>
  </conditionalFormatting>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00B050"/>
  </sheetPr>
  <dimension ref="B2:AB57"/>
  <sheetViews>
    <sheetView topLeftCell="A6" zoomScale="60" zoomScaleNormal="60" workbookViewId="0">
      <selection activeCell="G7" sqref="G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262</v>
      </c>
      <c r="J6" s="43" t="s">
        <v>278</v>
      </c>
      <c r="K6" s="1" t="s">
        <v>119</v>
      </c>
    </row>
    <row r="7" spans="2:26" ht="72.599999999999994" customHeight="1" thickBot="1" x14ac:dyDescent="0.3">
      <c r="B7" s="160"/>
      <c r="C7" s="161"/>
      <c r="D7" s="43" t="s">
        <v>279</v>
      </c>
      <c r="E7" s="1">
        <v>5</v>
      </c>
      <c r="F7" s="43" t="s">
        <v>280</v>
      </c>
      <c r="G7" s="1">
        <v>10</v>
      </c>
      <c r="H7" s="43" t="s">
        <v>281</v>
      </c>
      <c r="I7" s="1" t="s">
        <v>666</v>
      </c>
      <c r="J7" s="43" t="s">
        <v>283</v>
      </c>
      <c r="K7" s="1" t="s">
        <v>513</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63.5"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210" x14ac:dyDescent="0.25">
      <c r="B11" s="36"/>
      <c r="C11" s="89" t="s">
        <v>1384</v>
      </c>
      <c r="D11" s="96" t="s">
        <v>1385</v>
      </c>
      <c r="E11" s="89" t="s">
        <v>7</v>
      </c>
      <c r="F11" s="3"/>
      <c r="G11" s="17"/>
      <c r="H11" s="17">
        <v>0.6</v>
      </c>
      <c r="I11" s="17">
        <v>1</v>
      </c>
      <c r="J11" s="89" t="s">
        <v>1386</v>
      </c>
      <c r="K11" s="80" t="s">
        <v>1387</v>
      </c>
      <c r="U11" s="3">
        <f>F11</f>
        <v>0</v>
      </c>
      <c r="V11" s="2" t="str">
        <f>C11</f>
        <v>K.1.1</v>
      </c>
      <c r="W11" s="2"/>
      <c r="X11" s="17"/>
      <c r="Y11" s="37"/>
      <c r="Z11" s="37"/>
    </row>
    <row r="12" spans="2:26" ht="58.9" customHeight="1" x14ac:dyDescent="0.25">
      <c r="B12" s="36"/>
      <c r="C12" s="84" t="s">
        <v>644</v>
      </c>
      <c r="D12" s="19" t="s">
        <v>1388</v>
      </c>
      <c r="E12" s="84" t="s">
        <v>1389</v>
      </c>
      <c r="F12" s="6"/>
      <c r="G12" s="4"/>
      <c r="H12" s="17">
        <v>0.6</v>
      </c>
      <c r="I12" s="17">
        <v>1</v>
      </c>
      <c r="J12" s="5" t="s">
        <v>1390</v>
      </c>
      <c r="K12" s="81" t="s">
        <v>1391</v>
      </c>
      <c r="U12" s="6">
        <f>F12</f>
        <v>0</v>
      </c>
      <c r="V12" s="2" t="str">
        <f>C12</f>
        <v>S1.1</v>
      </c>
      <c r="W12" s="5"/>
      <c r="X12" s="4"/>
      <c r="Y12" s="38"/>
      <c r="Z12" s="38"/>
    </row>
    <row r="13" spans="2:26" ht="58.9" customHeight="1" x14ac:dyDescent="0.25">
      <c r="B13" s="36"/>
      <c r="C13" s="84" t="s">
        <v>1392</v>
      </c>
      <c r="D13" s="19" t="s">
        <v>1393</v>
      </c>
      <c r="E13" s="84" t="s">
        <v>22</v>
      </c>
      <c r="F13" s="6"/>
      <c r="G13" s="4"/>
      <c r="H13" s="4">
        <v>0.6</v>
      </c>
      <c r="I13" s="4">
        <v>1</v>
      </c>
      <c r="J13" s="5" t="s">
        <v>1394</v>
      </c>
      <c r="K13" s="82" t="s">
        <v>1395</v>
      </c>
      <c r="U13" s="6">
        <f>F13</f>
        <v>0</v>
      </c>
      <c r="V13" s="2" t="str">
        <f>C13</f>
        <v>S.2.1</v>
      </c>
      <c r="W13" s="5"/>
      <c r="X13" s="4"/>
      <c r="Y13" s="38"/>
      <c r="Z13" s="38"/>
    </row>
    <row r="14" spans="2:26" ht="58.9" customHeight="1" x14ac:dyDescent="0.25">
      <c r="B14" s="36"/>
      <c r="C14" s="84"/>
      <c r="D14" s="79"/>
      <c r="E14" s="84"/>
      <c r="F14" s="6"/>
      <c r="G14" s="4"/>
      <c r="H14" s="4"/>
      <c r="I14" s="4"/>
      <c r="J14" s="5"/>
      <c r="K14" s="5"/>
      <c r="U14" s="6">
        <f>F14</f>
        <v>0</v>
      </c>
      <c r="V14" s="2">
        <f>C14</f>
        <v>0</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S1.1</v>
      </c>
      <c r="H25" s="49" t="str">
        <f>C13</f>
        <v>S.2.1</v>
      </c>
      <c r="I25" s="49">
        <f>C14</f>
        <v>0</v>
      </c>
      <c r="J25" s="49">
        <f>C15</f>
        <v>0</v>
      </c>
      <c r="K25" s="49">
        <f>C16</f>
        <v>0</v>
      </c>
      <c r="L25" s="49">
        <f>C17</f>
        <v>0</v>
      </c>
      <c r="M25" s="49">
        <f>C18</f>
        <v>0</v>
      </c>
      <c r="N25" s="49">
        <f>C19</f>
        <v>0</v>
      </c>
      <c r="O25" s="50" t="s">
        <v>305</v>
      </c>
    </row>
    <row r="26" spans="2:26" ht="30.4" customHeight="1" thickBot="1" x14ac:dyDescent="0.3">
      <c r="C26" s="51" t="s">
        <v>306</v>
      </c>
      <c r="D26" s="92" t="s">
        <v>1396</v>
      </c>
      <c r="E26" s="8">
        <v>8</v>
      </c>
      <c r="F26" s="8">
        <v>4</v>
      </c>
      <c r="G26" s="8">
        <v>3</v>
      </c>
      <c r="H26" s="8">
        <v>1</v>
      </c>
      <c r="I26" s="8"/>
      <c r="J26" s="8"/>
      <c r="K26" s="8"/>
      <c r="L26" s="8"/>
      <c r="M26" s="8"/>
      <c r="N26" s="8"/>
      <c r="O26" s="53" t="b">
        <f t="shared" ref="O26:O40" si="0">IF(SUM(F26:N26)=E26,TRUE,"false")</f>
        <v>1</v>
      </c>
    </row>
    <row r="27" spans="2:26" ht="30.4" customHeight="1" thickBot="1" x14ac:dyDescent="0.3">
      <c r="C27" s="51" t="s">
        <v>307</v>
      </c>
      <c r="D27" s="92" t="s">
        <v>1397</v>
      </c>
      <c r="E27" s="8">
        <v>6</v>
      </c>
      <c r="F27" s="8">
        <v>4</v>
      </c>
      <c r="G27" s="8">
        <v>1</v>
      </c>
      <c r="H27" s="8">
        <v>1</v>
      </c>
      <c r="I27" s="8"/>
      <c r="J27" s="8"/>
      <c r="K27" s="8"/>
      <c r="L27" s="8"/>
      <c r="M27" s="8"/>
      <c r="N27" s="8"/>
      <c r="O27" s="53" t="b">
        <f t="shared" si="0"/>
        <v>1</v>
      </c>
    </row>
    <row r="28" spans="2:26" ht="30.4" customHeight="1" thickBot="1" x14ac:dyDescent="0.3">
      <c r="C28" s="51" t="s">
        <v>308</v>
      </c>
      <c r="D28" s="25" t="s">
        <v>1398</v>
      </c>
      <c r="E28" s="8">
        <v>8</v>
      </c>
      <c r="F28" s="8">
        <v>4</v>
      </c>
      <c r="G28" s="8">
        <v>3</v>
      </c>
      <c r="H28" s="8">
        <v>1</v>
      </c>
      <c r="I28" s="8"/>
      <c r="J28" s="8"/>
      <c r="K28" s="8"/>
      <c r="L28" s="8"/>
      <c r="M28" s="8"/>
      <c r="N28" s="8"/>
      <c r="O28" s="53" t="b">
        <f t="shared" si="0"/>
        <v>1</v>
      </c>
    </row>
    <row r="29" spans="2:26" ht="30.4" customHeight="1" thickBot="1" x14ac:dyDescent="0.3">
      <c r="C29" s="51" t="s">
        <v>309</v>
      </c>
      <c r="D29" s="25" t="s">
        <v>1399</v>
      </c>
      <c r="E29" s="8">
        <v>8</v>
      </c>
      <c r="F29" s="8">
        <v>4</v>
      </c>
      <c r="G29" s="8">
        <v>3</v>
      </c>
      <c r="H29" s="8">
        <v>1</v>
      </c>
      <c r="I29" s="8"/>
      <c r="J29" s="8"/>
      <c r="K29" s="8"/>
      <c r="L29" s="8"/>
      <c r="M29" s="8"/>
      <c r="N29" s="8"/>
      <c r="O29" s="53" t="b">
        <f t="shared" si="0"/>
        <v>1</v>
      </c>
    </row>
    <row r="30" spans="2:26" ht="30.4" customHeight="1" thickBot="1" x14ac:dyDescent="0.3">
      <c r="C30" s="51" t="s">
        <v>310</v>
      </c>
      <c r="D30" s="25"/>
      <c r="E30" s="8"/>
      <c r="F30" s="8"/>
      <c r="G30" s="8"/>
      <c r="H30" s="8"/>
      <c r="I30" s="8"/>
      <c r="J30" s="8"/>
      <c r="K30" s="8"/>
      <c r="L30" s="8"/>
      <c r="M30" s="8"/>
      <c r="N30" s="8"/>
      <c r="O30" s="53" t="b">
        <f t="shared" si="0"/>
        <v>1</v>
      </c>
    </row>
    <row r="31" spans="2:26" ht="30.4" customHeight="1" thickBot="1" x14ac:dyDescent="0.3">
      <c r="C31" s="51" t="s">
        <v>311</v>
      </c>
      <c r="D31" s="25"/>
      <c r="E31" s="8"/>
      <c r="F31" s="8"/>
      <c r="G31" s="8"/>
      <c r="H31" s="8"/>
      <c r="I31" s="8"/>
      <c r="J31" s="8"/>
      <c r="K31" s="8"/>
      <c r="L31" s="8"/>
      <c r="M31" s="8"/>
      <c r="N31" s="8"/>
      <c r="O31" s="53" t="b">
        <f t="shared" si="0"/>
        <v>1</v>
      </c>
    </row>
    <row r="32" spans="2:26" ht="30.4" customHeight="1" thickBot="1" x14ac:dyDescent="0.3">
      <c r="C32" s="51" t="s">
        <v>312</v>
      </c>
      <c r="D32" s="25"/>
      <c r="E32" s="8"/>
      <c r="F32" s="8"/>
      <c r="G32" s="8"/>
      <c r="H32" s="8"/>
      <c r="I32" s="8"/>
      <c r="J32" s="8"/>
      <c r="K32" s="8"/>
      <c r="L32" s="8"/>
      <c r="M32" s="8"/>
      <c r="N32" s="8"/>
      <c r="O32" s="53" t="b">
        <f t="shared" si="0"/>
        <v>1</v>
      </c>
    </row>
    <row r="33" spans="2:15" ht="30.4" customHeight="1" thickBot="1" x14ac:dyDescent="0.3">
      <c r="C33" s="51" t="s">
        <v>313</v>
      </c>
      <c r="D33" s="25"/>
      <c r="E33" s="8"/>
      <c r="F33" s="8"/>
      <c r="G33" s="8"/>
      <c r="H33" s="8"/>
      <c r="I33" s="8"/>
      <c r="J33" s="8"/>
      <c r="K33" s="8"/>
      <c r="L33" s="8"/>
      <c r="M33" s="8"/>
      <c r="N33" s="8"/>
      <c r="O33" s="53" t="b">
        <f t="shared" si="0"/>
        <v>1</v>
      </c>
    </row>
    <row r="34" spans="2:15" ht="30.4" customHeight="1" thickBot="1" x14ac:dyDescent="0.3">
      <c r="C34" s="51" t="s">
        <v>314</v>
      </c>
      <c r="D34" s="25"/>
      <c r="E34" s="8"/>
      <c r="F34" s="8"/>
      <c r="G34" s="8"/>
      <c r="H34" s="8"/>
      <c r="I34" s="8"/>
      <c r="J34" s="8"/>
      <c r="K34" s="8"/>
      <c r="L34" s="8"/>
      <c r="M34" s="8"/>
      <c r="N34" s="8"/>
      <c r="O34" s="53" t="b">
        <f t="shared" si="0"/>
        <v>1</v>
      </c>
    </row>
    <row r="35" spans="2:15" ht="30.4" customHeight="1" thickBot="1" x14ac:dyDescent="0.3">
      <c r="C35" s="51" t="s">
        <v>315</v>
      </c>
      <c r="D35" s="25"/>
      <c r="E35" s="8"/>
      <c r="F35" s="8"/>
      <c r="G35" s="8"/>
      <c r="H35" s="8"/>
      <c r="I35" s="8"/>
      <c r="J35" s="8"/>
      <c r="K35" s="8"/>
      <c r="L35" s="8"/>
      <c r="M35" s="8"/>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16</v>
      </c>
      <c r="G40" s="52">
        <f t="shared" si="1"/>
        <v>10</v>
      </c>
      <c r="H40" s="52">
        <f t="shared" si="1"/>
        <v>4</v>
      </c>
      <c r="I40" s="52">
        <f t="shared" si="1"/>
        <v>0</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0.53</v>
      </c>
      <c r="G41" s="54">
        <f>ROUND(G40/E40,2)</f>
        <v>0.33</v>
      </c>
      <c r="H41" s="54">
        <f>ROUND(H40/E40,2)</f>
        <v>0.13</v>
      </c>
      <c r="I41" s="54">
        <f>ROUND(I40/E40,2)</f>
        <v>0</v>
      </c>
      <c r="J41" s="54">
        <f>ROUND(J40/E40,2)</f>
        <v>0</v>
      </c>
      <c r="K41" s="54">
        <f>ROUND(K40/E40,2)</f>
        <v>0</v>
      </c>
      <c r="L41" s="54">
        <f>ROUND(L40/E40,2)</f>
        <v>0</v>
      </c>
      <c r="M41" s="54">
        <f>ROUND(M40/E40,2)</f>
        <v>0</v>
      </c>
      <c r="N41" s="54">
        <f>ROUND(N40/E40,2)</f>
        <v>0</v>
      </c>
      <c r="O41" s="54">
        <f>SUM(F41:N41)</f>
        <v>0.9900000000000001</v>
      </c>
    </row>
    <row r="42" spans="2:15" ht="55.9" customHeight="1" x14ac:dyDescent="0.25">
      <c r="C42" s="151" t="s">
        <v>322</v>
      </c>
      <c r="D42" s="151"/>
      <c r="E42" s="151"/>
      <c r="F42" s="7">
        <v>55</v>
      </c>
      <c r="G42" s="7">
        <v>35</v>
      </c>
      <c r="H42" s="7">
        <v>10</v>
      </c>
      <c r="I42" s="7"/>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S1.1</v>
      </c>
      <c r="G46" s="59" t="str">
        <f>C13</f>
        <v>S.2.1</v>
      </c>
      <c r="H46" s="59">
        <f>C14</f>
        <v>0</v>
      </c>
      <c r="I46" s="59">
        <f>C15</f>
        <v>0</v>
      </c>
      <c r="J46" s="59">
        <f>C16</f>
        <v>0</v>
      </c>
      <c r="K46" s="59">
        <f>C17</f>
        <v>0</v>
      </c>
      <c r="L46" s="59">
        <f>C18</f>
        <v>0</v>
      </c>
      <c r="M46" s="59">
        <f>C19</f>
        <v>0</v>
      </c>
      <c r="N46" s="60" t="s">
        <v>327</v>
      </c>
    </row>
    <row r="47" spans="2:15" ht="55.15" customHeight="1" x14ac:dyDescent="0.25">
      <c r="C47" s="9" t="s">
        <v>458</v>
      </c>
      <c r="D47" s="10">
        <v>10</v>
      </c>
      <c r="E47" s="8">
        <v>10</v>
      </c>
      <c r="F47" s="8"/>
      <c r="G47" s="8"/>
      <c r="H47" s="8"/>
      <c r="I47" s="8"/>
      <c r="J47" s="8"/>
      <c r="K47" s="8"/>
      <c r="L47" s="8"/>
      <c r="M47" s="8"/>
      <c r="N47" s="55" t="b">
        <f t="shared" ref="N47:N54" si="2">IF(SUM(E47:M47)=D47,TRUE,"false")</f>
        <v>1</v>
      </c>
    </row>
    <row r="48" spans="2:15" ht="55.15" customHeight="1" x14ac:dyDescent="0.25">
      <c r="C48" s="9" t="s">
        <v>328</v>
      </c>
      <c r="D48" s="10">
        <v>25</v>
      </c>
      <c r="E48" s="11">
        <v>15</v>
      </c>
      <c r="F48" s="12">
        <v>10</v>
      </c>
      <c r="G48" s="12"/>
      <c r="H48" s="12"/>
      <c r="I48" s="12"/>
      <c r="J48" s="12"/>
      <c r="K48" s="12"/>
      <c r="L48" s="12"/>
      <c r="M48" s="12"/>
      <c r="N48" s="55" t="b">
        <f t="shared" si="2"/>
        <v>1</v>
      </c>
    </row>
    <row r="49" spans="3:14" ht="55.15" customHeight="1" x14ac:dyDescent="0.25">
      <c r="C49" s="9" t="s">
        <v>331</v>
      </c>
      <c r="D49" s="10">
        <v>15</v>
      </c>
      <c r="E49" s="11"/>
      <c r="F49" s="12">
        <v>5</v>
      </c>
      <c r="G49" s="12">
        <v>10</v>
      </c>
      <c r="H49" s="12"/>
      <c r="I49" s="12"/>
      <c r="J49" s="12"/>
      <c r="K49" s="12"/>
      <c r="L49" s="12"/>
      <c r="M49" s="12"/>
      <c r="N49" s="55" t="b">
        <f t="shared" si="2"/>
        <v>1</v>
      </c>
    </row>
    <row r="50" spans="3:14" ht="55.15" customHeight="1" x14ac:dyDescent="0.25">
      <c r="C50" s="9" t="s">
        <v>1318</v>
      </c>
      <c r="D50" s="10">
        <v>50</v>
      </c>
      <c r="E50" s="11">
        <v>30</v>
      </c>
      <c r="F50" s="12">
        <v>20</v>
      </c>
      <c r="G50" s="12"/>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55</v>
      </c>
      <c r="F56" s="65">
        <f t="shared" si="4"/>
        <v>35</v>
      </c>
      <c r="G56" s="65">
        <f t="shared" si="4"/>
        <v>10</v>
      </c>
      <c r="H56" s="65">
        <f t="shared" si="4"/>
        <v>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JDOXQtqZTM3Zv9djB9wzG2GUo8KoK3e2/LYjSamrPgn7NdPrGn1eSNvQwkHUg73f6P2cIjVFOaeBT9lbt34eEQ==" saltValue="b9zMnIsFj4CPfPbP868f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261" priority="11">
      <formula>LEN(TRIM(D47))=0</formula>
    </cfRule>
    <cfRule type="cellIs" dxfId="260" priority="12" operator="equal">
      <formula>0</formula>
    </cfRule>
  </conditionalFormatting>
  <conditionalFormatting sqref="E50">
    <cfRule type="containsBlanks" dxfId="259" priority="21">
      <formula>LEN(TRIM(E50))=0</formula>
    </cfRule>
    <cfRule type="cellIs" dxfId="258" priority="22" operator="equal">
      <formula>0</formula>
    </cfRule>
  </conditionalFormatting>
  <conditionalFormatting sqref="E47:M51 E52">
    <cfRule type="containsBlanks" dxfId="257" priority="17">
      <formula>LEN(TRIM(E47))=0</formula>
    </cfRule>
    <cfRule type="cellIs" dxfId="256" priority="18" operator="equal">
      <formula>0</formula>
    </cfRule>
  </conditionalFormatting>
  <conditionalFormatting sqref="E53:M54">
    <cfRule type="containsBlanks" dxfId="255" priority="15">
      <formula>LEN(TRIM(E53))=0</formula>
    </cfRule>
    <cfRule type="cellIs" dxfId="254" priority="16" operator="equal">
      <formula>0</formula>
    </cfRule>
  </conditionalFormatting>
  <conditionalFormatting sqref="E55:M55">
    <cfRule type="containsText" dxfId="253" priority="5" operator="containsText" text="false">
      <formula>NOT(ISERROR(SEARCH("false",E55)))</formula>
    </cfRule>
    <cfRule type="containsText" dxfId="252" priority="6" operator="containsText" text="true">
      <formula>NOT(ISERROR(SEARCH("true",E55)))</formula>
    </cfRule>
  </conditionalFormatting>
  <conditionalFormatting sqref="E26:N39">
    <cfRule type="containsBlanks" dxfId="251" priority="3">
      <formula>LEN(TRIM(E26))=0</formula>
    </cfRule>
    <cfRule type="cellIs" dxfId="250" priority="4" operator="equal">
      <formula>0</formula>
    </cfRule>
  </conditionalFormatting>
  <conditionalFormatting sqref="F48:M48">
    <cfRule type="containsBlanks" dxfId="249" priority="23">
      <formula>LEN(TRIM(F48))=0</formula>
    </cfRule>
    <cfRule type="cellIs" dxfId="248" priority="24" operator="equal">
      <formula>0</formula>
    </cfRule>
  </conditionalFormatting>
  <conditionalFormatting sqref="F50:M52">
    <cfRule type="containsBlanks" dxfId="247" priority="19">
      <formula>LEN(TRIM(F50))=0</formula>
    </cfRule>
    <cfRule type="cellIs" dxfId="246" priority="20" operator="equal">
      <formula>0</formula>
    </cfRule>
  </conditionalFormatting>
  <conditionalFormatting sqref="N47:N54">
    <cfRule type="containsText" dxfId="245" priority="7" operator="containsText" text="false">
      <formula>NOT(ISERROR(SEARCH("false",N47)))</formula>
    </cfRule>
    <cfRule type="containsText" dxfId="244" priority="8" operator="containsText" text="true">
      <formula>NOT(ISERROR(SEARCH("true",N47)))</formula>
    </cfRule>
  </conditionalFormatting>
  <conditionalFormatting sqref="N55">
    <cfRule type="containsBlanks" dxfId="243" priority="13">
      <formula>LEN(TRIM(N55))=0</formula>
    </cfRule>
    <cfRule type="cellIs" dxfId="242" priority="14" operator="equal">
      <formula>0</formula>
    </cfRule>
  </conditionalFormatting>
  <conditionalFormatting sqref="O26:O40">
    <cfRule type="containsText" dxfId="241" priority="9" operator="containsText" text="false">
      <formula>NOT(ISERROR(SEARCH("false",O26)))</formula>
    </cfRule>
    <cfRule type="containsText" dxfId="240" priority="10" operator="containsText" text="true">
      <formula>NOT(ISERROR(SEARCH("true",O26)))</formula>
    </cfRule>
  </conditionalFormatting>
  <conditionalFormatting sqref="O42">
    <cfRule type="cellIs" dxfId="239" priority="1" operator="notEqual">
      <formula>100</formula>
    </cfRule>
    <cfRule type="cellIs" dxfId="238" priority="2" operator="equal">
      <formula>100</formula>
    </cfRule>
  </conditionalFormatting>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2:AB57"/>
  <sheetViews>
    <sheetView topLeftCell="A4" zoomScale="55" zoomScaleNormal="55" workbookViewId="0">
      <selection activeCell="G7" sqref="G7"/>
    </sheetView>
  </sheetViews>
  <sheetFormatPr defaultColWidth="9.140625" defaultRowHeight="15" x14ac:dyDescent="0.25"/>
  <cols>
    <col min="1" max="1" width="9.140625" style="19"/>
    <col min="2" max="2" width="15.5703125" style="19" customWidth="1"/>
    <col min="3" max="3" width="33" style="19" customWidth="1"/>
    <col min="4" max="4" width="66.8554687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7.140625" style="19" customWidth="1"/>
    <col min="11" max="11" width="53.5703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264</v>
      </c>
      <c r="J6" s="43" t="s">
        <v>278</v>
      </c>
      <c r="K6" s="1" t="s">
        <v>120</v>
      </c>
    </row>
    <row r="7" spans="2:26" ht="60.75" customHeight="1" thickBot="1" x14ac:dyDescent="0.3">
      <c r="B7" s="160"/>
      <c r="C7" s="161"/>
      <c r="D7" s="43" t="s">
        <v>279</v>
      </c>
      <c r="E7" s="1">
        <v>5</v>
      </c>
      <c r="F7" s="43" t="s">
        <v>280</v>
      </c>
      <c r="G7" s="1">
        <v>10</v>
      </c>
      <c r="H7" s="43" t="s">
        <v>281</v>
      </c>
      <c r="I7" s="1">
        <v>2</v>
      </c>
      <c r="J7" s="43" t="s">
        <v>283</v>
      </c>
      <c r="K7" s="1" t="s">
        <v>685</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53" customHeight="1" x14ac:dyDescent="0.25">
      <c r="B11" s="36"/>
      <c r="C11" s="2" t="s">
        <v>415</v>
      </c>
      <c r="D11" s="78" t="s">
        <v>1400</v>
      </c>
      <c r="E11" s="2" t="s">
        <v>10</v>
      </c>
      <c r="F11" s="3"/>
      <c r="G11" s="17"/>
      <c r="H11" s="17">
        <v>0.6</v>
      </c>
      <c r="I11" s="17">
        <v>1</v>
      </c>
      <c r="J11" s="80" t="s">
        <v>1401</v>
      </c>
      <c r="K11" s="80" t="s">
        <v>1402</v>
      </c>
      <c r="U11" s="3">
        <f>F11</f>
        <v>0</v>
      </c>
      <c r="V11" s="2" t="str">
        <f>C11</f>
        <v>K2.1</v>
      </c>
      <c r="W11" s="2"/>
      <c r="X11" s="17"/>
      <c r="Y11" s="37"/>
      <c r="Z11" s="37"/>
    </row>
    <row r="12" spans="2:26" ht="120" customHeight="1" x14ac:dyDescent="0.25">
      <c r="B12" s="36"/>
      <c r="C12" s="5" t="s">
        <v>395</v>
      </c>
      <c r="D12" s="78" t="s">
        <v>1403</v>
      </c>
      <c r="E12" s="5" t="s">
        <v>24</v>
      </c>
      <c r="F12" s="6"/>
      <c r="G12" s="4"/>
      <c r="H12" s="17">
        <v>0.6</v>
      </c>
      <c r="I12" s="17">
        <v>1</v>
      </c>
      <c r="J12" s="80" t="s">
        <v>1404</v>
      </c>
      <c r="K12" s="80" t="s">
        <v>1405</v>
      </c>
      <c r="U12" s="6">
        <f>F12</f>
        <v>0</v>
      </c>
      <c r="V12" s="2" t="str">
        <f>C12</f>
        <v>S3.1</v>
      </c>
      <c r="W12" s="5"/>
      <c r="X12" s="4"/>
      <c r="Y12" s="38"/>
      <c r="Z12" s="38"/>
    </row>
    <row r="13" spans="2:26" ht="119.25" customHeight="1" x14ac:dyDescent="0.25">
      <c r="B13" s="36"/>
      <c r="C13" s="5" t="s">
        <v>586</v>
      </c>
      <c r="D13" s="78" t="s">
        <v>1406</v>
      </c>
      <c r="E13" s="5" t="s">
        <v>27</v>
      </c>
      <c r="F13" s="6"/>
      <c r="G13" s="4"/>
      <c r="H13" s="17">
        <v>0.6</v>
      </c>
      <c r="I13" s="17">
        <v>1</v>
      </c>
      <c r="J13" s="78" t="s">
        <v>1407</v>
      </c>
      <c r="K13" s="80" t="s">
        <v>985</v>
      </c>
      <c r="U13" s="6">
        <f>F13</f>
        <v>0</v>
      </c>
      <c r="V13" s="2" t="str">
        <f>C13</f>
        <v>S5.1</v>
      </c>
      <c r="W13" s="5"/>
      <c r="X13" s="4"/>
      <c r="Y13" s="38"/>
      <c r="Z13" s="38"/>
    </row>
    <row r="14" spans="2:26" ht="92.25" customHeight="1" x14ac:dyDescent="0.25">
      <c r="B14" s="36"/>
      <c r="C14" s="5" t="s">
        <v>567</v>
      </c>
      <c r="D14" s="79" t="s">
        <v>1408</v>
      </c>
      <c r="E14" s="5" t="s">
        <v>48</v>
      </c>
      <c r="F14" s="6"/>
      <c r="G14" s="4"/>
      <c r="H14" s="17">
        <v>0.6</v>
      </c>
      <c r="I14" s="17">
        <v>1</v>
      </c>
      <c r="J14" s="79" t="s">
        <v>987</v>
      </c>
      <c r="K14" s="80" t="s">
        <v>985</v>
      </c>
      <c r="U14" s="6">
        <f>F14</f>
        <v>0</v>
      </c>
      <c r="V14" s="2" t="str">
        <f>C14</f>
        <v>V2.1</v>
      </c>
      <c r="W14" s="5"/>
      <c r="X14" s="4"/>
      <c r="Y14" s="38"/>
      <c r="Z14" s="38"/>
    </row>
    <row r="15" spans="2:26" ht="92.25" customHeight="1" x14ac:dyDescent="0.25">
      <c r="B15" s="36"/>
      <c r="C15" s="5"/>
      <c r="D15" s="24"/>
      <c r="E15" s="5"/>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t="s">
        <v>1409</v>
      </c>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S3.1</v>
      </c>
      <c r="H25" s="49" t="str">
        <f>C13</f>
        <v>S5.1</v>
      </c>
      <c r="I25" s="49" t="str">
        <f>C14</f>
        <v>V2.1</v>
      </c>
      <c r="J25" s="49">
        <f>C15</f>
        <v>0</v>
      </c>
      <c r="K25" s="49">
        <f>C16</f>
        <v>0</v>
      </c>
      <c r="L25" s="49">
        <f>C17</f>
        <v>0</v>
      </c>
      <c r="M25" s="49">
        <f>C18</f>
        <v>0</v>
      </c>
      <c r="N25" s="49">
        <f>C19</f>
        <v>0</v>
      </c>
      <c r="O25" s="50" t="s">
        <v>305</v>
      </c>
    </row>
    <row r="26" spans="2:26" ht="30.4" customHeight="1" thickBot="1" x14ac:dyDescent="0.3">
      <c r="C26" s="51" t="s">
        <v>306</v>
      </c>
      <c r="D26" s="85" t="s">
        <v>1410</v>
      </c>
      <c r="E26" s="8">
        <v>2</v>
      </c>
      <c r="F26" s="8"/>
      <c r="G26" s="8"/>
      <c r="H26" s="8"/>
      <c r="I26" s="8">
        <v>2</v>
      </c>
      <c r="J26" s="8"/>
      <c r="K26" s="8"/>
      <c r="L26" s="8"/>
      <c r="M26" s="8"/>
      <c r="N26" s="8"/>
      <c r="O26" s="53" t="b">
        <f t="shared" ref="O26:O40" si="0">IF(SUM(F26:N26)=E26,TRUE,"false")</f>
        <v>1</v>
      </c>
    </row>
    <row r="27" spans="2:26" ht="33" customHeight="1" thickBot="1" x14ac:dyDescent="0.3">
      <c r="C27" s="51" t="s">
        <v>307</v>
      </c>
      <c r="D27" s="85" t="s">
        <v>1411</v>
      </c>
      <c r="E27" s="8">
        <v>2</v>
      </c>
      <c r="F27" s="8">
        <v>1</v>
      </c>
      <c r="G27" s="8">
        <v>1</v>
      </c>
      <c r="H27" s="8"/>
      <c r="I27" s="8"/>
      <c r="J27" s="8"/>
      <c r="K27" s="8"/>
      <c r="L27" s="8"/>
      <c r="M27" s="8"/>
      <c r="N27" s="8"/>
      <c r="O27" s="53" t="b">
        <f t="shared" si="0"/>
        <v>1</v>
      </c>
    </row>
    <row r="28" spans="2:26" ht="35.25" customHeight="1" thickBot="1" x14ac:dyDescent="0.3">
      <c r="C28" s="51" t="s">
        <v>308</v>
      </c>
      <c r="D28" s="86" t="s">
        <v>1412</v>
      </c>
      <c r="E28" s="87">
        <v>2</v>
      </c>
      <c r="F28" s="8">
        <v>1</v>
      </c>
      <c r="G28" s="8"/>
      <c r="H28" s="8">
        <v>1</v>
      </c>
      <c r="I28" s="8"/>
      <c r="J28" s="8"/>
      <c r="K28" s="8"/>
      <c r="L28" s="8"/>
      <c r="M28" s="8"/>
      <c r="N28" s="8"/>
      <c r="O28" s="53" t="b">
        <f t="shared" si="0"/>
        <v>1</v>
      </c>
    </row>
    <row r="29" spans="2:26" ht="30.4" customHeight="1" thickBot="1" x14ac:dyDescent="0.3">
      <c r="C29" s="51" t="s">
        <v>309</v>
      </c>
      <c r="D29" s="86" t="s">
        <v>1413</v>
      </c>
      <c r="E29" s="8">
        <v>2</v>
      </c>
      <c r="F29" s="8">
        <v>1</v>
      </c>
      <c r="G29" s="8">
        <v>1</v>
      </c>
      <c r="H29" s="8"/>
      <c r="I29" s="8"/>
      <c r="J29" s="8"/>
      <c r="K29" s="8"/>
      <c r="L29" s="8"/>
      <c r="M29" s="8"/>
      <c r="N29" s="8"/>
      <c r="O29" s="53" t="b">
        <f t="shared" si="0"/>
        <v>1</v>
      </c>
    </row>
    <row r="30" spans="2:26" ht="30.4" customHeight="1" thickBot="1" x14ac:dyDescent="0.3">
      <c r="C30" s="51" t="s">
        <v>310</v>
      </c>
      <c r="D30" s="86" t="s">
        <v>1414</v>
      </c>
      <c r="E30" s="8">
        <v>2</v>
      </c>
      <c r="F30" s="8">
        <v>1</v>
      </c>
      <c r="G30" s="8">
        <v>1</v>
      </c>
      <c r="H30" s="8"/>
      <c r="I30" s="8"/>
      <c r="J30" s="8"/>
      <c r="K30" s="8"/>
      <c r="L30" s="8"/>
      <c r="M30" s="8"/>
      <c r="N30" s="8"/>
      <c r="O30" s="53" t="b">
        <f t="shared" si="0"/>
        <v>1</v>
      </c>
    </row>
    <row r="31" spans="2:26" ht="30.4" customHeight="1" thickBot="1" x14ac:dyDescent="0.3">
      <c r="C31" s="51" t="s">
        <v>311</v>
      </c>
      <c r="D31" s="86" t="s">
        <v>1415</v>
      </c>
      <c r="E31" s="8">
        <v>2</v>
      </c>
      <c r="F31" s="8">
        <v>1</v>
      </c>
      <c r="G31" s="8"/>
      <c r="H31" s="8">
        <v>1</v>
      </c>
      <c r="I31" s="8"/>
      <c r="J31" s="8"/>
      <c r="K31" s="8"/>
      <c r="L31" s="8"/>
      <c r="M31" s="8"/>
      <c r="N31" s="8"/>
      <c r="O31" s="53" t="b">
        <f t="shared" si="0"/>
        <v>1</v>
      </c>
    </row>
    <row r="32" spans="2:26" ht="30.4" customHeight="1" thickBot="1" x14ac:dyDescent="0.3">
      <c r="C32" s="51" t="s">
        <v>312</v>
      </c>
      <c r="D32" s="86" t="s">
        <v>1416</v>
      </c>
      <c r="E32" s="8">
        <v>2</v>
      </c>
      <c r="F32" s="8">
        <v>1</v>
      </c>
      <c r="G32" s="8">
        <v>1</v>
      </c>
      <c r="H32" s="8"/>
      <c r="I32" s="8"/>
      <c r="J32" s="8"/>
      <c r="K32" s="8"/>
      <c r="L32" s="8"/>
      <c r="M32" s="8"/>
      <c r="N32" s="8"/>
      <c r="O32" s="53" t="b">
        <f t="shared" si="0"/>
        <v>1</v>
      </c>
    </row>
    <row r="33" spans="2:15" ht="30.4" customHeight="1" thickBot="1" x14ac:dyDescent="0.3">
      <c r="C33" s="51" t="s">
        <v>313</v>
      </c>
      <c r="D33" s="86" t="s">
        <v>1417</v>
      </c>
      <c r="E33" s="8">
        <v>4</v>
      </c>
      <c r="F33" s="8">
        <v>1</v>
      </c>
      <c r="G33" s="8">
        <v>1</v>
      </c>
      <c r="H33" s="8">
        <v>2</v>
      </c>
      <c r="I33" s="8"/>
      <c r="J33" s="8"/>
      <c r="K33" s="8"/>
      <c r="L33" s="8"/>
      <c r="M33" s="8"/>
      <c r="N33" s="8"/>
      <c r="O33" s="53" t="b">
        <f t="shared" si="0"/>
        <v>1</v>
      </c>
    </row>
    <row r="34" spans="2:15" ht="30.4" customHeight="1" thickBot="1" x14ac:dyDescent="0.3">
      <c r="C34" s="51" t="s">
        <v>314</v>
      </c>
      <c r="D34" s="86" t="s">
        <v>1418</v>
      </c>
      <c r="E34" s="8">
        <v>4</v>
      </c>
      <c r="F34" s="8">
        <v>2</v>
      </c>
      <c r="G34" s="8">
        <v>1</v>
      </c>
      <c r="H34" s="8">
        <v>1</v>
      </c>
      <c r="I34" s="8"/>
      <c r="J34" s="8"/>
      <c r="K34" s="8"/>
      <c r="L34" s="8"/>
      <c r="M34" s="8"/>
      <c r="N34" s="8"/>
      <c r="O34" s="53" t="b">
        <f t="shared" si="0"/>
        <v>1</v>
      </c>
    </row>
    <row r="35" spans="2:15" ht="30.4" customHeight="1" thickBot="1" x14ac:dyDescent="0.3">
      <c r="C35" s="51" t="s">
        <v>315</v>
      </c>
      <c r="D35" s="86" t="s">
        <v>1419</v>
      </c>
      <c r="E35" s="8">
        <v>4</v>
      </c>
      <c r="F35" s="8">
        <v>1</v>
      </c>
      <c r="G35" s="8">
        <v>2</v>
      </c>
      <c r="H35" s="8">
        <v>1</v>
      </c>
      <c r="I35" s="8"/>
      <c r="J35" s="8"/>
      <c r="K35" s="8"/>
      <c r="L35" s="8"/>
      <c r="M35" s="8"/>
      <c r="N35" s="8"/>
      <c r="O35" s="53" t="b">
        <f t="shared" si="0"/>
        <v>1</v>
      </c>
    </row>
    <row r="36" spans="2:15" ht="30.4" customHeight="1" thickBot="1" x14ac:dyDescent="0.3">
      <c r="C36" s="51" t="s">
        <v>316</v>
      </c>
      <c r="D36" s="86" t="s">
        <v>1420</v>
      </c>
      <c r="E36" s="8">
        <v>4</v>
      </c>
      <c r="F36" s="8">
        <v>1</v>
      </c>
      <c r="G36" s="8">
        <v>2</v>
      </c>
      <c r="H36" s="8">
        <v>1</v>
      </c>
      <c r="I36" s="8"/>
      <c r="J36" s="8"/>
      <c r="K36" s="8"/>
      <c r="L36" s="8"/>
      <c r="M36" s="8"/>
      <c r="N36" s="8"/>
      <c r="O36" s="53" t="b">
        <f t="shared" si="0"/>
        <v>1</v>
      </c>
    </row>
    <row r="37" spans="2:15" ht="30.4" customHeight="1" thickBot="1" x14ac:dyDescent="0.3">
      <c r="C37" s="51" t="s">
        <v>317</v>
      </c>
      <c r="D37" s="86"/>
      <c r="E37" s="8"/>
      <c r="F37" s="8"/>
      <c r="G37" s="8"/>
      <c r="H37" s="8"/>
      <c r="I37" s="8"/>
      <c r="J37" s="8"/>
      <c r="K37" s="8"/>
      <c r="L37" s="8"/>
      <c r="M37" s="8"/>
      <c r="N37" s="8"/>
      <c r="O37" s="53" t="b">
        <f t="shared" si="0"/>
        <v>1</v>
      </c>
    </row>
    <row r="38" spans="2:15" ht="30.4" customHeight="1" thickBot="1" x14ac:dyDescent="0.3">
      <c r="C38" s="51" t="s">
        <v>318</v>
      </c>
      <c r="D38" s="8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30</v>
      </c>
      <c r="F40" s="52">
        <f t="shared" si="1"/>
        <v>11</v>
      </c>
      <c r="G40" s="52">
        <f t="shared" si="1"/>
        <v>10</v>
      </c>
      <c r="H40" s="52">
        <f t="shared" si="1"/>
        <v>7</v>
      </c>
      <c r="I40" s="52">
        <f t="shared" si="1"/>
        <v>2</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0.37</v>
      </c>
      <c r="G41" s="54">
        <f>ROUND(G40/E40,2)</f>
        <v>0.33</v>
      </c>
      <c r="H41" s="54">
        <f>ROUND(H40/E40,2)</f>
        <v>0.23</v>
      </c>
      <c r="I41" s="54">
        <f>ROUND(I40/E40,2)</f>
        <v>7.0000000000000007E-2</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35</v>
      </c>
      <c r="G42" s="7">
        <v>35</v>
      </c>
      <c r="H42" s="7">
        <v>20</v>
      </c>
      <c r="I42" s="7">
        <v>10</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S3.1</v>
      </c>
      <c r="G46" s="59" t="str">
        <f>C13</f>
        <v>S5.1</v>
      </c>
      <c r="H46" s="59" t="str">
        <f>C14</f>
        <v>V2.1</v>
      </c>
      <c r="I46" s="59">
        <f>C15</f>
        <v>0</v>
      </c>
      <c r="J46" s="59">
        <f>C16</f>
        <v>0</v>
      </c>
      <c r="K46" s="59">
        <f>C17</f>
        <v>0</v>
      </c>
      <c r="L46" s="59">
        <f>C18</f>
        <v>0</v>
      </c>
      <c r="M46" s="59">
        <f>C19</f>
        <v>0</v>
      </c>
      <c r="N46" s="60" t="s">
        <v>327</v>
      </c>
    </row>
    <row r="47" spans="2:15" ht="55.15" customHeight="1" x14ac:dyDescent="0.25">
      <c r="C47" s="9" t="s">
        <v>999</v>
      </c>
      <c r="D47" s="10">
        <v>25</v>
      </c>
      <c r="E47" s="8">
        <v>8</v>
      </c>
      <c r="F47" s="8">
        <v>7</v>
      </c>
      <c r="G47" s="8">
        <v>10</v>
      </c>
      <c r="H47" s="8"/>
      <c r="I47" s="8"/>
      <c r="J47" s="8"/>
      <c r="K47" s="8"/>
      <c r="L47" s="8"/>
      <c r="M47" s="8"/>
      <c r="N47" s="55" t="b">
        <f t="shared" ref="N47:N54" si="2">IF(SUM(E47:M47)=D47,TRUE,"false")</f>
        <v>1</v>
      </c>
    </row>
    <row r="48" spans="2:15" ht="55.15" customHeight="1" x14ac:dyDescent="0.25">
      <c r="C48" s="9" t="s">
        <v>329</v>
      </c>
      <c r="D48" s="10">
        <v>7</v>
      </c>
      <c r="E48" s="11">
        <v>4</v>
      </c>
      <c r="F48" s="12">
        <v>3</v>
      </c>
      <c r="G48" s="12"/>
      <c r="H48" s="12"/>
      <c r="I48" s="12"/>
      <c r="J48" s="12"/>
      <c r="K48" s="12"/>
      <c r="L48" s="12"/>
      <c r="M48" s="12"/>
      <c r="N48" s="55" t="b">
        <f t="shared" si="2"/>
        <v>1</v>
      </c>
    </row>
    <row r="49" spans="3:14" ht="55.15" customHeight="1" x14ac:dyDescent="0.25">
      <c r="C49" s="9" t="s">
        <v>330</v>
      </c>
      <c r="D49" s="10">
        <v>8</v>
      </c>
      <c r="E49" s="11">
        <v>3</v>
      </c>
      <c r="F49" s="12">
        <v>5</v>
      </c>
      <c r="G49" s="12"/>
      <c r="H49" s="12"/>
      <c r="I49" s="12"/>
      <c r="J49" s="12"/>
      <c r="K49" s="12"/>
      <c r="L49" s="12"/>
      <c r="M49" s="12"/>
      <c r="N49" s="55" t="b">
        <f t="shared" si="2"/>
        <v>1</v>
      </c>
    </row>
    <row r="50" spans="3:14" ht="55.15" customHeight="1" x14ac:dyDescent="0.25">
      <c r="C50" s="9" t="s">
        <v>412</v>
      </c>
      <c r="D50" s="10">
        <v>10</v>
      </c>
      <c r="E50" s="11"/>
      <c r="F50" s="12"/>
      <c r="G50" s="12"/>
      <c r="H50" s="12">
        <v>10</v>
      </c>
      <c r="I50" s="12"/>
      <c r="J50" s="12"/>
      <c r="K50" s="12"/>
      <c r="L50" s="12"/>
      <c r="M50" s="12"/>
      <c r="N50" s="55" t="b">
        <f t="shared" si="2"/>
        <v>1</v>
      </c>
    </row>
    <row r="51" spans="3:14" ht="55.15" customHeight="1" x14ac:dyDescent="0.25">
      <c r="C51" s="9" t="s">
        <v>531</v>
      </c>
      <c r="D51" s="10">
        <v>50</v>
      </c>
      <c r="E51" s="11">
        <v>20</v>
      </c>
      <c r="F51" s="12">
        <v>20</v>
      </c>
      <c r="G51" s="12">
        <v>10</v>
      </c>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35</v>
      </c>
      <c r="F56" s="65">
        <f t="shared" si="4"/>
        <v>35</v>
      </c>
      <c r="G56" s="65">
        <f t="shared" si="4"/>
        <v>20</v>
      </c>
      <c r="H56" s="65">
        <f t="shared" si="4"/>
        <v>10</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F50:M51 E52:H52 J52:M52 I52:I53">
    <cfRule type="containsBlanks" dxfId="237" priority="11">
      <formula>LEN(TRIM(D47))=0</formula>
    </cfRule>
    <cfRule type="cellIs" dxfId="236" priority="12" operator="equal">
      <formula>0</formula>
    </cfRule>
  </conditionalFormatting>
  <conditionalFormatting sqref="E50">
    <cfRule type="containsBlanks" dxfId="235" priority="19">
      <formula>LEN(TRIM(E50))=0</formula>
    </cfRule>
    <cfRule type="cellIs" dxfId="234" priority="20" operator="equal">
      <formula>0</formula>
    </cfRule>
  </conditionalFormatting>
  <conditionalFormatting sqref="E47:M51">
    <cfRule type="containsBlanks" dxfId="233" priority="17">
      <formula>LEN(TRIM(E47))=0</formula>
    </cfRule>
    <cfRule type="cellIs" dxfId="232" priority="18" operator="equal">
      <formula>0</formula>
    </cfRule>
  </conditionalFormatting>
  <conditionalFormatting sqref="E53:M54">
    <cfRule type="containsBlanks" dxfId="231" priority="15">
      <formula>LEN(TRIM(E53))=0</formula>
    </cfRule>
    <cfRule type="cellIs" dxfId="230" priority="16" operator="equal">
      <formula>0</formula>
    </cfRule>
  </conditionalFormatting>
  <conditionalFormatting sqref="E55:M55">
    <cfRule type="containsText" dxfId="229" priority="5" operator="containsText" text="false">
      <formula>NOT(ISERROR(SEARCH("false",E55)))</formula>
    </cfRule>
    <cfRule type="containsText" dxfId="228" priority="6" operator="containsText" text="true">
      <formula>NOT(ISERROR(SEARCH("true",E55)))</formula>
    </cfRule>
  </conditionalFormatting>
  <conditionalFormatting sqref="E26:N39">
    <cfRule type="containsBlanks" dxfId="227" priority="1">
      <formula>LEN(TRIM(E26))=0</formula>
    </cfRule>
    <cfRule type="cellIs" dxfId="226" priority="2" operator="equal">
      <formula>0</formula>
    </cfRule>
  </conditionalFormatting>
  <conditionalFormatting sqref="F48:M48">
    <cfRule type="containsBlanks" dxfId="225" priority="21">
      <formula>LEN(TRIM(F48))=0</formula>
    </cfRule>
    <cfRule type="cellIs" dxfId="224" priority="22" operator="equal">
      <formula>0</formula>
    </cfRule>
  </conditionalFormatting>
  <conditionalFormatting sqref="N47:N54">
    <cfRule type="containsText" dxfId="223" priority="7" operator="containsText" text="false">
      <formula>NOT(ISERROR(SEARCH("false",N47)))</formula>
    </cfRule>
    <cfRule type="containsText" dxfId="222" priority="8" operator="containsText" text="true">
      <formula>NOT(ISERROR(SEARCH("true",N47)))</formula>
    </cfRule>
  </conditionalFormatting>
  <conditionalFormatting sqref="N55">
    <cfRule type="containsBlanks" dxfId="221" priority="13">
      <formula>LEN(TRIM(N55))=0</formula>
    </cfRule>
    <cfRule type="cellIs" dxfId="220" priority="14" operator="equal">
      <formula>0</formula>
    </cfRule>
  </conditionalFormatting>
  <conditionalFormatting sqref="O26:O40">
    <cfRule type="containsText" dxfId="219" priority="9" operator="containsText" text="false">
      <formula>NOT(ISERROR(SEARCH("false",O26)))</formula>
    </cfRule>
    <cfRule type="containsText" dxfId="218" priority="10" operator="containsText" text="true">
      <formula>NOT(ISERROR(SEARCH("true",O26)))</formula>
    </cfRule>
  </conditionalFormatting>
  <conditionalFormatting sqref="O42">
    <cfRule type="cellIs" dxfId="217" priority="3" operator="notEqual">
      <formula>100</formula>
    </cfRule>
    <cfRule type="cellIs" dxfId="216" priority="4" operator="equal">
      <formula>100</formula>
    </cfRule>
  </conditionalFormatting>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00B050"/>
    <pageSetUpPr fitToPage="1"/>
  </sheetPr>
  <dimension ref="B2:AB57"/>
  <sheetViews>
    <sheetView topLeftCell="A4" zoomScale="50" zoomScaleNormal="50" workbookViewId="0">
      <selection activeCell="H17" sqref="H17"/>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266</v>
      </c>
      <c r="J6" s="43" t="s">
        <v>278</v>
      </c>
      <c r="K6" s="1" t="s">
        <v>121</v>
      </c>
    </row>
    <row r="7" spans="2:26" ht="72.599999999999994" customHeight="1" thickBot="1" x14ac:dyDescent="0.3">
      <c r="B7" s="160"/>
      <c r="C7" s="161"/>
      <c r="D7" s="43" t="s">
        <v>279</v>
      </c>
      <c r="E7" s="1">
        <v>5</v>
      </c>
      <c r="F7" s="43" t="s">
        <v>280</v>
      </c>
      <c r="G7" s="1">
        <v>10</v>
      </c>
      <c r="H7" s="43" t="s">
        <v>281</v>
      </c>
      <c r="I7" s="1"/>
      <c r="J7" s="43" t="s">
        <v>283</v>
      </c>
      <c r="K7" s="1" t="s">
        <v>621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9" x14ac:dyDescent="0.25">
      <c r="B11" s="36"/>
      <c r="C11" s="89" t="s">
        <v>622</v>
      </c>
      <c r="D11" s="78" t="s">
        <v>1421</v>
      </c>
      <c r="E11" s="84" t="s">
        <v>10</v>
      </c>
      <c r="F11" s="3"/>
      <c r="G11" s="17"/>
      <c r="H11" s="17">
        <v>0.6</v>
      </c>
      <c r="I11" s="17">
        <v>1</v>
      </c>
      <c r="J11" s="80" t="s">
        <v>1422</v>
      </c>
      <c r="K11" s="80" t="s">
        <v>1423</v>
      </c>
      <c r="U11" s="3">
        <f>F11</f>
        <v>0</v>
      </c>
      <c r="V11" s="2" t="str">
        <f>C11</f>
        <v>K.2.1</v>
      </c>
      <c r="W11" s="2"/>
      <c r="X11" s="17"/>
      <c r="Y11" s="37"/>
      <c r="Z11" s="37"/>
    </row>
    <row r="12" spans="2:26" ht="63" x14ac:dyDescent="0.25">
      <c r="B12" s="36"/>
      <c r="C12" s="84" t="s">
        <v>772</v>
      </c>
      <c r="D12" s="79" t="s">
        <v>1424</v>
      </c>
      <c r="E12" s="84" t="s">
        <v>24</v>
      </c>
      <c r="F12" s="6"/>
      <c r="G12" s="4"/>
      <c r="H12" s="17">
        <v>0.6</v>
      </c>
      <c r="I12" s="17">
        <v>1</v>
      </c>
      <c r="J12" s="81" t="s">
        <v>1425</v>
      </c>
      <c r="K12" s="81" t="s">
        <v>440</v>
      </c>
      <c r="U12" s="6">
        <f>F12</f>
        <v>0</v>
      </c>
      <c r="V12" s="2" t="str">
        <f>C12</f>
        <v>S.3.1</v>
      </c>
      <c r="W12" s="5"/>
      <c r="X12" s="4"/>
      <c r="Y12" s="38"/>
      <c r="Z12" s="38"/>
    </row>
    <row r="13" spans="2:26" ht="63" x14ac:dyDescent="0.25">
      <c r="B13" s="36"/>
      <c r="C13" s="84" t="s">
        <v>625</v>
      </c>
      <c r="D13" s="79" t="s">
        <v>1426</v>
      </c>
      <c r="E13" s="84" t="s">
        <v>39</v>
      </c>
      <c r="F13" s="6"/>
      <c r="G13" s="4"/>
      <c r="H13" s="17">
        <v>0.6</v>
      </c>
      <c r="I13" s="17">
        <v>1</v>
      </c>
      <c r="J13" s="81" t="s">
        <v>1427</v>
      </c>
      <c r="K13" s="81" t="s">
        <v>1428</v>
      </c>
      <c r="U13" s="6">
        <f>F13</f>
        <v>0</v>
      </c>
      <c r="V13" s="2" t="str">
        <f>C13</f>
        <v>S.6.1</v>
      </c>
      <c r="W13" s="5"/>
      <c r="X13" s="4"/>
      <c r="Y13" s="38"/>
      <c r="Z13" s="38"/>
    </row>
    <row r="14" spans="2:26" ht="42" x14ac:dyDescent="0.25">
      <c r="B14" s="36"/>
      <c r="C14" s="84" t="s">
        <v>1429</v>
      </c>
      <c r="D14" s="79" t="s">
        <v>1430</v>
      </c>
      <c r="E14" s="5" t="s">
        <v>31</v>
      </c>
      <c r="F14" s="6"/>
      <c r="G14" s="4"/>
      <c r="H14" s="17">
        <v>0.6</v>
      </c>
      <c r="I14" s="17">
        <v>1</v>
      </c>
      <c r="J14" s="82" t="s">
        <v>1431</v>
      </c>
      <c r="K14" s="82" t="s">
        <v>1432</v>
      </c>
      <c r="U14" s="6">
        <f>F14</f>
        <v>0</v>
      </c>
      <c r="V14" s="2" t="str">
        <f>C14</f>
        <v>S.7.1</v>
      </c>
      <c r="W14" s="5"/>
      <c r="X14" s="4"/>
      <c r="Y14" s="38"/>
      <c r="Z14" s="38"/>
    </row>
    <row r="15" spans="2:26" ht="58.9" customHeight="1" x14ac:dyDescent="0.25">
      <c r="B15" s="36"/>
      <c r="C15" s="84"/>
      <c r="D15" s="79"/>
      <c r="E15" s="84"/>
      <c r="F15" s="6"/>
      <c r="G15" s="4"/>
      <c r="H15" s="4"/>
      <c r="I15" s="4"/>
      <c r="J15" s="5"/>
      <c r="K15" s="5"/>
      <c r="U15" s="6">
        <f>F15</f>
        <v>0</v>
      </c>
      <c r="V15" s="2">
        <f>C15</f>
        <v>0</v>
      </c>
      <c r="W15" s="5"/>
      <c r="X15" s="4"/>
      <c r="Y15" s="38"/>
      <c r="Z15" s="38"/>
    </row>
    <row r="16" spans="2:26" ht="58.9" customHeight="1" x14ac:dyDescent="0.25">
      <c r="B16" s="36"/>
      <c r="C16" s="5"/>
      <c r="D16" s="24"/>
      <c r="E16" s="5"/>
      <c r="F16" s="6"/>
      <c r="G16" s="4"/>
      <c r="H16" s="4"/>
      <c r="I16" s="4"/>
      <c r="J16" s="5"/>
      <c r="K16" s="5"/>
      <c r="U16" s="6"/>
      <c r="V16" s="2"/>
      <c r="W16" s="5"/>
      <c r="X16" s="4"/>
      <c r="Y16" s="38"/>
      <c r="Z16" s="38"/>
    </row>
    <row r="17" spans="2:26" ht="58.9" customHeight="1" x14ac:dyDescent="0.25">
      <c r="B17" s="36"/>
      <c r="C17" s="5"/>
      <c r="D17" s="24"/>
      <c r="E17" s="5"/>
      <c r="F17" s="6"/>
      <c r="G17" s="4"/>
      <c r="H17" s="4"/>
      <c r="I17" s="4"/>
      <c r="J17" s="5"/>
      <c r="K17" s="5"/>
      <c r="U17" s="6">
        <f>F17</f>
        <v>0</v>
      </c>
      <c r="V17" s="2">
        <f>C17</f>
        <v>0</v>
      </c>
      <c r="W17" s="5"/>
      <c r="X17" s="4"/>
      <c r="Y17" s="38"/>
      <c r="Z17" s="38"/>
    </row>
    <row r="18" spans="2:26" ht="58.9" customHeight="1" x14ac:dyDescent="0.25">
      <c r="B18" s="36"/>
      <c r="C18" s="5"/>
      <c r="D18" s="24"/>
      <c r="E18" s="5"/>
      <c r="F18" s="5"/>
      <c r="G18" s="5"/>
      <c r="H18" s="5"/>
      <c r="I18" s="5"/>
      <c r="J18" s="5"/>
      <c r="K18" s="5"/>
      <c r="U18" s="6">
        <f>F18</f>
        <v>0</v>
      </c>
      <c r="V18" s="2">
        <f>C18</f>
        <v>0</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K.2.1</v>
      </c>
      <c r="G25" s="49" t="str">
        <f>C12</f>
        <v>S.3.1</v>
      </c>
      <c r="H25" s="49" t="str">
        <f>C13</f>
        <v>S.6.1</v>
      </c>
      <c r="I25" s="49" t="str">
        <f>C14</f>
        <v>S.7.1</v>
      </c>
      <c r="J25" s="49">
        <f>C15</f>
        <v>0</v>
      </c>
      <c r="K25" s="49">
        <f>C16</f>
        <v>0</v>
      </c>
      <c r="L25" s="49">
        <f>C17</f>
        <v>0</v>
      </c>
      <c r="M25" s="49">
        <f>C18</f>
        <v>0</v>
      </c>
      <c r="N25" s="49">
        <f>C19</f>
        <v>0</v>
      </c>
      <c r="O25" s="50" t="s">
        <v>305</v>
      </c>
    </row>
    <row r="26" spans="2:26" ht="30.75" thickBot="1" x14ac:dyDescent="0.3">
      <c r="C26" s="51" t="s">
        <v>306</v>
      </c>
      <c r="D26" s="92" t="s">
        <v>1433</v>
      </c>
      <c r="E26" s="8">
        <v>2</v>
      </c>
      <c r="F26" s="8">
        <v>2</v>
      </c>
      <c r="G26" s="8"/>
      <c r="H26" s="8"/>
      <c r="I26" s="8"/>
      <c r="J26" s="8"/>
      <c r="K26" s="8"/>
      <c r="L26" s="8"/>
      <c r="M26" s="8"/>
      <c r="N26" s="8"/>
      <c r="O26" s="53" t="b">
        <f t="shared" ref="O26:O40" si="0">IF(SUM(F26:N26)=E26,TRUE,"false")</f>
        <v>1</v>
      </c>
    </row>
    <row r="27" spans="2:26" ht="30.4" customHeight="1" thickBot="1" x14ac:dyDescent="0.3">
      <c r="C27" s="51" t="s">
        <v>307</v>
      </c>
      <c r="D27" s="92" t="s">
        <v>1434</v>
      </c>
      <c r="E27" s="8">
        <v>4</v>
      </c>
      <c r="F27" s="8">
        <v>4</v>
      </c>
      <c r="G27" s="8"/>
      <c r="H27" s="8"/>
      <c r="I27" s="8"/>
      <c r="J27" s="8"/>
      <c r="K27" s="8"/>
      <c r="L27" s="8"/>
      <c r="M27" s="8"/>
      <c r="N27" s="8"/>
      <c r="O27" s="53" t="b">
        <f t="shared" si="0"/>
        <v>1</v>
      </c>
    </row>
    <row r="28" spans="2:26" ht="30.4" customHeight="1" thickBot="1" x14ac:dyDescent="0.3">
      <c r="C28" s="51" t="s">
        <v>308</v>
      </c>
      <c r="D28" s="92" t="s">
        <v>1435</v>
      </c>
      <c r="E28" s="8">
        <v>22</v>
      </c>
      <c r="F28" s="8">
        <v>2</v>
      </c>
      <c r="G28" s="8">
        <v>8</v>
      </c>
      <c r="H28" s="8">
        <v>8</v>
      </c>
      <c r="I28" s="8">
        <v>4</v>
      </c>
      <c r="J28" s="8"/>
      <c r="K28" s="8"/>
      <c r="L28" s="8"/>
      <c r="M28" s="8"/>
      <c r="N28" s="8"/>
      <c r="O28" s="53" t="b">
        <f t="shared" si="0"/>
        <v>1</v>
      </c>
    </row>
    <row r="29" spans="2:26" ht="30.4" customHeight="1" thickBot="1" x14ac:dyDescent="0.3">
      <c r="C29" s="51" t="s">
        <v>309</v>
      </c>
      <c r="D29" s="92" t="s">
        <v>1436</v>
      </c>
      <c r="E29" s="8">
        <v>3</v>
      </c>
      <c r="F29" s="8">
        <v>2</v>
      </c>
      <c r="G29" s="8">
        <v>1</v>
      </c>
      <c r="H29" s="8"/>
      <c r="I29" s="8"/>
      <c r="J29" s="8"/>
      <c r="K29" s="8"/>
      <c r="L29" s="8"/>
      <c r="M29" s="8"/>
      <c r="N29" s="8"/>
      <c r="O29" s="53" t="b">
        <f t="shared" si="0"/>
        <v>1</v>
      </c>
    </row>
    <row r="30" spans="2:26" ht="30.4" customHeight="1" thickBot="1" x14ac:dyDescent="0.3">
      <c r="C30" s="51" t="s">
        <v>310</v>
      </c>
      <c r="D30" s="92" t="s">
        <v>1437</v>
      </c>
      <c r="E30" s="8">
        <v>4</v>
      </c>
      <c r="F30" s="8">
        <v>2</v>
      </c>
      <c r="G30" s="8">
        <v>2</v>
      </c>
      <c r="H30" s="8"/>
      <c r="I30" s="8"/>
      <c r="J30" s="8"/>
      <c r="K30" s="8"/>
      <c r="L30" s="8"/>
      <c r="M30" s="8"/>
      <c r="N30" s="8"/>
      <c r="O30" s="53" t="b">
        <f t="shared" si="0"/>
        <v>1</v>
      </c>
    </row>
    <row r="31" spans="2:26" ht="30.4" customHeight="1" thickBot="1" x14ac:dyDescent="0.3">
      <c r="C31" s="51" t="s">
        <v>311</v>
      </c>
      <c r="D31" s="92" t="s">
        <v>1438</v>
      </c>
      <c r="E31" s="8">
        <v>3</v>
      </c>
      <c r="F31" s="8">
        <v>2</v>
      </c>
      <c r="G31" s="8">
        <v>1</v>
      </c>
      <c r="H31" s="8"/>
      <c r="I31" s="8"/>
      <c r="J31" s="8"/>
      <c r="K31" s="8"/>
      <c r="L31" s="8"/>
      <c r="M31" s="8"/>
      <c r="N31" s="8"/>
      <c r="O31" s="53" t="b">
        <f t="shared" si="0"/>
        <v>1</v>
      </c>
    </row>
    <row r="32" spans="2:26" ht="30.4" customHeight="1" thickBot="1" x14ac:dyDescent="0.3">
      <c r="C32" s="51" t="s">
        <v>312</v>
      </c>
      <c r="D32" s="92" t="s">
        <v>1439</v>
      </c>
      <c r="E32" s="8">
        <v>2</v>
      </c>
      <c r="F32" s="8">
        <v>2</v>
      </c>
      <c r="G32" s="8"/>
      <c r="H32" s="8"/>
      <c r="I32" s="8"/>
      <c r="J32" s="8"/>
      <c r="K32" s="8"/>
      <c r="L32" s="8"/>
      <c r="M32" s="8"/>
      <c r="N32" s="8"/>
      <c r="O32" s="53" t="b">
        <f t="shared" si="0"/>
        <v>1</v>
      </c>
    </row>
    <row r="33" spans="2:15" ht="30.4" customHeight="1" thickBot="1" x14ac:dyDescent="0.3">
      <c r="C33" s="51" t="s">
        <v>313</v>
      </c>
      <c r="D33" s="92" t="s">
        <v>1440</v>
      </c>
      <c r="E33" s="8">
        <v>2</v>
      </c>
      <c r="F33" s="8">
        <v>2</v>
      </c>
      <c r="G33" s="8"/>
      <c r="H33" s="8"/>
      <c r="I33" s="8"/>
      <c r="J33" s="8"/>
      <c r="K33" s="8"/>
      <c r="L33" s="8"/>
      <c r="M33" s="8"/>
      <c r="N33" s="8"/>
      <c r="O33" s="53" t="b">
        <f t="shared" si="0"/>
        <v>1</v>
      </c>
    </row>
    <row r="34" spans="2:15" ht="30.4" customHeight="1" thickBot="1" x14ac:dyDescent="0.3">
      <c r="C34" s="51" t="s">
        <v>314</v>
      </c>
      <c r="D34" s="92" t="s">
        <v>1441</v>
      </c>
      <c r="E34" s="8">
        <v>2</v>
      </c>
      <c r="F34" s="8">
        <v>2</v>
      </c>
      <c r="G34" s="8"/>
      <c r="H34" s="8"/>
      <c r="I34" s="8"/>
      <c r="J34" s="8"/>
      <c r="K34" s="8"/>
      <c r="L34" s="8"/>
      <c r="M34" s="8"/>
      <c r="N34" s="8"/>
      <c r="O34" s="53" t="b">
        <f t="shared" si="0"/>
        <v>1</v>
      </c>
    </row>
    <row r="35" spans="2:15" ht="30.4" customHeight="1" thickBot="1" x14ac:dyDescent="0.3">
      <c r="C35" s="51" t="s">
        <v>315</v>
      </c>
      <c r="D35" s="92" t="s">
        <v>1442</v>
      </c>
      <c r="E35" s="8">
        <v>7</v>
      </c>
      <c r="F35" s="8">
        <v>2</v>
      </c>
      <c r="G35" s="8">
        <v>1</v>
      </c>
      <c r="H35" s="8"/>
      <c r="I35" s="8">
        <v>4</v>
      </c>
      <c r="J35" s="8"/>
      <c r="K35" s="8"/>
      <c r="L35" s="8"/>
      <c r="M35" s="8"/>
      <c r="N35" s="8"/>
      <c r="O35" s="53" t="b">
        <f t="shared" si="0"/>
        <v>1</v>
      </c>
    </row>
    <row r="36" spans="2:15" ht="30.4" customHeight="1" thickBot="1" x14ac:dyDescent="0.3">
      <c r="C36" s="51" t="s">
        <v>316</v>
      </c>
      <c r="D36" s="92" t="s">
        <v>1443</v>
      </c>
      <c r="E36" s="8">
        <v>3</v>
      </c>
      <c r="F36" s="8">
        <v>2</v>
      </c>
      <c r="G36" s="8">
        <v>1</v>
      </c>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54</v>
      </c>
      <c r="F40" s="52">
        <f t="shared" si="1"/>
        <v>24</v>
      </c>
      <c r="G40" s="52">
        <f t="shared" si="1"/>
        <v>14</v>
      </c>
      <c r="H40" s="52">
        <f t="shared" si="1"/>
        <v>8</v>
      </c>
      <c r="I40" s="52">
        <f t="shared" si="1"/>
        <v>8</v>
      </c>
      <c r="J40" s="52">
        <f t="shared" si="1"/>
        <v>0</v>
      </c>
      <c r="K40" s="52">
        <f t="shared" si="1"/>
        <v>0</v>
      </c>
      <c r="L40" s="52">
        <f t="shared" si="1"/>
        <v>0</v>
      </c>
      <c r="M40" s="52">
        <f t="shared" si="1"/>
        <v>0</v>
      </c>
      <c r="N40" s="52">
        <f t="shared" si="1"/>
        <v>0</v>
      </c>
      <c r="O40" s="53" t="b">
        <f t="shared" si="0"/>
        <v>1</v>
      </c>
    </row>
    <row r="41" spans="2:15" s="20" customFormat="1" ht="71.650000000000006" customHeight="1" x14ac:dyDescent="0.25">
      <c r="C41" s="150" t="s">
        <v>321</v>
      </c>
      <c r="D41" s="150"/>
      <c r="E41" s="150"/>
      <c r="F41" s="54">
        <f>ROUND(F40/E40,2)</f>
        <v>0.44</v>
      </c>
      <c r="G41" s="54">
        <f>ROUND(G40/E40,2)</f>
        <v>0.26</v>
      </c>
      <c r="H41" s="54">
        <f>ROUND(H40/E40,2)</f>
        <v>0.15</v>
      </c>
      <c r="I41" s="54">
        <f>ROUND(I40/E40,2)</f>
        <v>0.15</v>
      </c>
      <c r="J41" s="54">
        <f>ROUND(J40/E40,2)</f>
        <v>0</v>
      </c>
      <c r="K41" s="54">
        <f>ROUND(K40/E40,2)</f>
        <v>0</v>
      </c>
      <c r="L41" s="54">
        <f>ROUND(L40/E40,2)</f>
        <v>0</v>
      </c>
      <c r="M41" s="54">
        <f>ROUND(M40/E40,2)</f>
        <v>0</v>
      </c>
      <c r="N41" s="54">
        <f>ROUND(N40/E40,2)</f>
        <v>0</v>
      </c>
      <c r="O41" s="54">
        <f>SUM(F41:N41)</f>
        <v>1</v>
      </c>
    </row>
    <row r="42" spans="2:15" ht="55.9" customHeight="1" x14ac:dyDescent="0.25">
      <c r="C42" s="151" t="s">
        <v>322</v>
      </c>
      <c r="D42" s="151"/>
      <c r="E42" s="151"/>
      <c r="F42" s="7">
        <v>45</v>
      </c>
      <c r="G42" s="7">
        <v>25</v>
      </c>
      <c r="H42" s="7">
        <v>15</v>
      </c>
      <c r="I42" s="7">
        <v>15</v>
      </c>
      <c r="J42" s="7"/>
      <c r="K42" s="7"/>
      <c r="L42" s="7"/>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K.2.1</v>
      </c>
      <c r="F46" s="59" t="str">
        <f>C12</f>
        <v>S.3.1</v>
      </c>
      <c r="G46" s="59" t="str">
        <f>C13</f>
        <v>S.6.1</v>
      </c>
      <c r="H46" s="59" t="str">
        <f>C14</f>
        <v>S.7.1</v>
      </c>
      <c r="I46" s="59">
        <f>C15</f>
        <v>0</v>
      </c>
      <c r="J46" s="59">
        <f>C16</f>
        <v>0</v>
      </c>
      <c r="K46" s="59">
        <f>C17</f>
        <v>0</v>
      </c>
      <c r="L46" s="59">
        <f>C18</f>
        <v>0</v>
      </c>
      <c r="M46" s="59">
        <f>C19</f>
        <v>0</v>
      </c>
      <c r="N46" s="60" t="s">
        <v>327</v>
      </c>
    </row>
    <row r="47" spans="2:15" ht="55.15" customHeight="1" x14ac:dyDescent="0.25">
      <c r="C47" s="9" t="s">
        <v>331</v>
      </c>
      <c r="D47" s="10">
        <v>5</v>
      </c>
      <c r="E47" s="8">
        <v>5</v>
      </c>
      <c r="F47" s="8"/>
      <c r="G47" s="8"/>
      <c r="H47" s="8"/>
      <c r="I47" s="8"/>
      <c r="J47" s="8"/>
      <c r="K47" s="8"/>
      <c r="L47" s="8"/>
      <c r="M47" s="8"/>
      <c r="N47" s="55" t="b">
        <f t="shared" ref="N47:N54" si="2">IF(SUM(E47:M47)=D47,TRUE,"false")</f>
        <v>1</v>
      </c>
    </row>
    <row r="48" spans="2:15" ht="55.15" customHeight="1" x14ac:dyDescent="0.25">
      <c r="C48" s="9" t="s">
        <v>328</v>
      </c>
      <c r="D48" s="10">
        <v>25</v>
      </c>
      <c r="E48" s="11">
        <v>15</v>
      </c>
      <c r="F48" s="12">
        <v>5</v>
      </c>
      <c r="G48" s="12">
        <v>5</v>
      </c>
      <c r="H48" s="12"/>
      <c r="I48" s="12"/>
      <c r="J48" s="12"/>
      <c r="K48" s="12"/>
      <c r="L48" s="12"/>
      <c r="M48" s="12"/>
      <c r="N48" s="55" t="b">
        <f t="shared" si="2"/>
        <v>1</v>
      </c>
    </row>
    <row r="49" spans="3:14" ht="55.15" customHeight="1" x14ac:dyDescent="0.25">
      <c r="C49" s="9" t="s">
        <v>1444</v>
      </c>
      <c r="D49" s="10">
        <v>20</v>
      </c>
      <c r="E49" s="11"/>
      <c r="F49" s="12"/>
      <c r="G49" s="12">
        <v>5</v>
      </c>
      <c r="H49" s="12">
        <v>15</v>
      </c>
      <c r="I49" s="12"/>
      <c r="J49" s="12"/>
      <c r="K49" s="12"/>
      <c r="L49" s="12"/>
      <c r="M49" s="12"/>
      <c r="N49" s="55" t="b">
        <f t="shared" si="2"/>
        <v>1</v>
      </c>
    </row>
    <row r="50" spans="3:14" ht="55.15" customHeight="1" x14ac:dyDescent="0.25">
      <c r="C50" s="9" t="s">
        <v>460</v>
      </c>
      <c r="D50" s="10">
        <v>50</v>
      </c>
      <c r="E50" s="11">
        <v>25</v>
      </c>
      <c r="F50" s="12">
        <v>20</v>
      </c>
      <c r="G50" s="12">
        <v>5</v>
      </c>
      <c r="H50" s="12"/>
      <c r="I50" s="12"/>
      <c r="J50" s="12"/>
      <c r="K50" s="12"/>
      <c r="L50" s="12"/>
      <c r="M50" s="12"/>
      <c r="N50" s="55" t="b">
        <f t="shared" si="2"/>
        <v>1</v>
      </c>
    </row>
    <row r="51" spans="3:14" ht="55.15" customHeight="1" x14ac:dyDescent="0.25">
      <c r="C51" s="9"/>
      <c r="D51" s="10"/>
      <c r="E51" s="11"/>
      <c r="F51" s="12"/>
      <c r="G51" s="12"/>
      <c r="H51" s="12"/>
      <c r="I51" s="12"/>
      <c r="J51" s="12"/>
      <c r="K51" s="12"/>
      <c r="L51" s="12"/>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45</v>
      </c>
      <c r="F56" s="65">
        <f t="shared" si="4"/>
        <v>25</v>
      </c>
      <c r="G56" s="65">
        <f t="shared" si="4"/>
        <v>15</v>
      </c>
      <c r="H56" s="65">
        <f t="shared" si="4"/>
        <v>15</v>
      </c>
      <c r="I56" s="65">
        <f t="shared" si="4"/>
        <v>0</v>
      </c>
      <c r="J56" s="65">
        <f t="shared" si="4"/>
        <v>0</v>
      </c>
      <c r="K56" s="65">
        <f t="shared" si="4"/>
        <v>0</v>
      </c>
      <c r="L56" s="65">
        <f t="shared" si="4"/>
        <v>0</v>
      </c>
      <c r="M56" s="65">
        <f t="shared" si="4"/>
        <v>0</v>
      </c>
      <c r="N56" s="66">
        <f>SUM(E56:M56)</f>
        <v>100</v>
      </c>
    </row>
    <row r="57" spans="3:14" ht="49.9" customHeight="1" x14ac:dyDescent="0.25"/>
  </sheetData>
  <sheetProtection algorithmName="SHA-512" hashValue="JDOXQtqZTM3Zv9djB9wzG2GUo8KoK3e2/LYjSamrPgn7NdPrGn1eSNvQwkHUg73f6P2cIjVFOaeBT9lbt34eEQ==" saltValue="b9zMnIsFj4CPfPbP868f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215" priority="11">
      <formula>LEN(TRIM(D47))=0</formula>
    </cfRule>
    <cfRule type="cellIs" dxfId="214" priority="12" operator="equal">
      <formula>0</formula>
    </cfRule>
  </conditionalFormatting>
  <conditionalFormatting sqref="E50">
    <cfRule type="containsBlanks" dxfId="213" priority="21">
      <formula>LEN(TRIM(E50))=0</formula>
    </cfRule>
    <cfRule type="cellIs" dxfId="212" priority="22" operator="equal">
      <formula>0</formula>
    </cfRule>
  </conditionalFormatting>
  <conditionalFormatting sqref="E47:M51 E52">
    <cfRule type="containsBlanks" dxfId="211" priority="17">
      <formula>LEN(TRIM(E47))=0</formula>
    </cfRule>
    <cfRule type="cellIs" dxfId="210" priority="18" operator="equal">
      <formula>0</formula>
    </cfRule>
  </conditionalFormatting>
  <conditionalFormatting sqref="E53:M54">
    <cfRule type="containsBlanks" dxfId="209" priority="15">
      <formula>LEN(TRIM(E53))=0</formula>
    </cfRule>
    <cfRule type="cellIs" dxfId="208" priority="16" operator="equal">
      <formula>0</formula>
    </cfRule>
  </conditionalFormatting>
  <conditionalFormatting sqref="E55:M55">
    <cfRule type="containsText" dxfId="207" priority="5" operator="containsText" text="false">
      <formula>NOT(ISERROR(SEARCH("false",E55)))</formula>
    </cfRule>
    <cfRule type="containsText" dxfId="206" priority="6" operator="containsText" text="true">
      <formula>NOT(ISERROR(SEARCH("true",E55)))</formula>
    </cfRule>
  </conditionalFormatting>
  <conditionalFormatting sqref="E26:N39">
    <cfRule type="containsBlanks" dxfId="205" priority="3">
      <formula>LEN(TRIM(E26))=0</formula>
    </cfRule>
    <cfRule type="cellIs" dxfId="204" priority="4" operator="equal">
      <formula>0</formula>
    </cfRule>
  </conditionalFormatting>
  <conditionalFormatting sqref="F48:M48">
    <cfRule type="containsBlanks" dxfId="203" priority="23">
      <formula>LEN(TRIM(F48))=0</formula>
    </cfRule>
    <cfRule type="cellIs" dxfId="202" priority="24" operator="equal">
      <formula>0</formula>
    </cfRule>
  </conditionalFormatting>
  <conditionalFormatting sqref="F50:M52">
    <cfRule type="containsBlanks" dxfId="201" priority="19">
      <formula>LEN(TRIM(F50))=0</formula>
    </cfRule>
    <cfRule type="cellIs" dxfId="200" priority="20" operator="equal">
      <formula>0</formula>
    </cfRule>
  </conditionalFormatting>
  <conditionalFormatting sqref="N47:N54">
    <cfRule type="containsText" dxfId="199" priority="7" operator="containsText" text="false">
      <formula>NOT(ISERROR(SEARCH("false",N47)))</formula>
    </cfRule>
    <cfRule type="containsText" dxfId="198" priority="8" operator="containsText" text="true">
      <formula>NOT(ISERROR(SEARCH("true",N47)))</formula>
    </cfRule>
  </conditionalFormatting>
  <conditionalFormatting sqref="N55">
    <cfRule type="containsBlanks" dxfId="197" priority="13">
      <formula>LEN(TRIM(N55))=0</formula>
    </cfRule>
    <cfRule type="cellIs" dxfId="196" priority="14" operator="equal">
      <formula>0</formula>
    </cfRule>
  </conditionalFormatting>
  <conditionalFormatting sqref="O26:O40">
    <cfRule type="containsText" dxfId="195" priority="9" operator="containsText" text="false">
      <formula>NOT(ISERROR(SEARCH("false",O26)))</formula>
    </cfRule>
    <cfRule type="containsText" dxfId="194" priority="10" operator="containsText" text="true">
      <formula>NOT(ISERROR(SEARCH("true",O26)))</formula>
    </cfRule>
  </conditionalFormatting>
  <conditionalFormatting sqref="O42">
    <cfRule type="cellIs" dxfId="193" priority="1" operator="notEqual">
      <formula>100</formula>
    </cfRule>
    <cfRule type="cellIs" dxfId="192" priority="2" operator="equal">
      <formula>100</formula>
    </cfRule>
  </conditionalFormatting>
  <pageMargins left="0.7" right="0.7" top="0.75" bottom="0.75" header="0.3" footer="0.3"/>
  <pageSetup scale="18"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B050"/>
  </sheetPr>
  <dimension ref="B2:AB57"/>
  <sheetViews>
    <sheetView zoomScale="50" zoomScaleNormal="50" workbookViewId="0">
      <selection activeCell="D11" sqref="D11"/>
    </sheetView>
  </sheetViews>
  <sheetFormatPr defaultColWidth="9.140625" defaultRowHeight="15" x14ac:dyDescent="0.25"/>
  <cols>
    <col min="1" max="1" width="9.140625" style="19"/>
    <col min="2" max="2" width="24.85546875" style="19" customWidth="1"/>
    <col min="3" max="3" width="33" style="19" customWidth="1"/>
    <col min="4" max="4" width="71"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5.7109375" style="19" customWidth="1"/>
    <col min="11" max="11" width="49.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481</v>
      </c>
      <c r="H6" s="43" t="s">
        <v>277</v>
      </c>
      <c r="I6" s="1" t="s">
        <v>268</v>
      </c>
      <c r="J6" s="43" t="s">
        <v>278</v>
      </c>
      <c r="K6" s="1" t="s">
        <v>122</v>
      </c>
    </row>
    <row r="7" spans="2:26" ht="72.599999999999994" customHeight="1" thickBot="1" x14ac:dyDescent="0.3">
      <c r="B7" s="160"/>
      <c r="C7" s="161"/>
      <c r="D7" s="43" t="s">
        <v>279</v>
      </c>
      <c r="E7" s="1">
        <v>5</v>
      </c>
      <c r="F7" s="43" t="s">
        <v>280</v>
      </c>
      <c r="G7" s="1">
        <v>10</v>
      </c>
      <c r="H7" s="43" t="s">
        <v>281</v>
      </c>
      <c r="I7" s="1">
        <v>2</v>
      </c>
      <c r="J7" s="43" t="s">
        <v>283</v>
      </c>
      <c r="K7" s="1" t="s">
        <v>1220</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186" customHeight="1" x14ac:dyDescent="0.25">
      <c r="B11" s="36"/>
      <c r="C11" s="129" t="s">
        <v>297</v>
      </c>
      <c r="D11" s="130" t="s">
        <v>1722</v>
      </c>
      <c r="E11" s="129" t="s">
        <v>7</v>
      </c>
      <c r="F11" s="131"/>
      <c r="G11" s="132"/>
      <c r="H11" s="132">
        <v>0.6</v>
      </c>
      <c r="I11" s="132">
        <v>1</v>
      </c>
      <c r="J11" s="133" t="s">
        <v>1445</v>
      </c>
      <c r="K11" s="133" t="s">
        <v>1320</v>
      </c>
      <c r="U11" s="3">
        <f>F11</f>
        <v>0</v>
      </c>
      <c r="V11" s="2" t="str">
        <f t="shared" ref="V11:V19" si="0">C11</f>
        <v>K1.1</v>
      </c>
      <c r="W11" s="2"/>
      <c r="X11" s="17"/>
      <c r="Y11" s="37"/>
      <c r="Z11" s="37"/>
    </row>
    <row r="12" spans="2:26" ht="138" customHeight="1" x14ac:dyDescent="0.25">
      <c r="B12" s="36"/>
      <c r="C12" s="134" t="s">
        <v>1446</v>
      </c>
      <c r="D12" s="135" t="s">
        <v>1447</v>
      </c>
      <c r="E12" s="134" t="s">
        <v>22</v>
      </c>
      <c r="F12" s="136"/>
      <c r="G12" s="137"/>
      <c r="H12" s="132">
        <v>0.6</v>
      </c>
      <c r="I12" s="132">
        <v>1</v>
      </c>
      <c r="J12" s="133" t="s">
        <v>1610</v>
      </c>
      <c r="K12" s="133" t="s">
        <v>1341</v>
      </c>
      <c r="U12" s="6">
        <f>F12</f>
        <v>0</v>
      </c>
      <c r="V12" s="2" t="str">
        <f t="shared" si="0"/>
        <v>S.2. 1</v>
      </c>
      <c r="W12" s="5"/>
      <c r="X12" s="4"/>
      <c r="Y12" s="38"/>
      <c r="Z12" s="38"/>
    </row>
    <row r="13" spans="2:26" ht="58.9" customHeight="1" x14ac:dyDescent="0.25">
      <c r="B13" s="36"/>
      <c r="C13" s="134" t="s">
        <v>752</v>
      </c>
      <c r="D13" s="135" t="s">
        <v>1448</v>
      </c>
      <c r="E13" s="134" t="s">
        <v>35</v>
      </c>
      <c r="F13" s="136"/>
      <c r="G13" s="137"/>
      <c r="H13" s="132">
        <v>0.6</v>
      </c>
      <c r="I13" s="132">
        <v>1</v>
      </c>
      <c r="J13" s="138" t="s">
        <v>1682</v>
      </c>
      <c r="K13" s="138" t="s">
        <v>1683</v>
      </c>
      <c r="U13" s="6">
        <f>F13</f>
        <v>0</v>
      </c>
      <c r="V13" s="2" t="str">
        <f t="shared" si="0"/>
        <v>S4.1</v>
      </c>
      <c r="W13" s="5"/>
      <c r="X13" s="4"/>
      <c r="Y13" s="38"/>
      <c r="Z13" s="38"/>
    </row>
    <row r="14" spans="2:26" ht="82.5" customHeight="1" x14ac:dyDescent="0.25">
      <c r="B14" s="36"/>
      <c r="C14" s="134" t="s">
        <v>1225</v>
      </c>
      <c r="D14" s="135" t="s">
        <v>1449</v>
      </c>
      <c r="E14" s="134" t="s">
        <v>27</v>
      </c>
      <c r="F14" s="136"/>
      <c r="G14" s="137"/>
      <c r="H14" s="132">
        <v>0.6</v>
      </c>
      <c r="I14" s="132">
        <v>1</v>
      </c>
      <c r="J14" s="138" t="s">
        <v>1324</v>
      </c>
      <c r="K14" s="138" t="s">
        <v>1681</v>
      </c>
      <c r="U14" s="6">
        <f>F14</f>
        <v>0</v>
      </c>
      <c r="V14" s="2" t="str">
        <f t="shared" si="0"/>
        <v>S5. 1</v>
      </c>
      <c r="W14" s="5"/>
      <c r="X14" s="4"/>
      <c r="Y14" s="38"/>
      <c r="Z14" s="38"/>
    </row>
    <row r="15" spans="2:26" ht="58.9" customHeight="1" x14ac:dyDescent="0.25">
      <c r="B15" s="36"/>
      <c r="C15" s="134" t="s">
        <v>300</v>
      </c>
      <c r="D15" s="135" t="s">
        <v>1450</v>
      </c>
      <c r="E15" s="134" t="s">
        <v>44</v>
      </c>
      <c r="F15" s="136"/>
      <c r="G15" s="137"/>
      <c r="H15" s="132">
        <v>0.6</v>
      </c>
      <c r="I15" s="132">
        <v>1</v>
      </c>
      <c r="J15" s="138" t="s">
        <v>1326</v>
      </c>
      <c r="K15" s="138" t="s">
        <v>1680</v>
      </c>
      <c r="U15" s="6">
        <f>F15</f>
        <v>0</v>
      </c>
      <c r="V15" s="2" t="str">
        <f t="shared" si="0"/>
        <v>V1.1</v>
      </c>
      <c r="W15" s="5"/>
      <c r="X15" s="4"/>
      <c r="Y15" s="38"/>
      <c r="Z15" s="38"/>
    </row>
    <row r="16" spans="2:26" ht="58.9" customHeight="1" x14ac:dyDescent="0.25">
      <c r="B16" s="36"/>
      <c r="C16" s="5"/>
      <c r="D16" s="79"/>
      <c r="E16" s="5"/>
      <c r="F16" s="6"/>
      <c r="G16" s="4"/>
      <c r="H16" s="4"/>
      <c r="I16" s="4"/>
      <c r="J16" s="81"/>
      <c r="K16" s="84"/>
      <c r="U16" s="6"/>
      <c r="V16" s="2">
        <f t="shared" si="0"/>
        <v>0</v>
      </c>
      <c r="W16" s="5"/>
      <c r="X16" s="4"/>
      <c r="Y16" s="38"/>
      <c r="Z16" s="38"/>
    </row>
    <row r="17" spans="2:26" ht="58.9" customHeight="1" x14ac:dyDescent="0.25">
      <c r="B17" s="36"/>
      <c r="C17" s="5"/>
      <c r="D17" s="24"/>
      <c r="E17" s="5"/>
      <c r="F17" s="6"/>
      <c r="G17" s="4"/>
      <c r="H17" s="4"/>
      <c r="I17" s="4"/>
      <c r="J17" s="5"/>
      <c r="K17" s="5"/>
      <c r="U17" s="6">
        <f>F17</f>
        <v>0</v>
      </c>
      <c r="V17" s="2">
        <f t="shared" si="0"/>
        <v>0</v>
      </c>
      <c r="W17" s="5"/>
      <c r="X17" s="4"/>
      <c r="Y17" s="38"/>
      <c r="Z17" s="38"/>
    </row>
    <row r="18" spans="2:26" ht="58.9" customHeight="1" x14ac:dyDescent="0.25">
      <c r="B18" s="36"/>
      <c r="C18" s="5"/>
      <c r="D18" s="24"/>
      <c r="E18" s="5"/>
      <c r="F18" s="5"/>
      <c r="G18" s="5"/>
      <c r="H18" s="5"/>
      <c r="I18" s="5"/>
      <c r="J18" s="5"/>
      <c r="K18" s="5"/>
      <c r="U18" s="6">
        <f>F18</f>
        <v>0</v>
      </c>
      <c r="V18" s="2">
        <f t="shared" si="0"/>
        <v>0</v>
      </c>
      <c r="W18" s="5"/>
      <c r="X18" s="5"/>
      <c r="Y18" s="39"/>
      <c r="Z18" s="39"/>
    </row>
    <row r="19" spans="2:26" ht="58.9" customHeight="1" x14ac:dyDescent="0.25">
      <c r="B19" s="36"/>
      <c r="C19" s="5"/>
      <c r="D19" s="24"/>
      <c r="E19" s="5"/>
      <c r="F19" s="5"/>
      <c r="G19" s="5"/>
      <c r="H19" s="5"/>
      <c r="I19" s="5"/>
      <c r="J19" s="5"/>
      <c r="K19" s="5"/>
      <c r="U19" s="6">
        <f>F19</f>
        <v>0</v>
      </c>
      <c r="V19" s="2">
        <f t="shared" si="0"/>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K1.1</v>
      </c>
      <c r="G25" s="49" t="str">
        <f>C12</f>
        <v>S.2. 1</v>
      </c>
      <c r="H25" s="49" t="str">
        <f>C13</f>
        <v>S4.1</v>
      </c>
      <c r="I25" s="49" t="str">
        <f>C14</f>
        <v>S5. 1</v>
      </c>
      <c r="J25" s="49" t="str">
        <f>C15</f>
        <v>V1.1</v>
      </c>
      <c r="K25" s="49">
        <f>C16</f>
        <v>0</v>
      </c>
      <c r="L25" s="49">
        <f>C17</f>
        <v>0</v>
      </c>
      <c r="M25" s="49">
        <f>C18</f>
        <v>0</v>
      </c>
      <c r="N25" s="49">
        <f>C19</f>
        <v>0</v>
      </c>
      <c r="O25" s="50" t="s">
        <v>305</v>
      </c>
    </row>
    <row r="26" spans="2:26" ht="30.4" customHeight="1" thickBot="1" x14ac:dyDescent="0.3">
      <c r="C26" s="51" t="s">
        <v>306</v>
      </c>
      <c r="D26" s="83" t="s">
        <v>1451</v>
      </c>
      <c r="E26" s="8">
        <v>2</v>
      </c>
      <c r="F26" s="8">
        <v>2</v>
      </c>
      <c r="G26" s="8"/>
      <c r="H26" s="8"/>
      <c r="I26" s="8"/>
      <c r="J26" s="8"/>
      <c r="K26" s="8"/>
      <c r="L26" s="8"/>
      <c r="M26" s="8"/>
      <c r="N26" s="8"/>
      <c r="O26" s="53" t="b">
        <f t="shared" ref="O26:O40" si="1">IF(SUM(F26:N26)=E26,TRUE,"false")</f>
        <v>1</v>
      </c>
    </row>
    <row r="27" spans="2:26" ht="30.4" customHeight="1" thickBot="1" x14ac:dyDescent="0.3">
      <c r="C27" s="51" t="s">
        <v>307</v>
      </c>
      <c r="D27" s="83" t="s">
        <v>1452</v>
      </c>
      <c r="E27" s="8">
        <v>2</v>
      </c>
      <c r="F27" s="8">
        <v>2</v>
      </c>
      <c r="G27" s="8"/>
      <c r="H27" s="8"/>
      <c r="I27" s="8"/>
      <c r="J27" s="8"/>
      <c r="K27" s="8"/>
      <c r="L27" s="8"/>
      <c r="M27" s="8"/>
      <c r="N27" s="8"/>
      <c r="O27" s="53" t="b">
        <f t="shared" si="1"/>
        <v>1</v>
      </c>
    </row>
    <row r="28" spans="2:26" ht="30.4" customHeight="1" thickBot="1" x14ac:dyDescent="0.3">
      <c r="C28" s="51" t="s">
        <v>308</v>
      </c>
      <c r="D28" s="83" t="s">
        <v>1453</v>
      </c>
      <c r="E28" s="8">
        <v>2</v>
      </c>
      <c r="F28" s="8">
        <v>1</v>
      </c>
      <c r="G28" s="8">
        <v>1</v>
      </c>
      <c r="H28" s="8"/>
      <c r="I28" s="8"/>
      <c r="J28" s="8"/>
      <c r="K28" s="8"/>
      <c r="L28" s="8"/>
      <c r="M28" s="8"/>
      <c r="N28" s="8"/>
      <c r="O28" s="53" t="b">
        <f t="shared" si="1"/>
        <v>1</v>
      </c>
    </row>
    <row r="29" spans="2:26" ht="30.4" customHeight="1" thickBot="1" x14ac:dyDescent="0.3">
      <c r="C29" s="51" t="s">
        <v>309</v>
      </c>
      <c r="D29" s="83" t="s">
        <v>1454</v>
      </c>
      <c r="E29" s="8">
        <v>2</v>
      </c>
      <c r="F29" s="8">
        <v>1</v>
      </c>
      <c r="G29" s="8"/>
      <c r="H29" s="8">
        <v>1</v>
      </c>
      <c r="I29" s="8"/>
      <c r="J29" s="8"/>
      <c r="K29" s="8"/>
      <c r="L29" s="8"/>
      <c r="M29" s="8"/>
      <c r="N29" s="8"/>
      <c r="O29" s="53" t="b">
        <f t="shared" si="1"/>
        <v>1</v>
      </c>
    </row>
    <row r="30" spans="2:26" ht="30.4" customHeight="1" thickBot="1" x14ac:dyDescent="0.3">
      <c r="C30" s="51" t="s">
        <v>310</v>
      </c>
      <c r="D30" s="83" t="s">
        <v>1455</v>
      </c>
      <c r="E30" s="8">
        <v>2</v>
      </c>
      <c r="F30" s="8"/>
      <c r="G30" s="8"/>
      <c r="H30" s="8"/>
      <c r="I30" s="8">
        <v>2</v>
      </c>
      <c r="J30" s="8"/>
      <c r="K30" s="8"/>
      <c r="L30" s="8"/>
      <c r="M30" s="8"/>
      <c r="N30" s="8"/>
      <c r="O30" s="53" t="b">
        <f t="shared" si="1"/>
        <v>1</v>
      </c>
    </row>
    <row r="31" spans="2:26" ht="30.4" customHeight="1" thickBot="1" x14ac:dyDescent="0.3">
      <c r="C31" s="51" t="s">
        <v>311</v>
      </c>
      <c r="D31" s="83" t="s">
        <v>1456</v>
      </c>
      <c r="E31" s="8">
        <v>4</v>
      </c>
      <c r="F31" s="8">
        <v>1</v>
      </c>
      <c r="G31" s="8"/>
      <c r="H31" s="8"/>
      <c r="I31" s="8">
        <v>2</v>
      </c>
      <c r="J31" s="8">
        <v>1</v>
      </c>
      <c r="K31" s="8"/>
      <c r="L31" s="8"/>
      <c r="M31" s="8"/>
      <c r="N31" s="8"/>
      <c r="O31" s="53" t="b">
        <f t="shared" si="1"/>
        <v>1</v>
      </c>
    </row>
    <row r="32" spans="2:26" ht="30.4" customHeight="1" thickBot="1" x14ac:dyDescent="0.3">
      <c r="C32" s="51" t="s">
        <v>312</v>
      </c>
      <c r="D32" s="83" t="s">
        <v>1457</v>
      </c>
      <c r="E32" s="8">
        <v>2</v>
      </c>
      <c r="F32" s="8">
        <v>1</v>
      </c>
      <c r="G32" s="8"/>
      <c r="H32" s="8">
        <v>1</v>
      </c>
      <c r="I32" s="8"/>
      <c r="J32" s="8"/>
      <c r="K32" s="8"/>
      <c r="L32" s="8"/>
      <c r="M32" s="8"/>
      <c r="N32" s="8"/>
      <c r="O32" s="53" t="b">
        <f t="shared" si="1"/>
        <v>1</v>
      </c>
    </row>
    <row r="33" spans="2:15" ht="30.4" customHeight="1" thickBot="1" x14ac:dyDescent="0.3">
      <c r="C33" s="51" t="s">
        <v>313</v>
      </c>
      <c r="D33" s="83" t="s">
        <v>1458</v>
      </c>
      <c r="E33" s="8">
        <v>2</v>
      </c>
      <c r="F33" s="8">
        <v>1</v>
      </c>
      <c r="G33" s="8">
        <v>1</v>
      </c>
      <c r="H33" s="8"/>
      <c r="I33" s="8"/>
      <c r="J33" s="8"/>
      <c r="K33" s="8"/>
      <c r="L33" s="8"/>
      <c r="M33" s="8"/>
      <c r="N33" s="8"/>
      <c r="O33" s="53" t="b">
        <f t="shared" si="1"/>
        <v>1</v>
      </c>
    </row>
    <row r="34" spans="2:15" ht="30.4" customHeight="1" thickBot="1" x14ac:dyDescent="0.3">
      <c r="C34" s="51" t="s">
        <v>314</v>
      </c>
      <c r="D34" s="83" t="s">
        <v>1459</v>
      </c>
      <c r="E34" s="8">
        <v>2</v>
      </c>
      <c r="F34" s="8"/>
      <c r="G34" s="8">
        <v>1</v>
      </c>
      <c r="H34" s="8"/>
      <c r="I34" s="8"/>
      <c r="J34" s="8">
        <v>1</v>
      </c>
      <c r="K34" s="8"/>
      <c r="L34" s="8"/>
      <c r="M34" s="8"/>
      <c r="N34" s="8"/>
      <c r="O34" s="53" t="b">
        <f t="shared" si="1"/>
        <v>1</v>
      </c>
    </row>
    <row r="35" spans="2:15" ht="30.4" customHeight="1" thickBot="1" x14ac:dyDescent="0.3">
      <c r="C35" s="51" t="s">
        <v>315</v>
      </c>
      <c r="D35" s="83" t="s">
        <v>1460</v>
      </c>
      <c r="E35" s="8">
        <v>2</v>
      </c>
      <c r="F35" s="8">
        <v>1</v>
      </c>
      <c r="G35" s="8"/>
      <c r="H35" s="8">
        <v>1</v>
      </c>
      <c r="I35" s="8"/>
      <c r="J35" s="8"/>
      <c r="K35" s="8"/>
      <c r="L35" s="8"/>
      <c r="M35" s="8"/>
      <c r="N35" s="8"/>
      <c r="O35" s="53" t="b">
        <f t="shared" si="1"/>
        <v>1</v>
      </c>
    </row>
    <row r="36" spans="2:15" ht="30.4" customHeight="1" thickBot="1" x14ac:dyDescent="0.3">
      <c r="C36" s="51" t="s">
        <v>316</v>
      </c>
      <c r="D36" s="83" t="s">
        <v>1461</v>
      </c>
      <c r="E36" s="8">
        <v>2</v>
      </c>
      <c r="F36" s="8">
        <v>1</v>
      </c>
      <c r="G36" s="8"/>
      <c r="H36" s="8"/>
      <c r="I36" s="8">
        <v>1</v>
      </c>
      <c r="J36" s="8"/>
      <c r="K36" s="8"/>
      <c r="L36" s="8"/>
      <c r="M36" s="8"/>
      <c r="N36" s="8"/>
      <c r="O36" s="53" t="b">
        <f t="shared" si="1"/>
        <v>1</v>
      </c>
    </row>
    <row r="37" spans="2:15" ht="30.4" customHeight="1" thickBot="1" x14ac:dyDescent="0.3">
      <c r="C37" s="51" t="s">
        <v>317</v>
      </c>
      <c r="D37" s="83" t="s">
        <v>1462</v>
      </c>
      <c r="E37" s="8">
        <v>2</v>
      </c>
      <c r="F37" s="8"/>
      <c r="G37" s="8"/>
      <c r="H37" s="8"/>
      <c r="I37" s="8">
        <v>2</v>
      </c>
      <c r="J37" s="8"/>
      <c r="K37" s="8"/>
      <c r="L37" s="8"/>
      <c r="M37" s="8"/>
      <c r="N37" s="8"/>
      <c r="O37" s="53" t="b">
        <f t="shared" si="1"/>
        <v>1</v>
      </c>
    </row>
    <row r="38" spans="2:15" ht="30.4" customHeight="1" thickBot="1" x14ac:dyDescent="0.3">
      <c r="C38" s="51" t="s">
        <v>318</v>
      </c>
      <c r="D38" s="83" t="s">
        <v>1463</v>
      </c>
      <c r="E38" s="8">
        <v>2</v>
      </c>
      <c r="F38" s="8">
        <v>1</v>
      </c>
      <c r="G38" s="8">
        <v>1</v>
      </c>
      <c r="H38" s="8"/>
      <c r="I38" s="8"/>
      <c r="J38" s="8"/>
      <c r="K38" s="8"/>
      <c r="L38" s="8"/>
      <c r="M38" s="8"/>
      <c r="N38" s="8"/>
      <c r="O38" s="53" t="b">
        <f t="shared" si="1"/>
        <v>1</v>
      </c>
    </row>
    <row r="39" spans="2:15" ht="30.4" customHeight="1" x14ac:dyDescent="0.25">
      <c r="C39" s="51" t="s">
        <v>319</v>
      </c>
      <c r="D39" s="26" t="s">
        <v>1464</v>
      </c>
      <c r="E39" s="8">
        <v>2</v>
      </c>
      <c r="F39" s="8"/>
      <c r="G39" s="8"/>
      <c r="H39" s="8"/>
      <c r="I39" s="8">
        <v>1</v>
      </c>
      <c r="J39" s="8">
        <v>1</v>
      </c>
      <c r="K39" s="8"/>
      <c r="L39" s="8"/>
      <c r="M39" s="8"/>
      <c r="N39" s="8"/>
      <c r="O39" s="53" t="b">
        <f t="shared" si="1"/>
        <v>1</v>
      </c>
    </row>
    <row r="40" spans="2:15" s="20" customFormat="1" ht="78" customHeight="1" x14ac:dyDescent="0.25">
      <c r="C40" s="170" t="s">
        <v>320</v>
      </c>
      <c r="D40" s="170"/>
      <c r="E40" s="52">
        <f t="shared" ref="E40:N40" si="2">SUM(E26:E39)</f>
        <v>30</v>
      </c>
      <c r="F40" s="52">
        <f t="shared" si="2"/>
        <v>12</v>
      </c>
      <c r="G40" s="52">
        <f t="shared" si="2"/>
        <v>4</v>
      </c>
      <c r="H40" s="52">
        <f t="shared" si="2"/>
        <v>3</v>
      </c>
      <c r="I40" s="52">
        <f t="shared" si="2"/>
        <v>8</v>
      </c>
      <c r="J40" s="52">
        <f t="shared" si="2"/>
        <v>3</v>
      </c>
      <c r="K40" s="52">
        <f t="shared" si="2"/>
        <v>0</v>
      </c>
      <c r="L40" s="52">
        <f t="shared" si="2"/>
        <v>0</v>
      </c>
      <c r="M40" s="52">
        <f t="shared" si="2"/>
        <v>0</v>
      </c>
      <c r="N40" s="52">
        <f t="shared" si="2"/>
        <v>0</v>
      </c>
      <c r="O40" s="53" t="b">
        <f t="shared" si="1"/>
        <v>1</v>
      </c>
    </row>
    <row r="41" spans="2:15" s="20" customFormat="1" ht="71.650000000000006" customHeight="1" x14ac:dyDescent="0.25">
      <c r="C41" s="150" t="s">
        <v>321</v>
      </c>
      <c r="D41" s="150"/>
      <c r="E41" s="150"/>
      <c r="F41" s="54">
        <f>ROUND(F40/E40,2)</f>
        <v>0.4</v>
      </c>
      <c r="G41" s="54">
        <f>ROUND(G40/E40,2)</f>
        <v>0.13</v>
      </c>
      <c r="H41" s="54">
        <f>ROUND(H40/E40,2)</f>
        <v>0.1</v>
      </c>
      <c r="I41" s="54">
        <f>ROUND(I40/E40,2)</f>
        <v>0.27</v>
      </c>
      <c r="J41" s="54">
        <f>ROUND(J40/E40,2)</f>
        <v>0.1</v>
      </c>
      <c r="K41" s="54">
        <f>ROUND(K40/E40,2)</f>
        <v>0</v>
      </c>
      <c r="L41" s="54">
        <f>ROUND(L40/E40,2)</f>
        <v>0</v>
      </c>
      <c r="M41" s="54">
        <f>ROUND(M40/E40,2)</f>
        <v>0</v>
      </c>
      <c r="N41" s="54">
        <f>ROUND(N40/E40,2)</f>
        <v>0</v>
      </c>
      <c r="O41" s="54">
        <f>SUM(F41:N41)</f>
        <v>1</v>
      </c>
    </row>
    <row r="42" spans="2:15" ht="55.9" customHeight="1" x14ac:dyDescent="0.25">
      <c r="C42" s="151" t="s">
        <v>322</v>
      </c>
      <c r="D42" s="151"/>
      <c r="E42" s="151"/>
      <c r="F42" s="7">
        <v>40</v>
      </c>
      <c r="G42" s="7">
        <v>15</v>
      </c>
      <c r="H42" s="7">
        <v>10</v>
      </c>
      <c r="I42" s="7">
        <v>25</v>
      </c>
      <c r="J42" s="7">
        <v>10</v>
      </c>
      <c r="K42" s="7">
        <v>0</v>
      </c>
      <c r="L42" s="7">
        <v>0</v>
      </c>
      <c r="M42" s="7"/>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K1.1</v>
      </c>
      <c r="F46" s="59" t="str">
        <f>C12</f>
        <v>S.2. 1</v>
      </c>
      <c r="G46" s="59" t="str">
        <f>C13</f>
        <v>S4.1</v>
      </c>
      <c r="H46" s="59" t="str">
        <f>C14</f>
        <v>S5. 1</v>
      </c>
      <c r="I46" s="59" t="str">
        <f>C15</f>
        <v>V1.1</v>
      </c>
      <c r="J46" s="59">
        <f>C16</f>
        <v>0</v>
      </c>
      <c r="K46" s="59">
        <f>C17</f>
        <v>0</v>
      </c>
      <c r="L46" s="59">
        <f>C18</f>
        <v>0</v>
      </c>
      <c r="M46" s="59">
        <f>C19</f>
        <v>0</v>
      </c>
      <c r="N46" s="60" t="s">
        <v>327</v>
      </c>
    </row>
    <row r="47" spans="2:15" ht="55.15" customHeight="1" x14ac:dyDescent="0.25">
      <c r="C47" s="9" t="s">
        <v>328</v>
      </c>
      <c r="D47" s="10">
        <v>25</v>
      </c>
      <c r="E47" s="8">
        <v>15</v>
      </c>
      <c r="F47" s="8">
        <v>5</v>
      </c>
      <c r="G47" s="8"/>
      <c r="H47" s="8">
        <v>5</v>
      </c>
      <c r="I47" s="8"/>
      <c r="J47" s="8"/>
      <c r="K47" s="8"/>
      <c r="L47" s="8"/>
      <c r="M47" s="8"/>
      <c r="N47" s="55" t="b">
        <f t="shared" ref="N47:N54" si="3">IF(SUM(E47:M47)=D47,TRUE,"false")</f>
        <v>1</v>
      </c>
    </row>
    <row r="48" spans="2:15" ht="55.15" customHeight="1" x14ac:dyDescent="0.25">
      <c r="C48" s="9" t="s">
        <v>329</v>
      </c>
      <c r="D48" s="10">
        <v>5</v>
      </c>
      <c r="E48" s="11">
        <v>5</v>
      </c>
      <c r="F48" s="12"/>
      <c r="G48" s="12"/>
      <c r="H48" s="12"/>
      <c r="I48" s="12"/>
      <c r="J48" s="12"/>
      <c r="K48" s="12"/>
      <c r="L48" s="12"/>
      <c r="M48" s="12"/>
      <c r="N48" s="55" t="b">
        <f t="shared" si="3"/>
        <v>1</v>
      </c>
    </row>
    <row r="49" spans="3:14" ht="55.15" customHeight="1" x14ac:dyDescent="0.25">
      <c r="C49" s="9" t="s">
        <v>330</v>
      </c>
      <c r="D49" s="10"/>
      <c r="E49" s="11"/>
      <c r="F49" s="12"/>
      <c r="G49" s="12"/>
      <c r="H49" s="12"/>
      <c r="I49" s="12"/>
      <c r="J49" s="12"/>
      <c r="K49" s="12"/>
      <c r="L49" s="12"/>
      <c r="M49" s="12"/>
      <c r="N49" s="55" t="b">
        <f t="shared" si="3"/>
        <v>1</v>
      </c>
    </row>
    <row r="50" spans="3:14" ht="55.15" customHeight="1" x14ac:dyDescent="0.25">
      <c r="C50" s="9" t="s">
        <v>1465</v>
      </c>
      <c r="D50" s="10">
        <v>10</v>
      </c>
      <c r="E50" s="11"/>
      <c r="F50" s="12"/>
      <c r="G50" s="12"/>
      <c r="H50" s="12">
        <v>5</v>
      </c>
      <c r="I50" s="12">
        <v>5</v>
      </c>
      <c r="J50" s="12"/>
      <c r="K50" s="12"/>
      <c r="L50" s="12"/>
      <c r="M50" s="12"/>
      <c r="N50" s="55" t="b">
        <f t="shared" si="3"/>
        <v>1</v>
      </c>
    </row>
    <row r="51" spans="3:14" ht="55.15" customHeight="1" x14ac:dyDescent="0.25">
      <c r="C51" s="9" t="s">
        <v>332</v>
      </c>
      <c r="D51" s="10">
        <v>10</v>
      </c>
      <c r="E51" s="11"/>
      <c r="F51" s="12"/>
      <c r="G51" s="12"/>
      <c r="H51" s="12">
        <v>5</v>
      </c>
      <c r="I51" s="12">
        <v>5</v>
      </c>
      <c r="J51" s="12"/>
      <c r="K51" s="12"/>
      <c r="L51" s="12"/>
      <c r="M51" s="12"/>
      <c r="N51" s="55" t="b">
        <f t="shared" si="3"/>
        <v>1</v>
      </c>
    </row>
    <row r="52" spans="3:14" ht="55.15" customHeight="1" x14ac:dyDescent="0.25">
      <c r="C52" s="9" t="s">
        <v>504</v>
      </c>
      <c r="D52" s="10">
        <v>50</v>
      </c>
      <c r="E52" s="11">
        <v>20</v>
      </c>
      <c r="F52" s="12">
        <v>10</v>
      </c>
      <c r="G52" s="12">
        <v>10</v>
      </c>
      <c r="H52" s="12">
        <v>10</v>
      </c>
      <c r="I52" s="12"/>
      <c r="J52" s="12"/>
      <c r="K52" s="12"/>
      <c r="L52" s="12"/>
      <c r="M52" s="12"/>
      <c r="N52" s="55" t="b">
        <f t="shared" si="3"/>
        <v>1</v>
      </c>
    </row>
    <row r="53" spans="3:14" ht="55.15" customHeight="1" x14ac:dyDescent="0.25">
      <c r="C53" s="9"/>
      <c r="D53" s="10"/>
      <c r="E53" s="11"/>
      <c r="F53" s="12"/>
      <c r="G53" s="12"/>
      <c r="H53" s="12"/>
      <c r="I53" s="12"/>
      <c r="J53" s="12"/>
      <c r="K53" s="12"/>
      <c r="L53" s="12"/>
      <c r="M53" s="12"/>
      <c r="N53" s="55" t="b">
        <f t="shared" si="3"/>
        <v>1</v>
      </c>
    </row>
    <row r="54" spans="3:14" ht="55.15" customHeight="1" thickBot="1" x14ac:dyDescent="0.3">
      <c r="C54" s="13"/>
      <c r="D54" s="14"/>
      <c r="E54" s="15"/>
      <c r="F54" s="16"/>
      <c r="G54" s="16"/>
      <c r="H54" s="16"/>
      <c r="I54" s="16"/>
      <c r="J54" s="16"/>
      <c r="K54" s="16"/>
      <c r="L54" s="16"/>
      <c r="M54" s="16"/>
      <c r="N54" s="55" t="b">
        <f t="shared" si="3"/>
        <v>1</v>
      </c>
    </row>
    <row r="55" spans="3:14" ht="55.15" customHeight="1" thickBot="1" x14ac:dyDescent="0.3">
      <c r="C55" s="61" t="s">
        <v>335</v>
      </c>
      <c r="D55" s="62"/>
      <c r="E55" s="55" t="b">
        <f t="shared" ref="E55:M55" si="4">IF(SUM(E47:E54)=E56,TRUE,"false")</f>
        <v>1</v>
      </c>
      <c r="F55" s="55" t="b">
        <f t="shared" si="4"/>
        <v>1</v>
      </c>
      <c r="G55" s="55" t="b">
        <f t="shared" si="4"/>
        <v>1</v>
      </c>
      <c r="H55" s="55" t="b">
        <f t="shared" si="4"/>
        <v>1</v>
      </c>
      <c r="I55" s="55" t="b">
        <f t="shared" si="4"/>
        <v>1</v>
      </c>
      <c r="J55" s="55" t="b">
        <f t="shared" si="4"/>
        <v>1</v>
      </c>
      <c r="K55" s="55" t="b">
        <f t="shared" si="4"/>
        <v>1</v>
      </c>
      <c r="L55" s="55" t="b">
        <f t="shared" si="4"/>
        <v>1</v>
      </c>
      <c r="M55" s="55" t="b">
        <f t="shared" si="4"/>
        <v>1</v>
      </c>
      <c r="N55" s="63"/>
    </row>
    <row r="56" spans="3:14" ht="55.15" customHeight="1" thickBot="1" x14ac:dyDescent="0.3">
      <c r="C56" s="64" t="s">
        <v>336</v>
      </c>
      <c r="D56" s="65">
        <f>SUM(D47:D54)</f>
        <v>100</v>
      </c>
      <c r="E56" s="65">
        <f t="shared" ref="E56:M56" si="5">F42</f>
        <v>40</v>
      </c>
      <c r="F56" s="65">
        <f t="shared" si="5"/>
        <v>15</v>
      </c>
      <c r="G56" s="65">
        <f t="shared" si="5"/>
        <v>10</v>
      </c>
      <c r="H56" s="65">
        <f t="shared" si="5"/>
        <v>25</v>
      </c>
      <c r="I56" s="65">
        <f t="shared" si="5"/>
        <v>10</v>
      </c>
      <c r="J56" s="65">
        <f t="shared" si="5"/>
        <v>0</v>
      </c>
      <c r="K56" s="65">
        <f t="shared" si="5"/>
        <v>0</v>
      </c>
      <c r="L56" s="65">
        <f t="shared" si="5"/>
        <v>0</v>
      </c>
      <c r="M56" s="65">
        <f t="shared" si="5"/>
        <v>0</v>
      </c>
      <c r="N56" s="66">
        <f>SUM(E56:M56)</f>
        <v>100</v>
      </c>
    </row>
    <row r="57" spans="3:14" ht="49.9" customHeight="1" x14ac:dyDescent="0.25"/>
  </sheetData>
  <sheetProtection algorithmName="SHA-512" hashValue="SQibKxk3SfveCy0YKYISDtpzepZnGTh6P032YzZUjhPNQokisdRH0jaZuV9Rsmxya7Rkk+Fw5pewRV/iRUMv+g==" saltValue="Rn0EsUf39DjQGef6b6qYpw=="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91" priority="11">
      <formula>LEN(TRIM(D47))=0</formula>
    </cfRule>
    <cfRule type="cellIs" dxfId="190" priority="12" operator="equal">
      <formula>0</formula>
    </cfRule>
  </conditionalFormatting>
  <conditionalFormatting sqref="E50">
    <cfRule type="containsBlanks" dxfId="189" priority="21">
      <formula>LEN(TRIM(E50))=0</formula>
    </cfRule>
    <cfRule type="cellIs" dxfId="188" priority="22" operator="equal">
      <formula>0</formula>
    </cfRule>
  </conditionalFormatting>
  <conditionalFormatting sqref="E47:M51 E52">
    <cfRule type="containsBlanks" dxfId="187" priority="17">
      <formula>LEN(TRIM(E47))=0</formula>
    </cfRule>
    <cfRule type="cellIs" dxfId="186" priority="18" operator="equal">
      <formula>0</formula>
    </cfRule>
  </conditionalFormatting>
  <conditionalFormatting sqref="E53:M54">
    <cfRule type="containsBlanks" dxfId="185" priority="15">
      <formula>LEN(TRIM(E53))=0</formula>
    </cfRule>
    <cfRule type="cellIs" dxfId="184" priority="16" operator="equal">
      <formula>0</formula>
    </cfRule>
  </conditionalFormatting>
  <conditionalFormatting sqref="E55:M55">
    <cfRule type="containsText" dxfId="183" priority="5" operator="containsText" text="false">
      <formula>NOT(ISERROR(SEARCH("false",E55)))</formula>
    </cfRule>
    <cfRule type="containsText" dxfId="182" priority="6" operator="containsText" text="true">
      <formula>NOT(ISERROR(SEARCH("true",E55)))</formula>
    </cfRule>
  </conditionalFormatting>
  <conditionalFormatting sqref="E26:N39">
    <cfRule type="containsBlanks" dxfId="181" priority="3">
      <formula>LEN(TRIM(E26))=0</formula>
    </cfRule>
    <cfRule type="cellIs" dxfId="180" priority="4" operator="equal">
      <formula>0</formula>
    </cfRule>
  </conditionalFormatting>
  <conditionalFormatting sqref="F48:M48">
    <cfRule type="containsBlanks" dxfId="179" priority="23">
      <formula>LEN(TRIM(F48))=0</formula>
    </cfRule>
    <cfRule type="cellIs" dxfId="178" priority="24" operator="equal">
      <formula>0</formula>
    </cfRule>
  </conditionalFormatting>
  <conditionalFormatting sqref="F50:M52">
    <cfRule type="containsBlanks" dxfId="177" priority="19">
      <formula>LEN(TRIM(F50))=0</formula>
    </cfRule>
    <cfRule type="cellIs" dxfId="176" priority="20" operator="equal">
      <formula>0</formula>
    </cfRule>
  </conditionalFormatting>
  <conditionalFormatting sqref="N47:N54">
    <cfRule type="containsText" dxfId="175" priority="7" operator="containsText" text="false">
      <formula>NOT(ISERROR(SEARCH("false",N47)))</formula>
    </cfRule>
    <cfRule type="containsText" dxfId="174" priority="8" operator="containsText" text="true">
      <formula>NOT(ISERROR(SEARCH("true",N47)))</formula>
    </cfRule>
  </conditionalFormatting>
  <conditionalFormatting sqref="N55">
    <cfRule type="containsBlanks" dxfId="173" priority="13">
      <formula>LEN(TRIM(N55))=0</formula>
    </cfRule>
    <cfRule type="cellIs" dxfId="172" priority="14" operator="equal">
      <formula>0</formula>
    </cfRule>
  </conditionalFormatting>
  <conditionalFormatting sqref="O26:O40">
    <cfRule type="containsText" dxfId="171" priority="9" operator="containsText" text="false">
      <formula>NOT(ISERROR(SEARCH("false",O26)))</formula>
    </cfRule>
    <cfRule type="containsText" dxfId="170" priority="10" operator="containsText" text="true">
      <formula>NOT(ISERROR(SEARCH("true",O26)))</formula>
    </cfRule>
  </conditionalFormatting>
  <conditionalFormatting sqref="O42">
    <cfRule type="cellIs" dxfId="169" priority="1" operator="notEqual">
      <formula>100</formula>
    </cfRule>
    <cfRule type="cellIs" dxfId="168" priority="2" operator="equal">
      <formula>100</formula>
    </cfRule>
  </conditionalFormatting>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00B050"/>
    <pageSetUpPr fitToPage="1"/>
  </sheetPr>
  <dimension ref="B2:AB57"/>
  <sheetViews>
    <sheetView topLeftCell="C7" zoomScale="60" zoomScaleNormal="50" workbookViewId="0">
      <selection activeCell="D18" sqref="D18"/>
    </sheetView>
  </sheetViews>
  <sheetFormatPr defaultColWidth="9.140625" defaultRowHeight="15" x14ac:dyDescent="0.25"/>
  <cols>
    <col min="1" max="1" width="9.140625" style="19"/>
    <col min="2" max="2" width="24.85546875" style="19" customWidth="1"/>
    <col min="3" max="3" width="33" style="19" customWidth="1"/>
    <col min="4" max="4" width="65.5703125" style="19" customWidth="1"/>
    <col min="5" max="5" width="38.7109375" style="19" customWidth="1"/>
    <col min="6" max="6" width="26.28515625" style="19" customWidth="1"/>
    <col min="7" max="7" width="24.5703125" style="19" customWidth="1"/>
    <col min="8" max="8" width="20.7109375" style="19" bestFit="1" customWidth="1"/>
    <col min="9" max="9" width="23.7109375" style="19" customWidth="1"/>
    <col min="10" max="10" width="32.28515625" style="19" customWidth="1"/>
    <col min="11" max="11" width="43.42578125" style="19" customWidth="1"/>
    <col min="12" max="12" width="48.7109375" style="19" customWidth="1"/>
    <col min="13" max="14" width="35.42578125" style="19" customWidth="1"/>
    <col min="15" max="15" width="36" style="19" customWidth="1"/>
    <col min="16" max="16" width="45.140625" style="19" hidden="1" customWidth="1"/>
    <col min="17" max="19" width="0" style="19" hidden="1" customWidth="1"/>
    <col min="20" max="20" width="8.7109375" style="19" hidden="1" customWidth="1"/>
    <col min="21" max="21" width="9.7109375" style="19" hidden="1" customWidth="1"/>
    <col min="22" max="22" width="27.28515625" style="19" hidden="1" customWidth="1"/>
    <col min="23" max="23" width="22.140625" style="19" hidden="1" customWidth="1"/>
    <col min="24" max="24" width="20" style="19" hidden="1" customWidth="1"/>
    <col min="25" max="25" width="20.28515625" style="19" hidden="1" customWidth="1"/>
    <col min="26" max="26" width="33.7109375" style="19" hidden="1" customWidth="1"/>
    <col min="27" max="27" width="24" style="19" hidden="1" customWidth="1"/>
    <col min="28" max="28" width="32.7109375" style="19" hidden="1" customWidth="1"/>
    <col min="29" max="29" width="33.28515625" style="19" customWidth="1"/>
    <col min="30" max="30" width="35.42578125" style="19" customWidth="1"/>
    <col min="31" max="31" width="30.85546875" style="19" customWidth="1"/>
    <col min="32" max="32" width="14.85546875" style="19" customWidth="1"/>
    <col min="33" max="16384" width="9.140625" style="19"/>
  </cols>
  <sheetData>
    <row r="2" spans="2:26" ht="14.65" customHeight="1" x14ac:dyDescent="0.25">
      <c r="D2" s="157" t="s">
        <v>271</v>
      </c>
      <c r="E2" s="157"/>
      <c r="F2" s="157"/>
      <c r="G2" s="157"/>
      <c r="H2" s="157"/>
      <c r="I2" s="157"/>
      <c r="J2" s="157"/>
    </row>
    <row r="3" spans="2:26" ht="14.65" customHeight="1" x14ac:dyDescent="0.25">
      <c r="D3" s="157"/>
      <c r="E3" s="157"/>
      <c r="F3" s="157"/>
      <c r="G3" s="157"/>
      <c r="H3" s="157"/>
      <c r="I3" s="157"/>
      <c r="J3" s="157"/>
    </row>
    <row r="4" spans="2:26" ht="14.65" customHeight="1" x14ac:dyDescent="0.25">
      <c r="D4" s="157"/>
      <c r="E4" s="157"/>
      <c r="F4" s="157"/>
      <c r="G4" s="157"/>
      <c r="H4" s="157"/>
      <c r="I4" s="157"/>
      <c r="J4" s="157"/>
    </row>
    <row r="5" spans="2:26" ht="15.75" thickBot="1" x14ac:dyDescent="0.3">
      <c r="D5" s="157"/>
      <c r="E5" s="157"/>
      <c r="F5" s="157"/>
      <c r="G5" s="157"/>
      <c r="H5" s="157"/>
      <c r="I5" s="157"/>
      <c r="J5" s="157"/>
    </row>
    <row r="6" spans="2:26" ht="79.150000000000006" customHeight="1" x14ac:dyDescent="0.25">
      <c r="B6" s="158" t="s">
        <v>272</v>
      </c>
      <c r="C6" s="159"/>
      <c r="D6" s="43" t="s">
        <v>273</v>
      </c>
      <c r="E6" s="1" t="s">
        <v>274</v>
      </c>
      <c r="F6" s="43" t="s">
        <v>275</v>
      </c>
      <c r="G6" s="1" t="s">
        <v>433</v>
      </c>
      <c r="H6" s="43" t="s">
        <v>277</v>
      </c>
      <c r="I6" s="1" t="s">
        <v>270</v>
      </c>
      <c r="J6" s="43" t="s">
        <v>278</v>
      </c>
      <c r="K6" s="1" t="s">
        <v>123</v>
      </c>
    </row>
    <row r="7" spans="2:26" ht="72.599999999999994" customHeight="1" thickBot="1" x14ac:dyDescent="0.3">
      <c r="B7" s="160"/>
      <c r="C7" s="161"/>
      <c r="D7" s="43" t="s">
        <v>279</v>
      </c>
      <c r="E7" s="1">
        <v>5</v>
      </c>
      <c r="F7" s="43" t="s">
        <v>280</v>
      </c>
      <c r="G7" s="1">
        <v>10</v>
      </c>
      <c r="H7" s="43" t="s">
        <v>281</v>
      </c>
      <c r="I7" s="1">
        <v>3</v>
      </c>
      <c r="J7" s="43" t="s">
        <v>283</v>
      </c>
      <c r="K7" s="1" t="s">
        <v>621</v>
      </c>
    </row>
    <row r="8" spans="2:26" ht="57.6" customHeight="1" thickBot="1" x14ac:dyDescent="0.3">
      <c r="B8" s="27"/>
      <c r="C8" s="27"/>
      <c r="D8" s="28"/>
      <c r="E8" s="29"/>
      <c r="F8" s="28"/>
      <c r="G8" s="29"/>
      <c r="H8" s="28"/>
      <c r="I8" s="29"/>
      <c r="J8" s="28"/>
      <c r="K8" s="30"/>
    </row>
    <row r="9" spans="2:26" ht="47.25" thickBot="1" x14ac:dyDescent="0.3">
      <c r="B9" s="27"/>
      <c r="C9" s="27"/>
      <c r="D9" s="28"/>
      <c r="E9" s="29"/>
      <c r="F9" s="28"/>
      <c r="G9" s="29"/>
      <c r="H9" s="162" t="s">
        <v>285</v>
      </c>
      <c r="I9" s="163"/>
      <c r="J9" s="164"/>
      <c r="K9" s="29"/>
    </row>
    <row r="10" spans="2:26" ht="122.65" customHeight="1" thickBot="1" x14ac:dyDescent="0.3">
      <c r="B10" s="31"/>
      <c r="C10" s="165" t="s">
        <v>286</v>
      </c>
      <c r="D10" s="166"/>
      <c r="E10" s="44" t="s">
        <v>287</v>
      </c>
      <c r="F10" s="44" t="s">
        <v>288</v>
      </c>
      <c r="G10" s="45" t="s">
        <v>289</v>
      </c>
      <c r="H10" s="44" t="s">
        <v>290</v>
      </c>
      <c r="I10" s="44" t="s">
        <v>291</v>
      </c>
      <c r="J10" s="44" t="s">
        <v>292</v>
      </c>
      <c r="K10" s="44" t="s">
        <v>4</v>
      </c>
      <c r="U10" s="33" t="s">
        <v>288</v>
      </c>
      <c r="V10" s="34" t="s">
        <v>286</v>
      </c>
      <c r="W10" s="34" t="s">
        <v>293</v>
      </c>
      <c r="X10" s="35" t="s">
        <v>294</v>
      </c>
      <c r="Y10" s="32" t="s">
        <v>295</v>
      </c>
      <c r="Z10" s="32" t="s">
        <v>296</v>
      </c>
    </row>
    <row r="11" spans="2:26" ht="58.9" customHeight="1" x14ac:dyDescent="0.25">
      <c r="B11" s="36"/>
      <c r="C11" s="89" t="s">
        <v>342</v>
      </c>
      <c r="D11" s="78" t="s">
        <v>1466</v>
      </c>
      <c r="E11" s="89" t="s">
        <v>22</v>
      </c>
      <c r="F11" s="3"/>
      <c r="G11" s="17"/>
      <c r="H11" s="17">
        <v>0.6</v>
      </c>
      <c r="I11" s="17">
        <v>1</v>
      </c>
      <c r="J11" s="89" t="s">
        <v>1467</v>
      </c>
      <c r="K11" s="89" t="s">
        <v>1468</v>
      </c>
      <c r="U11" s="3">
        <f>F11</f>
        <v>0</v>
      </c>
      <c r="V11" s="2" t="str">
        <f>C11</f>
        <v>S2.1</v>
      </c>
      <c r="W11" s="2"/>
      <c r="X11" s="17"/>
      <c r="Y11" s="37"/>
      <c r="Z11" s="37"/>
    </row>
    <row r="12" spans="2:26" ht="58.9" customHeight="1" x14ac:dyDescent="0.25">
      <c r="B12" s="36"/>
      <c r="C12" s="84" t="s">
        <v>395</v>
      </c>
      <c r="D12" s="79" t="s">
        <v>1469</v>
      </c>
      <c r="E12" s="84" t="s">
        <v>24</v>
      </c>
      <c r="G12" s="6"/>
      <c r="H12" s="17">
        <v>0.6</v>
      </c>
      <c r="I12" s="17">
        <v>1</v>
      </c>
      <c r="J12" s="4" t="s">
        <v>1470</v>
      </c>
      <c r="K12" s="5" t="s">
        <v>1471</v>
      </c>
      <c r="U12" s="6">
        <f>G12</f>
        <v>0</v>
      </c>
      <c r="V12" s="2" t="str">
        <f>C12</f>
        <v>S3.1</v>
      </c>
      <c r="W12" s="5"/>
      <c r="X12" s="4"/>
      <c r="Y12" s="38"/>
      <c r="Z12" s="38"/>
    </row>
    <row r="13" spans="2:26" ht="58.9" customHeight="1" x14ac:dyDescent="0.25">
      <c r="B13" s="36"/>
      <c r="C13" s="84" t="s">
        <v>437</v>
      </c>
      <c r="D13" s="79" t="s">
        <v>1472</v>
      </c>
      <c r="E13" s="84" t="s">
        <v>24</v>
      </c>
      <c r="F13" s="6"/>
      <c r="G13" s="4"/>
      <c r="H13" s="17">
        <v>0.6</v>
      </c>
      <c r="I13" s="17">
        <v>1</v>
      </c>
      <c r="J13" s="4" t="s">
        <v>1470</v>
      </c>
      <c r="K13" s="5" t="s">
        <v>1471</v>
      </c>
      <c r="U13" s="6">
        <f>F13</f>
        <v>0</v>
      </c>
      <c r="V13" s="2" t="str">
        <f>C13</f>
        <v>S3.2</v>
      </c>
      <c r="W13" s="5"/>
      <c r="X13" s="4"/>
      <c r="Y13" s="38"/>
      <c r="Z13" s="38"/>
    </row>
    <row r="14" spans="2:26" ht="58.9" customHeight="1" x14ac:dyDescent="0.25">
      <c r="B14" s="36"/>
      <c r="C14" s="84" t="s">
        <v>511</v>
      </c>
      <c r="D14" s="79" t="s">
        <v>1473</v>
      </c>
      <c r="E14" s="84" t="s">
        <v>24</v>
      </c>
      <c r="F14" s="6"/>
      <c r="G14" s="4"/>
      <c r="H14" s="17">
        <v>0.6</v>
      </c>
      <c r="I14" s="17">
        <v>1</v>
      </c>
      <c r="J14" s="4" t="s">
        <v>1470</v>
      </c>
      <c r="K14" s="5" t="s">
        <v>1471</v>
      </c>
      <c r="U14" s="6">
        <f>F14</f>
        <v>0</v>
      </c>
      <c r="V14" s="2" t="str">
        <f>C14</f>
        <v>S3.3</v>
      </c>
      <c r="W14" s="5"/>
      <c r="X14" s="4"/>
      <c r="Y14" s="38"/>
      <c r="Z14" s="38"/>
    </row>
    <row r="15" spans="2:26" ht="58.9" customHeight="1" x14ac:dyDescent="0.25">
      <c r="B15" s="36"/>
      <c r="C15" s="84" t="s">
        <v>752</v>
      </c>
      <c r="D15" s="79" t="s">
        <v>1474</v>
      </c>
      <c r="E15" s="84" t="s">
        <v>35</v>
      </c>
      <c r="F15" s="6"/>
      <c r="G15" s="4"/>
      <c r="H15" s="17">
        <v>0.6</v>
      </c>
      <c r="I15" s="17">
        <v>1</v>
      </c>
      <c r="J15" s="5" t="s">
        <v>1475</v>
      </c>
      <c r="K15" s="84" t="s">
        <v>1476</v>
      </c>
      <c r="U15" s="6">
        <f>F15</f>
        <v>0</v>
      </c>
      <c r="V15" s="2" t="str">
        <f>C15</f>
        <v>S4.1</v>
      </c>
      <c r="W15" s="5"/>
      <c r="X15" s="4"/>
      <c r="Y15" s="38"/>
      <c r="Z15" s="38"/>
    </row>
    <row r="16" spans="2:26" ht="58.9" customHeight="1" x14ac:dyDescent="0.25">
      <c r="B16" s="36"/>
      <c r="C16" s="5" t="s">
        <v>1477</v>
      </c>
      <c r="D16" s="24" t="s">
        <v>1478</v>
      </c>
      <c r="E16" s="5" t="s">
        <v>44</v>
      </c>
      <c r="F16" s="6"/>
      <c r="G16" s="4"/>
      <c r="H16" s="17">
        <v>0.6</v>
      </c>
      <c r="I16" s="17">
        <v>1</v>
      </c>
      <c r="J16" s="84" t="s">
        <v>1479</v>
      </c>
      <c r="K16" s="84" t="s">
        <v>1480</v>
      </c>
      <c r="U16" s="6"/>
      <c r="V16" s="2"/>
      <c r="W16" s="5"/>
      <c r="X16" s="4"/>
      <c r="Y16" s="38"/>
      <c r="Z16" s="38"/>
    </row>
    <row r="17" spans="2:26" ht="58.9" customHeight="1" x14ac:dyDescent="0.25">
      <c r="B17" s="36"/>
      <c r="C17" s="5" t="s">
        <v>301</v>
      </c>
      <c r="D17" s="24" t="s">
        <v>1481</v>
      </c>
      <c r="E17" s="5" t="s">
        <v>44</v>
      </c>
      <c r="F17" s="6"/>
      <c r="G17" s="4"/>
      <c r="H17" s="17">
        <v>0.6</v>
      </c>
      <c r="I17" s="17">
        <v>1</v>
      </c>
      <c r="J17" s="4" t="s">
        <v>1470</v>
      </c>
      <c r="K17" s="84" t="s">
        <v>1482</v>
      </c>
      <c r="U17" s="6">
        <f>F17</f>
        <v>0</v>
      </c>
      <c r="V17" s="2" t="str">
        <f>C17</f>
        <v>V1.2</v>
      </c>
      <c r="W17" s="5"/>
      <c r="X17" s="4"/>
      <c r="Y17" s="38"/>
      <c r="Z17" s="38"/>
    </row>
    <row r="18" spans="2:26" ht="58.9" customHeight="1" x14ac:dyDescent="0.25">
      <c r="B18" s="36"/>
      <c r="C18" s="5" t="s">
        <v>1483</v>
      </c>
      <c r="D18" s="24" t="s">
        <v>1484</v>
      </c>
      <c r="E18" s="5" t="s">
        <v>48</v>
      </c>
      <c r="F18" s="5"/>
      <c r="G18" s="5"/>
      <c r="H18" s="17">
        <v>0.6</v>
      </c>
      <c r="I18" s="17">
        <v>1</v>
      </c>
      <c r="J18" s="84" t="s">
        <v>1485</v>
      </c>
      <c r="K18" s="84" t="s">
        <v>1486</v>
      </c>
      <c r="U18" s="6">
        <f>F18</f>
        <v>0</v>
      </c>
      <c r="V18" s="2" t="str">
        <f>C18</f>
        <v>V2.2</v>
      </c>
      <c r="W18" s="5"/>
      <c r="X18" s="5"/>
      <c r="Y18" s="39"/>
      <c r="Z18" s="39"/>
    </row>
    <row r="19" spans="2:26" ht="58.9" customHeight="1" x14ac:dyDescent="0.25">
      <c r="B19" s="36"/>
      <c r="C19" s="5"/>
      <c r="D19" s="24"/>
      <c r="E19" s="5"/>
      <c r="F19" s="5"/>
      <c r="G19" s="5"/>
      <c r="H19" s="5"/>
      <c r="I19" s="5"/>
      <c r="J19" s="5"/>
      <c r="K19" s="5"/>
      <c r="U19" s="6">
        <f>F19</f>
        <v>0</v>
      </c>
      <c r="V19" s="2">
        <f>C19</f>
        <v>0</v>
      </c>
      <c r="W19" s="5"/>
      <c r="X19" s="5"/>
      <c r="Y19" s="39"/>
      <c r="Z19" s="39"/>
    </row>
    <row r="20" spans="2:26" ht="29.65" customHeight="1" x14ac:dyDescent="0.25">
      <c r="B20" s="36"/>
    </row>
    <row r="24" spans="2:26" ht="49.5" customHeight="1" x14ac:dyDescent="0.25">
      <c r="C24"/>
      <c r="D24"/>
      <c r="E24"/>
      <c r="F24" s="167" t="s">
        <v>302</v>
      </c>
      <c r="G24" s="168"/>
      <c r="H24" s="168"/>
      <c r="I24" s="168"/>
      <c r="J24" s="168"/>
      <c r="K24" s="168"/>
      <c r="L24" s="168"/>
      <c r="M24" s="168"/>
      <c r="N24" s="169"/>
      <c r="O24"/>
    </row>
    <row r="25" spans="2:26" s="40" customFormat="1" ht="50.65" customHeight="1" thickBot="1" x14ac:dyDescent="0.3">
      <c r="C25" s="46" t="s">
        <v>303</v>
      </c>
      <c r="D25" s="47"/>
      <c r="E25" s="48" t="s">
        <v>304</v>
      </c>
      <c r="F25" s="49" t="str">
        <f>C11</f>
        <v>S2.1</v>
      </c>
      <c r="G25" s="49" t="str">
        <f>C12</f>
        <v>S3.1</v>
      </c>
      <c r="H25" s="49" t="str">
        <f>C13</f>
        <v>S3.2</v>
      </c>
      <c r="I25" s="49" t="str">
        <f>C14</f>
        <v>S3.3</v>
      </c>
      <c r="J25" s="49" t="str">
        <f>C15</f>
        <v>S4.1</v>
      </c>
      <c r="K25" s="49" t="str">
        <f>C16</f>
        <v>V.1.1</v>
      </c>
      <c r="L25" s="49" t="str">
        <f>C17</f>
        <v>V1.2</v>
      </c>
      <c r="M25" s="49" t="str">
        <f>C18</f>
        <v>V2.2</v>
      </c>
      <c r="N25" s="49">
        <f>C19</f>
        <v>0</v>
      </c>
      <c r="O25" s="50" t="s">
        <v>305</v>
      </c>
    </row>
    <row r="26" spans="2:26" ht="30.4" customHeight="1" thickBot="1" x14ac:dyDescent="0.3">
      <c r="C26" s="51" t="s">
        <v>306</v>
      </c>
      <c r="D26" s="92" t="s">
        <v>1487</v>
      </c>
      <c r="E26" s="8">
        <v>3</v>
      </c>
      <c r="F26" s="8"/>
      <c r="G26" s="8">
        <v>3</v>
      </c>
      <c r="H26" s="8"/>
      <c r="I26" s="8"/>
      <c r="J26" s="8"/>
      <c r="K26" s="8"/>
      <c r="L26" s="8"/>
      <c r="M26" s="8"/>
      <c r="N26" s="8"/>
      <c r="O26" s="53" t="b">
        <f t="shared" ref="O26:O40" si="0">IF(SUM(F26:N26)=E26,TRUE,"false")</f>
        <v>1</v>
      </c>
    </row>
    <row r="27" spans="2:26" ht="30.4" customHeight="1" thickBot="1" x14ac:dyDescent="0.3">
      <c r="C27" s="51" t="s">
        <v>307</v>
      </c>
      <c r="D27" s="92" t="s">
        <v>1488</v>
      </c>
      <c r="E27" s="8">
        <v>3</v>
      </c>
      <c r="F27" s="8"/>
      <c r="G27" s="8">
        <v>3</v>
      </c>
      <c r="H27" s="8"/>
      <c r="I27" s="8"/>
      <c r="J27" s="8"/>
      <c r="K27" s="8"/>
      <c r="L27" s="8"/>
      <c r="M27" s="8"/>
      <c r="N27" s="8"/>
      <c r="O27" s="53" t="b">
        <f t="shared" si="0"/>
        <v>1</v>
      </c>
    </row>
    <row r="28" spans="2:26" ht="30.4" customHeight="1" thickBot="1" x14ac:dyDescent="0.3">
      <c r="C28" s="51" t="s">
        <v>308</v>
      </c>
      <c r="D28" s="92" t="s">
        <v>1489</v>
      </c>
      <c r="E28" s="8">
        <v>3</v>
      </c>
      <c r="F28" s="8">
        <v>3</v>
      </c>
      <c r="G28" s="8"/>
      <c r="H28" s="8"/>
      <c r="I28" s="8"/>
      <c r="J28" s="8"/>
      <c r="K28" s="8"/>
      <c r="L28" s="8"/>
      <c r="M28" s="8"/>
      <c r="N28" s="8"/>
      <c r="O28" s="53" t="b">
        <f t="shared" si="0"/>
        <v>1</v>
      </c>
    </row>
    <row r="29" spans="2:26" ht="30.4" customHeight="1" thickBot="1" x14ac:dyDescent="0.3">
      <c r="C29" s="51" t="s">
        <v>309</v>
      </c>
      <c r="D29" s="92" t="s">
        <v>1490</v>
      </c>
      <c r="E29" s="8">
        <v>3</v>
      </c>
      <c r="F29" s="8"/>
      <c r="G29" s="8">
        <v>2</v>
      </c>
      <c r="H29" s="8"/>
      <c r="I29" s="8"/>
      <c r="J29" s="8"/>
      <c r="K29" s="8"/>
      <c r="L29" s="8">
        <v>1</v>
      </c>
      <c r="M29" s="8"/>
      <c r="N29" s="8"/>
      <c r="O29" s="53" t="b">
        <f t="shared" si="0"/>
        <v>1</v>
      </c>
    </row>
    <row r="30" spans="2:26" ht="30.4" customHeight="1" thickBot="1" x14ac:dyDescent="0.3">
      <c r="C30" s="51" t="s">
        <v>310</v>
      </c>
      <c r="D30" s="92" t="s">
        <v>1491</v>
      </c>
      <c r="E30" s="8">
        <v>3</v>
      </c>
      <c r="F30" s="8"/>
      <c r="G30" s="8"/>
      <c r="H30" s="8"/>
      <c r="I30" s="8"/>
      <c r="J30" s="8">
        <v>1</v>
      </c>
      <c r="K30" s="8">
        <v>2</v>
      </c>
      <c r="L30" s="8"/>
      <c r="M30" s="8"/>
      <c r="N30" s="8"/>
      <c r="O30" s="53" t="b">
        <f t="shared" si="0"/>
        <v>1</v>
      </c>
    </row>
    <row r="31" spans="2:26" ht="30.4" customHeight="1" thickBot="1" x14ac:dyDescent="0.3">
      <c r="C31" s="51" t="s">
        <v>311</v>
      </c>
      <c r="D31" s="92" t="s">
        <v>1492</v>
      </c>
      <c r="E31" s="8">
        <v>3</v>
      </c>
      <c r="F31" s="8"/>
      <c r="G31" s="8"/>
      <c r="H31" s="8"/>
      <c r="I31" s="8"/>
      <c r="J31" s="8">
        <v>2</v>
      </c>
      <c r="K31" s="8">
        <v>1</v>
      </c>
      <c r="L31" s="8"/>
      <c r="M31" s="8"/>
      <c r="N31" s="8"/>
      <c r="O31" s="53" t="b">
        <f t="shared" si="0"/>
        <v>1</v>
      </c>
    </row>
    <row r="32" spans="2:26" ht="30.4" customHeight="1" thickBot="1" x14ac:dyDescent="0.3">
      <c r="C32" s="51" t="s">
        <v>312</v>
      </c>
      <c r="D32" s="92" t="s">
        <v>1493</v>
      </c>
      <c r="E32" s="8">
        <v>6</v>
      </c>
      <c r="F32" s="8">
        <v>3</v>
      </c>
      <c r="G32" s="8"/>
      <c r="H32" s="8"/>
      <c r="I32" s="8">
        <v>3</v>
      </c>
      <c r="J32" s="8"/>
      <c r="K32" s="8"/>
      <c r="L32" s="8"/>
      <c r="M32" s="8"/>
      <c r="N32" s="8"/>
      <c r="O32" s="53" t="b">
        <f t="shared" si="0"/>
        <v>1</v>
      </c>
    </row>
    <row r="33" spans="2:15" ht="30.4" customHeight="1" thickBot="1" x14ac:dyDescent="0.3">
      <c r="C33" s="51" t="s">
        <v>313</v>
      </c>
      <c r="D33" s="92" t="s">
        <v>1494</v>
      </c>
      <c r="E33" s="8">
        <v>10</v>
      </c>
      <c r="F33" s="8"/>
      <c r="G33" s="8"/>
      <c r="H33" s="8">
        <v>7</v>
      </c>
      <c r="I33" s="8">
        <v>3</v>
      </c>
      <c r="J33" s="8"/>
      <c r="K33" s="8"/>
      <c r="L33" s="8"/>
      <c r="M33" s="8"/>
      <c r="N33" s="8"/>
      <c r="O33" s="53" t="b">
        <f t="shared" si="0"/>
        <v>1</v>
      </c>
    </row>
    <row r="34" spans="2:15" ht="30.4" customHeight="1" thickBot="1" x14ac:dyDescent="0.3">
      <c r="C34" s="51" t="s">
        <v>314</v>
      </c>
      <c r="D34" s="92" t="s">
        <v>1495</v>
      </c>
      <c r="E34" s="8">
        <v>5</v>
      </c>
      <c r="F34" s="8"/>
      <c r="G34" s="8"/>
      <c r="H34" s="8"/>
      <c r="I34" s="8"/>
      <c r="J34" s="8">
        <v>2</v>
      </c>
      <c r="K34" s="8"/>
      <c r="L34" s="8">
        <v>1</v>
      </c>
      <c r="M34" s="8">
        <v>2</v>
      </c>
      <c r="N34" s="8"/>
      <c r="O34" s="53" t="b">
        <f t="shared" si="0"/>
        <v>1</v>
      </c>
    </row>
    <row r="35" spans="2:15" ht="30.4" customHeight="1" thickBot="1" x14ac:dyDescent="0.3">
      <c r="C35" s="51" t="s">
        <v>315</v>
      </c>
      <c r="D35" s="92" t="s">
        <v>1496</v>
      </c>
      <c r="E35" s="8">
        <v>6</v>
      </c>
      <c r="F35" s="8"/>
      <c r="G35" s="8"/>
      <c r="H35" s="8"/>
      <c r="I35" s="8"/>
      <c r="J35" s="8">
        <v>2</v>
      </c>
      <c r="K35" s="8"/>
      <c r="L35" s="8">
        <v>1</v>
      </c>
      <c r="M35" s="8">
        <v>3</v>
      </c>
      <c r="N35" s="8"/>
      <c r="O35" s="53" t="b">
        <f t="shared" si="0"/>
        <v>1</v>
      </c>
    </row>
    <row r="36" spans="2:15" ht="30.4" customHeight="1" thickBot="1" x14ac:dyDescent="0.3">
      <c r="C36" s="51" t="s">
        <v>316</v>
      </c>
      <c r="D36" s="25"/>
      <c r="E36" s="8"/>
      <c r="F36" s="8"/>
      <c r="G36" s="8"/>
      <c r="H36" s="8"/>
      <c r="I36" s="8"/>
      <c r="J36" s="8"/>
      <c r="K36" s="8"/>
      <c r="L36" s="8"/>
      <c r="M36" s="8"/>
      <c r="N36" s="8"/>
      <c r="O36" s="53" t="b">
        <f t="shared" si="0"/>
        <v>1</v>
      </c>
    </row>
    <row r="37" spans="2:15" ht="30.4" customHeight="1" thickBot="1" x14ac:dyDescent="0.3">
      <c r="C37" s="51" t="s">
        <v>317</v>
      </c>
      <c r="D37" s="25"/>
      <c r="E37" s="8"/>
      <c r="F37" s="8"/>
      <c r="G37" s="8"/>
      <c r="H37" s="8"/>
      <c r="I37" s="8"/>
      <c r="J37" s="8"/>
      <c r="K37" s="8"/>
      <c r="L37" s="8"/>
      <c r="M37" s="8"/>
      <c r="N37" s="8"/>
      <c r="O37" s="53" t="b">
        <f t="shared" si="0"/>
        <v>1</v>
      </c>
    </row>
    <row r="38" spans="2:15" ht="30.4" customHeight="1" thickBot="1" x14ac:dyDescent="0.3">
      <c r="C38" s="51" t="s">
        <v>318</v>
      </c>
      <c r="D38" s="26"/>
      <c r="E38" s="8"/>
      <c r="F38" s="8"/>
      <c r="G38" s="8"/>
      <c r="H38" s="8"/>
      <c r="I38" s="8"/>
      <c r="J38" s="8"/>
      <c r="K38" s="8"/>
      <c r="L38" s="8"/>
      <c r="M38" s="8"/>
      <c r="N38" s="8"/>
      <c r="O38" s="53" t="b">
        <f t="shared" si="0"/>
        <v>1</v>
      </c>
    </row>
    <row r="39" spans="2:15" ht="30.4" customHeight="1" x14ac:dyDescent="0.25">
      <c r="C39" s="51" t="s">
        <v>319</v>
      </c>
      <c r="D39" s="26"/>
      <c r="E39" s="8"/>
      <c r="F39" s="8"/>
      <c r="G39" s="8"/>
      <c r="H39" s="8"/>
      <c r="I39" s="8"/>
      <c r="J39" s="8"/>
      <c r="K39" s="8"/>
      <c r="L39" s="8"/>
      <c r="M39" s="8"/>
      <c r="N39" s="8"/>
      <c r="O39" s="53" t="b">
        <f t="shared" si="0"/>
        <v>1</v>
      </c>
    </row>
    <row r="40" spans="2:15" s="20" customFormat="1" ht="78" customHeight="1" x14ac:dyDescent="0.25">
      <c r="C40" s="170" t="s">
        <v>320</v>
      </c>
      <c r="D40" s="170"/>
      <c r="E40" s="52">
        <f t="shared" ref="E40:N40" si="1">SUM(E26:E39)</f>
        <v>45</v>
      </c>
      <c r="F40" s="52">
        <f t="shared" si="1"/>
        <v>6</v>
      </c>
      <c r="G40" s="52">
        <f t="shared" si="1"/>
        <v>8</v>
      </c>
      <c r="H40" s="52">
        <f t="shared" si="1"/>
        <v>7</v>
      </c>
      <c r="I40" s="52">
        <f t="shared" si="1"/>
        <v>6</v>
      </c>
      <c r="J40" s="52">
        <f t="shared" si="1"/>
        <v>7</v>
      </c>
      <c r="K40" s="52">
        <f t="shared" si="1"/>
        <v>3</v>
      </c>
      <c r="L40" s="52">
        <f t="shared" si="1"/>
        <v>3</v>
      </c>
      <c r="M40" s="52">
        <f t="shared" si="1"/>
        <v>5</v>
      </c>
      <c r="N40" s="52">
        <f t="shared" si="1"/>
        <v>0</v>
      </c>
      <c r="O40" s="53" t="b">
        <f t="shared" si="0"/>
        <v>1</v>
      </c>
    </row>
    <row r="41" spans="2:15" s="20" customFormat="1" ht="71.650000000000006" customHeight="1" x14ac:dyDescent="0.25">
      <c r="C41" s="150" t="s">
        <v>321</v>
      </c>
      <c r="D41" s="150"/>
      <c r="E41" s="150"/>
      <c r="F41" s="54">
        <f>ROUND(F40/E40,2)</f>
        <v>0.13</v>
      </c>
      <c r="G41" s="54">
        <f>ROUND(G40/E40,2)</f>
        <v>0.18</v>
      </c>
      <c r="H41" s="54">
        <f>ROUND(H40/E40,2)</f>
        <v>0.16</v>
      </c>
      <c r="I41" s="54">
        <f>ROUND(I40/E40,2)</f>
        <v>0.13</v>
      </c>
      <c r="J41" s="54">
        <f>ROUND(J40/E40,2)</f>
        <v>0.16</v>
      </c>
      <c r="K41" s="54">
        <f>ROUND(K40/E40,2)</f>
        <v>7.0000000000000007E-2</v>
      </c>
      <c r="L41" s="54">
        <f>ROUND(L40/E40,2)</f>
        <v>7.0000000000000007E-2</v>
      </c>
      <c r="M41" s="54">
        <f>ROUND(M40/E40,2)</f>
        <v>0.11</v>
      </c>
      <c r="N41" s="54">
        <f>ROUND(N40/E40,2)</f>
        <v>0</v>
      </c>
      <c r="O41" s="54">
        <f>SUM(F41:N41)</f>
        <v>1.0100000000000002</v>
      </c>
    </row>
    <row r="42" spans="2:15" ht="55.9" customHeight="1" x14ac:dyDescent="0.25">
      <c r="C42" s="151" t="s">
        <v>322</v>
      </c>
      <c r="D42" s="151"/>
      <c r="E42" s="151"/>
      <c r="F42" s="7">
        <v>10</v>
      </c>
      <c r="G42" s="7">
        <v>20</v>
      </c>
      <c r="H42" s="7">
        <v>15</v>
      </c>
      <c r="I42" s="7">
        <v>10</v>
      </c>
      <c r="J42" s="7">
        <v>15</v>
      </c>
      <c r="K42" s="7">
        <v>10</v>
      </c>
      <c r="L42" s="7">
        <v>10</v>
      </c>
      <c r="M42" s="7">
        <v>10</v>
      </c>
      <c r="N42" s="7"/>
      <c r="O42" s="55">
        <f>SUM(F42:N42)</f>
        <v>100</v>
      </c>
    </row>
    <row r="43" spans="2:15" ht="55.9" customHeight="1" thickBot="1" x14ac:dyDescent="0.3">
      <c r="B43" s="41"/>
      <c r="C43" s="41"/>
      <c r="D43" s="41"/>
      <c r="E43" s="41"/>
      <c r="F43" s="42"/>
      <c r="G43" s="42"/>
      <c r="H43" s="42"/>
      <c r="I43" s="42"/>
      <c r="J43" s="42"/>
      <c r="K43" s="42"/>
      <c r="L43" s="42"/>
      <c r="M43" s="42"/>
      <c r="N43" s="42"/>
    </row>
    <row r="44" spans="2:15" ht="44.65" customHeight="1" thickBot="1" x14ac:dyDescent="0.75">
      <c r="E44" s="152" t="s">
        <v>323</v>
      </c>
      <c r="F44" s="153"/>
      <c r="G44" s="153"/>
      <c r="H44" s="153"/>
      <c r="I44" s="153"/>
      <c r="J44" s="153"/>
      <c r="K44" s="153"/>
      <c r="L44" s="153"/>
      <c r="M44" s="154"/>
    </row>
    <row r="45" spans="2:15" ht="55.15" customHeight="1" thickBot="1" x14ac:dyDescent="0.3">
      <c r="C45" s="56" t="s">
        <v>324</v>
      </c>
      <c r="D45" s="56" t="s">
        <v>325</v>
      </c>
      <c r="E45" s="155" t="s">
        <v>326</v>
      </c>
      <c r="F45" s="156"/>
      <c r="G45" s="156"/>
      <c r="H45" s="156"/>
      <c r="I45" s="156"/>
      <c r="J45" s="156"/>
      <c r="K45" s="156"/>
      <c r="L45" s="156"/>
      <c r="M45" s="156"/>
      <c r="N45" s="57"/>
    </row>
    <row r="46" spans="2:15" ht="55.15" customHeight="1" thickBot="1" x14ac:dyDescent="0.3">
      <c r="C46" s="58"/>
      <c r="D46" s="58"/>
      <c r="E46" s="59" t="str">
        <f>C11</f>
        <v>S2.1</v>
      </c>
      <c r="F46" s="59" t="str">
        <f>C12</f>
        <v>S3.1</v>
      </c>
      <c r="G46" s="59" t="str">
        <f>C13</f>
        <v>S3.2</v>
      </c>
      <c r="H46" s="59" t="str">
        <f>C14</f>
        <v>S3.3</v>
      </c>
      <c r="I46" s="59" t="str">
        <f>C15</f>
        <v>S4.1</v>
      </c>
      <c r="J46" s="59" t="str">
        <f>C16</f>
        <v>V.1.1</v>
      </c>
      <c r="K46" s="59" t="str">
        <f>C17</f>
        <v>V1.2</v>
      </c>
      <c r="L46" s="59" t="str">
        <f>C18</f>
        <v>V2.2</v>
      </c>
      <c r="M46" s="59">
        <f>C19</f>
        <v>0</v>
      </c>
      <c r="N46" s="60" t="s">
        <v>327</v>
      </c>
    </row>
    <row r="47" spans="2:15" ht="55.15" customHeight="1" x14ac:dyDescent="0.25">
      <c r="C47" s="9" t="s">
        <v>1471</v>
      </c>
      <c r="D47" s="97">
        <v>10</v>
      </c>
      <c r="E47" s="8"/>
      <c r="F47" s="8">
        <v>5</v>
      </c>
      <c r="G47" s="8"/>
      <c r="H47" s="8"/>
      <c r="I47" s="8"/>
      <c r="J47" s="8"/>
      <c r="K47" s="8">
        <v>5</v>
      </c>
      <c r="L47" s="8"/>
      <c r="M47" s="8"/>
      <c r="N47" s="55" t="b">
        <f t="shared" ref="N47:N54" si="2">IF(SUM(E47:M47)=D47,TRUE,"false")</f>
        <v>1</v>
      </c>
    </row>
    <row r="48" spans="2:15" ht="55.15" customHeight="1" x14ac:dyDescent="0.25">
      <c r="C48" s="9" t="s">
        <v>1497</v>
      </c>
      <c r="D48" s="10">
        <v>5</v>
      </c>
      <c r="E48" s="11"/>
      <c r="F48" s="12"/>
      <c r="G48" s="12"/>
      <c r="H48" s="12"/>
      <c r="I48" s="12"/>
      <c r="J48" s="12">
        <v>5</v>
      </c>
      <c r="K48" s="12"/>
      <c r="L48" s="12"/>
      <c r="M48" s="12"/>
      <c r="N48" s="55" t="b">
        <f t="shared" si="2"/>
        <v>1</v>
      </c>
    </row>
    <row r="49" spans="3:14" ht="55.15" customHeight="1" x14ac:dyDescent="0.25">
      <c r="C49" s="9" t="s">
        <v>1498</v>
      </c>
      <c r="D49" s="10">
        <v>15</v>
      </c>
      <c r="E49" s="11"/>
      <c r="F49" s="12"/>
      <c r="G49" s="12"/>
      <c r="H49" s="12"/>
      <c r="I49" s="12">
        <v>15</v>
      </c>
      <c r="J49" s="12"/>
      <c r="K49" s="12"/>
      <c r="L49" s="12"/>
      <c r="M49" s="12"/>
      <c r="N49" s="55" t="b">
        <f t="shared" si="2"/>
        <v>1</v>
      </c>
    </row>
    <row r="50" spans="3:14" ht="55.15" customHeight="1" x14ac:dyDescent="0.25">
      <c r="C50" s="9" t="s">
        <v>1499</v>
      </c>
      <c r="D50" s="10">
        <v>20</v>
      </c>
      <c r="E50" s="11">
        <v>5</v>
      </c>
      <c r="F50" s="12">
        <v>5</v>
      </c>
      <c r="G50" s="12">
        <v>5</v>
      </c>
      <c r="H50" s="12"/>
      <c r="I50" s="12"/>
      <c r="J50" s="12">
        <v>5</v>
      </c>
      <c r="K50" s="12"/>
      <c r="L50" s="12"/>
      <c r="M50" s="12"/>
      <c r="N50" s="55" t="b">
        <f t="shared" si="2"/>
        <v>1</v>
      </c>
    </row>
    <row r="51" spans="3:14" ht="55.15" customHeight="1" x14ac:dyDescent="0.25">
      <c r="C51" s="9" t="s">
        <v>1500</v>
      </c>
      <c r="D51" s="10">
        <v>50</v>
      </c>
      <c r="E51" s="11">
        <v>5</v>
      </c>
      <c r="F51" s="12">
        <v>10</v>
      </c>
      <c r="G51" s="12">
        <v>10</v>
      </c>
      <c r="H51" s="12">
        <v>10</v>
      </c>
      <c r="I51" s="12"/>
      <c r="J51" s="12"/>
      <c r="K51" s="12">
        <v>5</v>
      </c>
      <c r="L51" s="12">
        <v>10</v>
      </c>
      <c r="M51" s="12"/>
      <c r="N51" s="55" t="b">
        <f t="shared" si="2"/>
        <v>1</v>
      </c>
    </row>
    <row r="52" spans="3:14" ht="55.15" customHeight="1" x14ac:dyDescent="0.25">
      <c r="C52" s="9"/>
      <c r="D52" s="10"/>
      <c r="E52" s="11"/>
      <c r="F52" s="12"/>
      <c r="G52" s="12"/>
      <c r="H52" s="12"/>
      <c r="I52" s="12"/>
      <c r="J52" s="12"/>
      <c r="K52" s="12"/>
      <c r="L52" s="12"/>
      <c r="M52" s="12"/>
      <c r="N52" s="55" t="b">
        <f t="shared" si="2"/>
        <v>1</v>
      </c>
    </row>
    <row r="53" spans="3:14" ht="55.15" customHeight="1" x14ac:dyDescent="0.25">
      <c r="C53" s="9"/>
      <c r="D53" s="10"/>
      <c r="E53" s="11"/>
      <c r="F53" s="12"/>
      <c r="G53" s="12"/>
      <c r="H53" s="12"/>
      <c r="I53" s="12"/>
      <c r="J53" s="12"/>
      <c r="K53" s="12"/>
      <c r="L53" s="12"/>
      <c r="M53" s="12"/>
      <c r="N53" s="55" t="b">
        <f t="shared" si="2"/>
        <v>1</v>
      </c>
    </row>
    <row r="54" spans="3:14" ht="55.15" customHeight="1" thickBot="1" x14ac:dyDescent="0.3">
      <c r="C54" s="13"/>
      <c r="D54" s="14"/>
      <c r="E54" s="15"/>
      <c r="F54" s="16"/>
      <c r="G54" s="16"/>
      <c r="H54" s="16"/>
      <c r="I54" s="16"/>
      <c r="J54" s="16"/>
      <c r="K54" s="16"/>
      <c r="L54" s="16"/>
      <c r="M54" s="16"/>
      <c r="N54" s="55" t="b">
        <f t="shared" si="2"/>
        <v>1</v>
      </c>
    </row>
    <row r="55" spans="3:14" ht="55.15" customHeight="1" thickBot="1" x14ac:dyDescent="0.3">
      <c r="C55" s="61" t="s">
        <v>335</v>
      </c>
      <c r="D55" s="62"/>
      <c r="E55" s="55" t="b">
        <f t="shared" ref="E55:M55" si="3">IF(SUM(E47:E54)=E56,TRUE,"false")</f>
        <v>1</v>
      </c>
      <c r="F55" s="55" t="b">
        <f t="shared" si="3"/>
        <v>1</v>
      </c>
      <c r="G55" s="55" t="b">
        <f t="shared" si="3"/>
        <v>1</v>
      </c>
      <c r="H55" s="55" t="b">
        <f t="shared" si="3"/>
        <v>1</v>
      </c>
      <c r="I55" s="55" t="b">
        <f t="shared" si="3"/>
        <v>1</v>
      </c>
      <c r="J55" s="55" t="b">
        <f t="shared" si="3"/>
        <v>1</v>
      </c>
      <c r="K55" s="55" t="b">
        <f t="shared" si="3"/>
        <v>1</v>
      </c>
      <c r="L55" s="55" t="b">
        <f t="shared" si="3"/>
        <v>1</v>
      </c>
      <c r="M55" s="55" t="b">
        <f t="shared" si="3"/>
        <v>1</v>
      </c>
      <c r="N55" s="63"/>
    </row>
    <row r="56" spans="3:14" ht="55.15" customHeight="1" thickBot="1" x14ac:dyDescent="0.3">
      <c r="C56" s="64" t="s">
        <v>336</v>
      </c>
      <c r="D56" s="65">
        <f>SUM(D47:D54)</f>
        <v>100</v>
      </c>
      <c r="E56" s="65">
        <f t="shared" ref="E56:M56" si="4">F42</f>
        <v>10</v>
      </c>
      <c r="F56" s="65">
        <f t="shared" si="4"/>
        <v>20</v>
      </c>
      <c r="G56" s="65">
        <f t="shared" si="4"/>
        <v>15</v>
      </c>
      <c r="H56" s="65">
        <f t="shared" si="4"/>
        <v>10</v>
      </c>
      <c r="I56" s="65">
        <f t="shared" si="4"/>
        <v>15</v>
      </c>
      <c r="J56" s="65">
        <f t="shared" si="4"/>
        <v>10</v>
      </c>
      <c r="K56" s="65">
        <f t="shared" si="4"/>
        <v>10</v>
      </c>
      <c r="L56" s="65">
        <f t="shared" si="4"/>
        <v>10</v>
      </c>
      <c r="M56" s="65">
        <f t="shared" si="4"/>
        <v>0</v>
      </c>
      <c r="N56" s="66">
        <f>SUM(E56:M56)</f>
        <v>100</v>
      </c>
    </row>
    <row r="57" spans="3:14" ht="49.9" customHeight="1" x14ac:dyDescent="0.25"/>
  </sheetData>
  <sheetProtection algorithmName="SHA-512" hashValue="JDOXQtqZTM3Zv9djB9wzG2GUo8KoK3e2/LYjSamrPgn7NdPrGn1eSNvQwkHUg73f6P2cIjVFOaeBT9lbt34eEQ==" saltValue="b9zMnIsFj4CPfPbP868fkg==" spinCount="100000" sheet="1" objects="1" scenarios="1" formatCells="0" formatColumns="0" formatRows="0" insertRows="0" selectLockedCells="1"/>
  <mergeCells count="10">
    <mergeCell ref="C41:E41"/>
    <mergeCell ref="C42:E42"/>
    <mergeCell ref="E44:M44"/>
    <mergeCell ref="E45:M45"/>
    <mergeCell ref="D2:J5"/>
    <mergeCell ref="B6:C7"/>
    <mergeCell ref="H9:J9"/>
    <mergeCell ref="C10:D10"/>
    <mergeCell ref="F24:N24"/>
    <mergeCell ref="C40:D40"/>
  </mergeCells>
  <conditionalFormatting sqref="D47:D54">
    <cfRule type="containsBlanks" dxfId="167" priority="11">
      <formula>LEN(TRIM(D47))=0</formula>
    </cfRule>
    <cfRule type="cellIs" dxfId="166" priority="12" operator="equal">
      <formula>0</formula>
    </cfRule>
  </conditionalFormatting>
  <conditionalFormatting sqref="E50">
    <cfRule type="containsBlanks" dxfId="165" priority="21">
      <formula>LEN(TRIM(E50))=0</formula>
    </cfRule>
    <cfRule type="cellIs" dxfId="164" priority="22" operator="equal">
      <formula>0</formula>
    </cfRule>
  </conditionalFormatting>
  <conditionalFormatting sqref="E47:M51 E52">
    <cfRule type="containsBlanks" dxfId="163" priority="17">
      <formula>LEN(TRIM(E47))=0</formula>
    </cfRule>
    <cfRule type="cellIs" dxfId="162" priority="18" operator="equal">
      <formula>0</formula>
    </cfRule>
  </conditionalFormatting>
  <conditionalFormatting sqref="E53:M54">
    <cfRule type="containsBlanks" dxfId="161" priority="15">
      <formula>LEN(TRIM(E53))=0</formula>
    </cfRule>
    <cfRule type="cellIs" dxfId="160" priority="16" operator="equal">
      <formula>0</formula>
    </cfRule>
  </conditionalFormatting>
  <conditionalFormatting sqref="E55:M55">
    <cfRule type="containsText" dxfId="159" priority="5" operator="containsText" text="false">
      <formula>NOT(ISERROR(SEARCH("false",E55)))</formula>
    </cfRule>
    <cfRule type="containsText" dxfId="158" priority="6" operator="containsText" text="true">
      <formula>NOT(ISERROR(SEARCH("true",E55)))</formula>
    </cfRule>
  </conditionalFormatting>
  <conditionalFormatting sqref="E26:N39">
    <cfRule type="containsBlanks" dxfId="157" priority="3">
      <formula>LEN(TRIM(E26))=0</formula>
    </cfRule>
    <cfRule type="cellIs" dxfId="156" priority="4" operator="equal">
      <formula>0</formula>
    </cfRule>
  </conditionalFormatting>
  <conditionalFormatting sqref="F48:M48">
    <cfRule type="containsBlanks" dxfId="155" priority="23">
      <formula>LEN(TRIM(F48))=0</formula>
    </cfRule>
    <cfRule type="cellIs" dxfId="154" priority="24" operator="equal">
      <formula>0</formula>
    </cfRule>
  </conditionalFormatting>
  <conditionalFormatting sqref="F50:M52">
    <cfRule type="containsBlanks" dxfId="153" priority="19">
      <formula>LEN(TRIM(F50))=0</formula>
    </cfRule>
    <cfRule type="cellIs" dxfId="152" priority="20" operator="equal">
      <formula>0</formula>
    </cfRule>
  </conditionalFormatting>
  <conditionalFormatting sqref="N47:N54">
    <cfRule type="containsText" dxfId="151" priority="7" operator="containsText" text="false">
      <formula>NOT(ISERROR(SEARCH("false",N47)))</formula>
    </cfRule>
    <cfRule type="containsText" dxfId="150" priority="8" operator="containsText" text="true">
      <formula>NOT(ISERROR(SEARCH("true",N47)))</formula>
    </cfRule>
  </conditionalFormatting>
  <conditionalFormatting sqref="N55">
    <cfRule type="containsBlanks" dxfId="149" priority="13">
      <formula>LEN(TRIM(N55))=0</formula>
    </cfRule>
    <cfRule type="cellIs" dxfId="148" priority="14" operator="equal">
      <formula>0</formula>
    </cfRule>
  </conditionalFormatting>
  <conditionalFormatting sqref="O26:O40">
    <cfRule type="containsText" dxfId="147" priority="9" operator="containsText" text="false">
      <formula>NOT(ISERROR(SEARCH("false",O26)))</formula>
    </cfRule>
    <cfRule type="containsText" dxfId="146" priority="10" operator="containsText" text="true">
      <formula>NOT(ISERROR(SEARCH("true",O26)))</formula>
    </cfRule>
  </conditionalFormatting>
  <conditionalFormatting sqref="O42">
    <cfRule type="cellIs" dxfId="145" priority="1" operator="notEqual">
      <formula>100</formula>
    </cfRule>
    <cfRule type="cellIs" dxfId="144" priority="2" operator="equal">
      <formula>100</formula>
    </cfRule>
  </conditionalFormatting>
  <pageMargins left="0.7" right="0.7" top="0.75" bottom="0.75" header="0.3" footer="0.3"/>
  <pageSetup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7B26C9-3255-459D-889C-C3BBE08F58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PLOs</vt:lpstr>
      <vt:lpstr>Program Matrix</vt:lpstr>
      <vt:lpstr>Name and Course code</vt:lpstr>
      <vt:lpstr>PHC201</vt:lpstr>
      <vt:lpstr>PHC250</vt:lpstr>
      <vt:lpstr>PHG301</vt:lpstr>
      <vt:lpstr>PHG350</vt:lpstr>
      <vt:lpstr>PHG401</vt:lpstr>
      <vt:lpstr>PHG450</vt:lpstr>
      <vt:lpstr>PHG402</vt:lpstr>
      <vt:lpstr>PHG460</vt:lpstr>
      <vt:lpstr>PHL402</vt:lpstr>
      <vt:lpstr>PHL451</vt:lpstr>
      <vt:lpstr>PHL403</vt:lpstr>
      <vt:lpstr>PHL452</vt:lpstr>
      <vt:lpstr>CS140</vt:lpstr>
      <vt:lpstr>ENG100</vt:lpstr>
      <vt:lpstr>MATH140</vt:lpstr>
      <vt:lpstr>SCS140</vt:lpstr>
      <vt:lpstr>STAT124</vt:lpstr>
      <vt:lpstr>BIOL111</vt:lpstr>
      <vt:lpstr>PHY115</vt:lpstr>
      <vt:lpstr>CHEM113</vt:lpstr>
      <vt:lpstr>PHT102</vt:lpstr>
      <vt:lpstr>ENG145</vt:lpstr>
      <vt:lpstr>PHT250</vt:lpstr>
      <vt:lpstr>PHL250</vt:lpstr>
      <vt:lpstr>PHSL115</vt:lpstr>
      <vt:lpstr>ANAT114</vt:lpstr>
      <vt:lpstr>PHT252</vt:lpstr>
      <vt:lpstr>PHL253</vt:lpstr>
      <vt:lpstr>PHL254</vt:lpstr>
      <vt:lpstr>PHC251</vt:lpstr>
      <vt:lpstr>TR250</vt:lpstr>
      <vt:lpstr>PHC252</vt:lpstr>
      <vt:lpstr>PHT350</vt:lpstr>
      <vt:lpstr>PHT351</vt:lpstr>
      <vt:lpstr>PHL350</vt:lpstr>
      <vt:lpstr>PHC350</vt:lpstr>
      <vt:lpstr>PHCL350</vt:lpstr>
      <vt:lpstr>PHCL357</vt:lpstr>
      <vt:lpstr>PHCL351</vt:lpstr>
      <vt:lpstr>PHL351</vt:lpstr>
      <vt:lpstr>PHC351</vt:lpstr>
      <vt:lpstr>PHCL354</vt:lpstr>
      <vt:lpstr>PHCL355</vt:lpstr>
      <vt:lpstr>PHCL356</vt:lpstr>
      <vt:lpstr>PHT352</vt:lpstr>
      <vt:lpstr>TR351</vt:lpstr>
      <vt:lpstr>PHT450</vt:lpstr>
      <vt:lpstr>PHCL450</vt:lpstr>
      <vt:lpstr>PHCL455</vt:lpstr>
      <vt:lpstr>PHCL451</vt:lpstr>
      <vt:lpstr>PHL450</vt:lpstr>
      <vt:lpstr>PHC450</vt:lpstr>
      <vt:lpstr>PHCL453</vt:lpstr>
      <vt:lpstr>PHT451</vt:lpstr>
      <vt:lpstr>PHCL460</vt:lpstr>
      <vt:lpstr>PHCL456</vt:lpstr>
      <vt:lpstr>PHCL461</vt:lpstr>
      <vt:lpstr>TR 450</vt:lpstr>
      <vt:lpstr>PHCL462</vt:lpstr>
      <vt:lpstr>PHCL463</vt:lpstr>
      <vt:lpstr>PHL460</vt:lpstr>
      <vt:lpstr>PHT460</vt:lpstr>
      <vt:lpstr>PHG463</vt:lpstr>
      <vt:lpstr>PHCL465</vt:lpstr>
      <vt:lpstr>PHCL464</vt:lpstr>
      <vt:lpstr>PHT465</vt:lpstr>
      <vt:lpstr>PHG465</vt:lpstr>
      <vt:lpstr>PHT490</vt:lpstr>
      <vt:lpstr>PHC495</vt:lpstr>
      <vt:lpstr>PHCL466</vt:lpstr>
      <vt:lpstr>PHARM450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ELKOMY</dc:creator>
  <cp:keywords/>
  <dc:description/>
  <cp:lastModifiedBy>TANWIR ATHAR</cp:lastModifiedBy>
  <cp:revision/>
  <cp:lastPrinted>2024-04-30T08:23:09Z</cp:lastPrinted>
  <dcterms:created xsi:type="dcterms:W3CDTF">2024-04-17T07:01:41Z</dcterms:created>
  <dcterms:modified xsi:type="dcterms:W3CDTF">2026-09-28T18:18:45Z</dcterms:modified>
  <cp:category/>
  <cp:contentStatus/>
</cp:coreProperties>
</file>